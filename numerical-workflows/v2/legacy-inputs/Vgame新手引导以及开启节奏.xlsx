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1"/>
  </bookViews>
  <sheets>
    <sheet name="草稿页-功能" sheetId="1" r:id="rId1"/>
    <sheet name="养成进度预估" sheetId="2" r:id="rId2"/>
    <sheet name="新手流程" sheetId="3" r:id="rId3"/>
    <sheet name="开启节奏和引导" sheetId="4" r:id="rId4"/>
    <sheet name="主角等级" sheetId="5" r:id="rId5"/>
    <sheet name="草稿页-Sheet3" sheetId="6" r:id="rId6"/>
    <sheet name="草稿页-2026.2.25特调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songchengze</author>
  </authors>
  <commentList>
    <comment ref="E1" authorId="0">
      <text>
        <r>
          <rPr>
            <sz val="10"/>
            <rFont val="宋体"/>
            <charset val="134"/>
          </rPr>
          <t>来源：Vgame基本战斗框架.xlsx。主线内按“玩家战力曲线”的代表关卡ID映射；主线后按“玩家等级对应关卡”的等级延伸线映射。</t>
        </r>
      </text>
    </comment>
  </commentList>
</comments>
</file>

<file path=xl/sharedStrings.xml><?xml version="1.0" encoding="utf-8"?>
<sst xmlns="http://schemas.openxmlformats.org/spreadsheetml/2006/main" count="335" uniqueCount="216">
  <si>
    <t>养成线</t>
  </si>
  <si>
    <t>说明</t>
  </si>
  <si>
    <t>角色升级</t>
  </si>
  <si>
    <t>角色基础功能</t>
  </si>
  <si>
    <t>角色突破</t>
  </si>
  <si>
    <t>免费线，等级锁，基础功能</t>
  </si>
  <si>
    <t>角色升星</t>
  </si>
  <si>
    <t>付费线，基础功能</t>
  </si>
  <si>
    <t>角色能效</t>
  </si>
  <si>
    <t>技能树，免费线，需求一定活跃</t>
  </si>
  <si>
    <t>专武</t>
  </si>
  <si>
    <t>专武本身和升星是付费线，升级突破是免费线</t>
  </si>
  <si>
    <t>收容物升级</t>
  </si>
  <si>
    <t>角色挂件</t>
  </si>
  <si>
    <t>映射装备</t>
  </si>
  <si>
    <t>全局装备养成</t>
  </si>
  <si>
    <t>玩法线</t>
  </si>
  <si>
    <t>类型</t>
  </si>
  <si>
    <t>主线</t>
  </si>
  <si>
    <t>主线推图，游戏主轴</t>
  </si>
  <si>
    <t>一次性</t>
  </si>
  <si>
    <t>普通资源副本</t>
  </si>
  <si>
    <t>金币、经验、专武经验</t>
  </si>
  <si>
    <t>日常</t>
  </si>
  <si>
    <t>收容物本</t>
  </si>
  <si>
    <t>组队boss</t>
  </si>
  <si>
    <t>映射装备本</t>
  </si>
  <si>
    <t>类似dnf深渊</t>
  </si>
  <si>
    <t>无限挑战</t>
  </si>
  <si>
    <t>局内长局肉鸽</t>
  </si>
  <si>
    <t>周期性</t>
  </si>
  <si>
    <t>爬塔</t>
  </si>
  <si>
    <t>数值验证、每周重置部分进度</t>
  </si>
  <si>
    <t>周常</t>
  </si>
  <si>
    <t>大秘境</t>
  </si>
  <si>
    <t>赛季制、周活跃</t>
  </si>
  <si>
    <t>世界boss</t>
  </si>
  <si>
    <t>打桩、要求固定时间上线</t>
  </si>
  <si>
    <t>boss挑战</t>
  </si>
  <si>
    <t>一次性挑战、数值验证</t>
  </si>
  <si>
    <t>PVPVE</t>
  </si>
  <si>
    <t>PVP的数值验证</t>
  </si>
  <si>
    <t>暂定周期性</t>
  </si>
  <si>
    <t>公会</t>
  </si>
  <si>
    <t>社交玩法</t>
  </si>
  <si>
    <t>日常+周期</t>
  </si>
  <si>
    <t>每日任务</t>
  </si>
  <si>
    <t>投放大量经验</t>
  </si>
  <si>
    <t>引导任务</t>
  </si>
  <si>
    <t>前期引导玩家养成、挑战的周期性目标</t>
  </si>
  <si>
    <t>好友、聊天</t>
  </si>
  <si>
    <t>社交</t>
  </si>
  <si>
    <t>主角等级</t>
  </si>
  <si>
    <t>代表主线章节</t>
  </si>
  <si>
    <t>代表主线关卡</t>
  </si>
  <si>
    <t>代表关卡ID</t>
  </si>
  <si>
    <t>怪物等级</t>
  </si>
  <si>
    <t>角色数量</t>
  </si>
  <si>
    <t>角色蓝品个数</t>
  </si>
  <si>
    <t>角色紫品个数</t>
  </si>
  <si>
    <t>角色金品个数</t>
  </si>
  <si>
    <t>角色平均等级</t>
  </si>
  <si>
    <t>角色平均突破次数</t>
  </si>
  <si>
    <t>角色平均能效</t>
  </si>
  <si>
    <t>专武数量</t>
  </si>
  <si>
    <t>专武蓝品个数</t>
  </si>
  <si>
    <t>专武紫品个数</t>
  </si>
  <si>
    <t>专武金品个数</t>
  </si>
  <si>
    <t>专武平均等级</t>
  </si>
  <si>
    <t>专武平均突破次数</t>
  </si>
  <si>
    <t>旅券数量</t>
  </si>
  <si>
    <t>旅券蓝品个数</t>
  </si>
  <si>
    <t>旅券紫品个数</t>
  </si>
  <si>
    <t>旅券金品个数</t>
  </si>
  <si>
    <t>旅券红品个数</t>
  </si>
  <si>
    <t>旅券平均等级</t>
  </si>
  <si>
    <t>映射装备数量</t>
  </si>
  <si>
    <t>映射装备蓝品个数</t>
  </si>
  <si>
    <t>映射装备紫品个数</t>
  </si>
  <si>
    <t>映射装备金品个数</t>
  </si>
  <si>
    <t>映射装备红品个数</t>
  </si>
  <si>
    <t>映射装备平均等级</t>
  </si>
  <si>
    <t>宝石等级预期</t>
  </si>
  <si>
    <t>备注</t>
  </si>
  <si>
    <t>开局初始角色阶段</t>
  </si>
  <si>
    <t>第2角色上阵</t>
  </si>
  <si>
    <t/>
  </si>
  <si>
    <t>第3角色上阵</t>
  </si>
  <si>
    <t>第4、5角色上阵</t>
  </si>
  <si>
    <t>能效开启 / ????</t>
  </si>
  <si>
    <t>映射装备开启</t>
  </si>
  <si>
    <t>专武开启</t>
  </si>
  <si>
    <t>旅券开启</t>
  </si>
  <si>
    <t>主线结束参考点</t>
  </si>
  <si>
    <t>主线后</t>
  </si>
  <si>
    <t>主线后延伸段</t>
  </si>
  <si>
    <t>新手流程</t>
  </si>
  <si>
    <t>本文档为暂定的新手前期流程</t>
  </si>
  <si>
    <t>剧情</t>
  </si>
  <si>
    <t>剧情结束后直接进入0-1战斗（没有编队）</t>
  </si>
  <si>
    <t>战斗内引导</t>
  </si>
  <si>
    <t>战斗结束，出结算界面</t>
  </si>
  <si>
    <t>结算界面结束后直接进入0-2追逐战</t>
  </si>
  <si>
    <t>追逐战战斗</t>
  </si>
  <si>
    <t>回到序章选关界面</t>
  </si>
  <si>
    <t>强引导选择0-3</t>
  </si>
  <si>
    <t>主角默认上阵1号位，0-3战斗+战斗引导</t>
  </si>
  <si>
    <t>0-3结束后获得女主奶妈，开第二阵位</t>
  </si>
  <si>
    <t>强引导点击0-4，女主上阵</t>
  </si>
  <si>
    <t>0-4引导一次加血</t>
  </si>
  <si>
    <t>0-4结束后，跳脸弹窗升级功能开启，弹到背包界面</t>
  </si>
  <si>
    <t>升级引导</t>
  </si>
  <si>
    <t>点击返回直接选关</t>
  </si>
  <si>
    <t>强引导选择0-5</t>
  </si>
  <si>
    <t>0-5结束引导领取星级宝箱</t>
  </si>
  <si>
    <t>强制引导结束</t>
  </si>
  <si>
    <t>退出到章节地图，玩家此时可以随意点击，第一章地图动态出现，持续指引特效，玩家此时可以退到主界面。</t>
  </si>
  <si>
    <t>主界面显示：背包、战备间、设置</t>
  </si>
  <si>
    <t>主界面上锁：招募、邮箱、福利、活动</t>
  </si>
  <si>
    <t>打1-1，战斗中会有大暑出现，最后一次战斗引导</t>
  </si>
  <si>
    <t>1-1结束，剧情，强引导抽卡1次，获得大暑，开第三阵位，开抽卡、商店</t>
  </si>
  <si>
    <t>强引导点击1-2，上阵大暑引导</t>
  </si>
  <si>
    <t>打完1-2，引导结束，福利、活动开启</t>
  </si>
  <si>
    <t>1-4开第4阵位</t>
  </si>
  <si>
    <t>2-5开第5阵位</t>
  </si>
  <si>
    <t>具体开启条件以绿色方块为准</t>
  </si>
  <si>
    <t>开启顺序</t>
  </si>
  <si>
    <t>引导</t>
  </si>
  <si>
    <t>额外奖励</t>
  </si>
  <si>
    <t>角色等级</t>
  </si>
  <si>
    <t>章节</t>
  </si>
  <si>
    <t>主线关卡</t>
  </si>
  <si>
    <t>预计游戏时间（min）</t>
  </si>
  <si>
    <t>天数</t>
  </si>
  <si>
    <t>↓</t>
  </si>
  <si>
    <t>首战，基础战斗引导，吃能量球，释放必杀</t>
  </si>
  <si>
    <t>打完给女主*1</t>
  </si>
  <si>
    <t>角色升级、突破</t>
  </si>
  <si>
    <t>角色上阵第2角色</t>
  </si>
  <si>
    <t>0-5打完后引导玩家领主线宝箱，强制引导结束</t>
  </si>
  <si>
    <t>章节任务</t>
  </si>
  <si>
    <t>打0-5前升级引导</t>
  </si>
  <si>
    <t>抽卡解锁、新手卡池</t>
  </si>
  <si>
    <t>打完1-1，引导玩家去抽第1次卡，给坦克大暑</t>
  </si>
  <si>
    <t>抽卡券*1</t>
  </si>
  <si>
    <t>1</t>
  </si>
  <si>
    <t>上阵第3角色，引导角色换位，打完后，福利、活动等开启</t>
  </si>
  <si>
    <t>第4阵位</t>
  </si>
  <si>
    <t>邮件</t>
  </si>
  <si>
    <t>打完1-4，送10连，必出S角色（新手卡池可以考虑10、20、30抽必出）</t>
  </si>
  <si>
    <t>随机S角色</t>
  </si>
  <si>
    <t>编队</t>
  </si>
  <si>
    <t>上阵第4角色（这步不做引导）</t>
  </si>
  <si>
    <t>资源副本-金币、经验</t>
  </si>
  <si>
    <t>弱引导，告诉玩家开启了这个功能即可</t>
  </si>
  <si>
    <t>星盘</t>
  </si>
  <si>
    <t>主线扫荡</t>
  </si>
  <si>
    <t>引导玩家进行主角星盘点击、扫荡</t>
  </si>
  <si>
    <t>（第一章结束，无需引导）</t>
  </si>
  <si>
    <t>好友、聊天（待定）</t>
  </si>
  <si>
    <t>第5阵位</t>
  </si>
  <si>
    <t>2</t>
  </si>
  <si>
    <t>无限挑战引导、规则讲解</t>
  </si>
  <si>
    <t>映射装备副本</t>
  </si>
  <si>
    <t>引导穿戴收映射装备，剧情引导一下</t>
  </si>
  <si>
    <t>1件映射装备</t>
  </si>
  <si>
    <t>竞技场</t>
  </si>
  <si>
    <t>竞技场引导</t>
  </si>
  <si>
    <t>（第一天末再开公会）公会引导</t>
  </si>
  <si>
    <t>引导和讲解爬塔</t>
  </si>
  <si>
    <t>4</t>
  </si>
  <si>
    <t>专武抽卡、专武</t>
  </si>
  <si>
    <t>资源副本-专武</t>
  </si>
  <si>
    <t>引导1次专武抽卡，给主角专武，引导专武上阵、升级</t>
  </si>
  <si>
    <t>主角专武</t>
  </si>
  <si>
    <t>旅券</t>
  </si>
  <si>
    <t>旅券副本</t>
  </si>
  <si>
    <t>先引导打一次旅券副本，再引导穿戴旅券</t>
  </si>
  <si>
    <t>BOSS挑战</t>
  </si>
  <si>
    <t>5</t>
  </si>
  <si>
    <t>大秘境引导、规则讲解</t>
  </si>
  <si>
    <t>5到6</t>
  </si>
  <si>
    <t>主角等级上限</t>
  </si>
  <si>
    <t>经验产出</t>
  </si>
  <si>
    <t>等级</t>
  </si>
  <si>
    <t>每级成长</t>
  </si>
  <si>
    <t>升级需要经验</t>
  </si>
  <si>
    <t>升级返还体力</t>
  </si>
  <si>
    <t>所需总经验</t>
  </si>
  <si>
    <t>实际所需总经验</t>
  </si>
  <si>
    <t>对应主线章节</t>
  </si>
  <si>
    <t>对应主线关卡</t>
  </si>
  <si>
    <t>主线章节</t>
  </si>
  <si>
    <t>章节关卡数</t>
  </si>
  <si>
    <t>主角等级预计</t>
  </si>
  <si>
    <t>对应天数</t>
  </si>
  <si>
    <t>来源</t>
  </si>
  <si>
    <t>每日产出</t>
  </si>
  <si>
    <t>核算经验</t>
  </si>
  <si>
    <t>自然回复</t>
  </si>
  <si>
    <t>购买体力1次</t>
  </si>
  <si>
    <t>购买体力2次</t>
  </si>
  <si>
    <t>购买体力3次</t>
  </si>
  <si>
    <t>购买体力4次</t>
  </si>
  <si>
    <t>购买体力5次</t>
  </si>
  <si>
    <t>购买体力6次</t>
  </si>
  <si>
    <t>购买体力7次</t>
  </si>
  <si>
    <t>购买体力8次</t>
  </si>
  <si>
    <t>小R</t>
  </si>
  <si>
    <t>中R</t>
  </si>
  <si>
    <t>大R</t>
  </si>
  <si>
    <t>所需经验</t>
  </si>
  <si>
    <t>每天经验</t>
  </si>
  <si>
    <t>天数等级表</t>
  </si>
  <si>
    <t>总经验</t>
  </si>
  <si>
    <t>实际等级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</si>
</sst>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theme="0"/>
      <name val="微软雅黑"/>
      <charset val="134"/>
    </font>
    <font>
      <b/>
      <sz val="11"/>
      <color rgb="FFFF0000"/>
      <name val="微软雅黑"/>
      <charset val="134"/>
    </font>
    <font>
      <sz val="72"/>
      <color theme="1"/>
      <name val="微软雅黑"/>
      <charset val="134"/>
    </font>
    <font>
      <sz val="12"/>
      <color theme="1"/>
      <name val="等线"/>
      <charset val="134"/>
    </font>
    <font>
      <b/>
      <sz val="11"/>
      <name val="Arial"/>
      <charset val="134"/>
    </font>
    <font>
      <sz val="11"/>
      <name val="Arial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8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9" borderId="5">
      <alignment vertical="center"/>
    </xf>
    <xf numFmtId="0" fontId="19" fillId="10" borderId="6">
      <alignment vertical="center"/>
    </xf>
    <xf numFmtId="0" fontId="20" fillId="10" borderId="5">
      <alignment vertical="center"/>
    </xf>
    <xf numFmtId="0" fontId="21" fillId="11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8" fillId="36" borderId="0">
      <alignment vertical="center"/>
    </xf>
    <xf numFmtId="0" fontId="28" fillId="37" borderId="0">
      <alignment vertical="center"/>
    </xf>
    <xf numFmtId="0" fontId="27" fillId="38" borderId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/>
    <xf numFmtId="0" fontId="7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9D9D9"/>
      <rgbColor rgb="008B8B8B"/>
      <rgbColor rgb="009999FF"/>
      <rgbColor rgb="00993366"/>
      <rgbColor rgb="00F4F7FB"/>
      <rgbColor rgb="00D9EAF7"/>
      <rgbColor rgb="00660066"/>
      <rgbColor rgb="00FF8080"/>
      <rgbColor rgb="000066CC"/>
      <rgbColor rgb="00C9D2D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874CA"/>
      <rgbColor rgb="0033CCCC"/>
      <rgbColor rgb="0092D050"/>
      <rgbColor rgb="00FFCC00"/>
      <rgbColor rgb="00FF9900"/>
      <rgbColor rgb="00FF6600"/>
      <rgbColor rgb="00666699"/>
      <rgbColor rgb="00A5A5A5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'草稿页-Sheet3'!$D$4:$D$82</c:f>
              <c:numCache>
                <c:formatCode>General</c:formatCode>
                <c:ptCount val="79"/>
                <c:pt idx="0">
                  <c:v>200</c:v>
                </c:pt>
                <c:pt idx="1">
                  <c:v>300</c:v>
                </c:pt>
                <c:pt idx="2">
                  <c:v>500</c:v>
                </c:pt>
                <c:pt idx="3">
                  <c:v>600</c:v>
                </c:pt>
                <c:pt idx="4">
                  <c:v>1050</c:v>
                </c:pt>
                <c:pt idx="5">
                  <c:v>1670</c:v>
                </c:pt>
                <c:pt idx="6">
                  <c:v>2320</c:v>
                </c:pt>
                <c:pt idx="7">
                  <c:v>3060</c:v>
                </c:pt>
                <c:pt idx="8">
                  <c:v>3860</c:v>
                </c:pt>
                <c:pt idx="9">
                  <c:v>4740</c:v>
                </c:pt>
                <c:pt idx="10">
                  <c:v>5710</c:v>
                </c:pt>
                <c:pt idx="11">
                  <c:v>6730</c:v>
                </c:pt>
                <c:pt idx="12">
                  <c:v>7830</c:v>
                </c:pt>
                <c:pt idx="13">
                  <c:v>9000</c:v>
                </c:pt>
                <c:pt idx="14">
                  <c:v>10240</c:v>
                </c:pt>
                <c:pt idx="15">
                  <c:v>11550</c:v>
                </c:pt>
                <c:pt idx="16">
                  <c:v>12920</c:v>
                </c:pt>
                <c:pt idx="17">
                  <c:v>14360</c:v>
                </c:pt>
                <c:pt idx="18">
                  <c:v>15870</c:v>
                </c:pt>
                <c:pt idx="19">
                  <c:v>16580</c:v>
                </c:pt>
                <c:pt idx="20">
                  <c:v>16840</c:v>
                </c:pt>
                <c:pt idx="21">
                  <c:v>17100</c:v>
                </c:pt>
                <c:pt idx="22">
                  <c:v>17370</c:v>
                </c:pt>
                <c:pt idx="23">
                  <c:v>17640</c:v>
                </c:pt>
                <c:pt idx="24">
                  <c:v>17910</c:v>
                </c:pt>
                <c:pt idx="25">
                  <c:v>18190</c:v>
                </c:pt>
                <c:pt idx="26">
                  <c:v>18480</c:v>
                </c:pt>
                <c:pt idx="27">
                  <c:v>18760</c:v>
                </c:pt>
                <c:pt idx="28">
                  <c:v>19040</c:v>
                </c:pt>
                <c:pt idx="29">
                  <c:v>19340</c:v>
                </c:pt>
                <c:pt idx="30">
                  <c:v>19630</c:v>
                </c:pt>
                <c:pt idx="31">
                  <c:v>19930</c:v>
                </c:pt>
                <c:pt idx="32">
                  <c:v>20220</c:v>
                </c:pt>
                <c:pt idx="33">
                  <c:v>20530</c:v>
                </c:pt>
                <c:pt idx="34">
                  <c:v>20840</c:v>
                </c:pt>
                <c:pt idx="35">
                  <c:v>21140</c:v>
                </c:pt>
                <c:pt idx="36">
                  <c:v>21450</c:v>
                </c:pt>
                <c:pt idx="37">
                  <c:v>21760</c:v>
                </c:pt>
                <c:pt idx="38">
                  <c:v>22080</c:v>
                </c:pt>
                <c:pt idx="39">
                  <c:v>22390</c:v>
                </c:pt>
                <c:pt idx="40">
                  <c:v>25550</c:v>
                </c:pt>
                <c:pt idx="41">
                  <c:v>29140</c:v>
                </c:pt>
                <c:pt idx="42">
                  <c:v>32830</c:v>
                </c:pt>
                <c:pt idx="43">
                  <c:v>36600</c:v>
                </c:pt>
                <c:pt idx="44">
                  <c:v>40470</c:v>
                </c:pt>
                <c:pt idx="45">
                  <c:v>44430</c:v>
                </c:pt>
                <c:pt idx="46">
                  <c:v>48480</c:v>
                </c:pt>
                <c:pt idx="47">
                  <c:v>52630</c:v>
                </c:pt>
                <c:pt idx="48">
                  <c:v>56870</c:v>
                </c:pt>
                <c:pt idx="49">
                  <c:v>61190</c:v>
                </c:pt>
                <c:pt idx="50">
                  <c:v>65620</c:v>
                </c:pt>
                <c:pt idx="51">
                  <c:v>70130</c:v>
                </c:pt>
                <c:pt idx="52">
                  <c:v>74740</c:v>
                </c:pt>
                <c:pt idx="53">
                  <c:v>79450</c:v>
                </c:pt>
                <c:pt idx="54">
                  <c:v>84240</c:v>
                </c:pt>
                <c:pt idx="55">
                  <c:v>89120</c:v>
                </c:pt>
                <c:pt idx="56">
                  <c:v>94110</c:v>
                </c:pt>
                <c:pt idx="57">
                  <c:v>99190</c:v>
                </c:pt>
                <c:pt idx="58">
                  <c:v>104350</c:v>
                </c:pt>
                <c:pt idx="59">
                  <c:v>106240</c:v>
                </c:pt>
                <c:pt idx="60">
                  <c:v>111830</c:v>
                </c:pt>
                <c:pt idx="61">
                  <c:v>117530</c:v>
                </c:pt>
                <c:pt idx="62">
                  <c:v>123320</c:v>
                </c:pt>
                <c:pt idx="63">
                  <c:v>129210</c:v>
                </c:pt>
                <c:pt idx="64">
                  <c:v>135200</c:v>
                </c:pt>
                <c:pt idx="65">
                  <c:v>141290</c:v>
                </c:pt>
                <c:pt idx="66">
                  <c:v>147480</c:v>
                </c:pt>
                <c:pt idx="67">
                  <c:v>153780</c:v>
                </c:pt>
                <c:pt idx="68">
                  <c:v>160170</c:v>
                </c:pt>
                <c:pt idx="69">
                  <c:v>179260</c:v>
                </c:pt>
                <c:pt idx="70">
                  <c:v>199920</c:v>
                </c:pt>
                <c:pt idx="71">
                  <c:v>220920</c:v>
                </c:pt>
                <c:pt idx="72">
                  <c:v>242260</c:v>
                </c:pt>
                <c:pt idx="73">
                  <c:v>263930</c:v>
                </c:pt>
                <c:pt idx="74">
                  <c:v>285950</c:v>
                </c:pt>
                <c:pt idx="75">
                  <c:v>308300</c:v>
                </c:pt>
                <c:pt idx="76">
                  <c:v>331000</c:v>
                </c:pt>
                <c:pt idx="77">
                  <c:v>354040</c:v>
                </c:pt>
                <c:pt idx="78">
                  <c:v>377420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98386972"/>
        <c:axId val="547084160"/>
      </c:lineChart>
      <c:catAx>
        <c:axId val="2983869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7084160"/>
        <c:crosses val="autoZero"/>
        <c:auto val="1"/>
        <c:lblAlgn val="ctr"/>
        <c:lblOffset val="100"/>
        <c:noMultiLvlLbl val="0"/>
      </c:catAx>
      <c:valAx>
        <c:axId val="54708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8386972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9dfd278-6ec7-4fe6-beba-c40a0ccee8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152400</xdr:colOff>
      <xdr:row>13</xdr:row>
      <xdr:rowOff>107950</xdr:rowOff>
    </xdr:from>
    <xdr:to>
      <xdr:col>16</xdr:col>
      <xdr:colOff>177800</xdr:colOff>
      <xdr:row>29</xdr:row>
      <xdr:rowOff>107950</xdr:rowOff>
    </xdr:to>
    <xdr:graphicFrame>
      <xdr:nvGraphicFramePr>
        <xdr:cNvPr id="2" name="Chart 1"/>
        <xdr:cNvGraphicFramePr/>
      </xdr:nvGraphicFramePr>
      <xdr:xfrm>
        <a:off x="6324600" y="2336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31"/>
  <sheetViews>
    <sheetView workbookViewId="0">
      <selection activeCell="C40" sqref="C40"/>
    </sheetView>
  </sheetViews>
  <sheetFormatPr defaultColWidth="9" defaultRowHeight="16.5" outlineLevelCol="3"/>
  <cols>
    <col min="1" max="1" width="9" style="2" customWidth="1"/>
    <col min="2" max="2" width="21.75" style="2" customWidth="1"/>
    <col min="3" max="3" width="87.375" style="2" customWidth="1"/>
    <col min="4" max="4" width="11.375" style="2" customWidth="1"/>
    <col min="5" max="16384" width="9" style="2" customWidth="1"/>
  </cols>
  <sheetData>
    <row r="2" spans="2:3">
      <c r="B2" s="5" t="s">
        <v>0</v>
      </c>
      <c r="C2" s="5" t="s">
        <v>1</v>
      </c>
    </row>
    <row r="3" spans="2:3">
      <c r="B3" s="2" t="s">
        <v>2</v>
      </c>
      <c r="C3" s="2" t="s">
        <v>3</v>
      </c>
    </row>
    <row r="4" spans="2:3">
      <c r="B4" s="2" t="s">
        <v>4</v>
      </c>
      <c r="C4" s="2" t="s">
        <v>5</v>
      </c>
    </row>
    <row r="5" spans="2:3">
      <c r="B5" s="2" t="s">
        <v>6</v>
      </c>
      <c r="C5" s="2" t="s">
        <v>7</v>
      </c>
    </row>
    <row r="6" spans="2:3">
      <c r="B6" s="2" t="s">
        <v>8</v>
      </c>
      <c r="C6" s="2" t="s">
        <v>9</v>
      </c>
    </row>
    <row r="7" spans="2:3">
      <c r="B7" s="2" t="s">
        <v>10</v>
      </c>
      <c r="C7" s="2" t="s">
        <v>11</v>
      </c>
    </row>
    <row r="8" spans="2:3">
      <c r="B8" s="2" t="s">
        <v>12</v>
      </c>
      <c r="C8" s="2" t="s">
        <v>13</v>
      </c>
    </row>
    <row r="9" spans="2:3">
      <c r="B9" s="2" t="s">
        <v>14</v>
      </c>
      <c r="C9" s="2" t="s">
        <v>15</v>
      </c>
    </row>
    <row r="17" spans="2:4">
      <c r="B17" s="5" t="s">
        <v>16</v>
      </c>
      <c r="C17" s="5" t="s">
        <v>1</v>
      </c>
      <c r="D17" s="5" t="s">
        <v>17</v>
      </c>
    </row>
    <row r="18" spans="2:4">
      <c r="B18" s="2" t="s">
        <v>18</v>
      </c>
      <c r="C18" s="2" t="s">
        <v>19</v>
      </c>
      <c r="D18" s="2" t="s">
        <v>20</v>
      </c>
    </row>
    <row r="19" spans="2:4">
      <c r="B19" s="2" t="s">
        <v>21</v>
      </c>
      <c r="C19" s="2" t="s">
        <v>22</v>
      </c>
      <c r="D19" s="2" t="s">
        <v>23</v>
      </c>
    </row>
    <row r="20" spans="2:4">
      <c r="B20" s="2" t="s">
        <v>24</v>
      </c>
      <c r="C20" s="2" t="s">
        <v>25</v>
      </c>
      <c r="D20" s="2" t="s">
        <v>23</v>
      </c>
    </row>
    <row r="21" spans="2:4">
      <c r="B21" s="2" t="s">
        <v>26</v>
      </c>
      <c r="C21" s="2" t="s">
        <v>27</v>
      </c>
      <c r="D21" s="2" t="s">
        <v>23</v>
      </c>
    </row>
    <row r="22" spans="2:4">
      <c r="B22" s="2" t="s">
        <v>28</v>
      </c>
      <c r="C22" s="2" t="s">
        <v>29</v>
      </c>
      <c r="D22" s="2" t="s">
        <v>30</v>
      </c>
    </row>
    <row r="23" spans="2:4">
      <c r="B23" s="2" t="s">
        <v>31</v>
      </c>
      <c r="C23" s="2" t="s">
        <v>32</v>
      </c>
      <c r="D23" s="2" t="s">
        <v>33</v>
      </c>
    </row>
    <row r="24" spans="2:4">
      <c r="B24" s="2" t="s">
        <v>34</v>
      </c>
      <c r="C24" s="2" t="s">
        <v>35</v>
      </c>
      <c r="D24" s="2" t="s">
        <v>33</v>
      </c>
    </row>
    <row r="25" spans="2:4">
      <c r="B25" s="2" t="s">
        <v>36</v>
      </c>
      <c r="C25" s="2" t="s">
        <v>37</v>
      </c>
      <c r="D25" s="2" t="s">
        <v>33</v>
      </c>
    </row>
    <row r="26" spans="2:4">
      <c r="B26" s="2" t="s">
        <v>38</v>
      </c>
      <c r="C26" s="2" t="s">
        <v>39</v>
      </c>
      <c r="D26" s="2" t="s">
        <v>20</v>
      </c>
    </row>
    <row r="27" spans="2:4">
      <c r="B27" s="2" t="s">
        <v>40</v>
      </c>
      <c r="C27" s="2" t="s">
        <v>41</v>
      </c>
      <c r="D27" s="2" t="s">
        <v>42</v>
      </c>
    </row>
    <row r="28" spans="2:4">
      <c r="B28" s="2" t="s">
        <v>43</v>
      </c>
      <c r="C28" s="2" t="s">
        <v>44</v>
      </c>
      <c r="D28" s="2" t="s">
        <v>45</v>
      </c>
    </row>
    <row r="29" spans="2:4">
      <c r="B29" s="2" t="s">
        <v>46</v>
      </c>
      <c r="C29" s="2" t="s">
        <v>47</v>
      </c>
      <c r="D29" s="2" t="s">
        <v>23</v>
      </c>
    </row>
    <row r="30" spans="2:4">
      <c r="B30" s="2" t="s">
        <v>48</v>
      </c>
      <c r="C30" s="2" t="s">
        <v>49</v>
      </c>
      <c r="D30" s="2" t="s">
        <v>20</v>
      </c>
    </row>
    <row r="31" spans="2:4">
      <c r="B31" s="2" t="s">
        <v>50</v>
      </c>
      <c r="C31" s="2" t="s">
        <v>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1"/>
  <sheetViews>
    <sheetView tabSelected="1" workbookViewId="0">
      <pane xSplit="1" topLeftCell="B1" activePane="topRight" state="frozen"/>
      <selection/>
      <selection pane="topRight" activeCell="F28" sqref="F28"/>
    </sheetView>
  </sheetViews>
  <sheetFormatPr defaultColWidth="9" defaultRowHeight="13.5"/>
  <cols>
    <col min="1" max="1" width="9.375" style="16" customWidth="1"/>
    <col min="2" max="3" width="13.75" style="16" customWidth="1"/>
    <col min="4" max="4" width="11.375" style="16" customWidth="1"/>
    <col min="5" max="5" width="10.625" style="16" customWidth="1"/>
    <col min="6" max="6" width="9.375" style="16" customWidth="1"/>
    <col min="7" max="10" width="13.75" style="16" customWidth="1"/>
    <col min="11" max="11" width="18.25" style="16" customWidth="1"/>
    <col min="12" max="12" width="13.75" style="16" customWidth="1"/>
    <col min="13" max="13" width="9.375" style="16" customWidth="1"/>
    <col min="14" max="17" width="13.75" style="16" customWidth="1"/>
    <col min="18" max="18" width="18.25" style="16" customWidth="1"/>
    <col min="19" max="19" width="9.375" style="16" customWidth="1"/>
    <col min="20" max="25" width="13.75" style="16" customWidth="1"/>
    <col min="26" max="30" width="18.25" style="16" customWidth="1"/>
    <col min="31" max="31" width="13" style="16" customWidth="1"/>
    <col min="32" max="16384" width="17.125" style="16" customWidth="1"/>
  </cols>
  <sheetData>
    <row r="1" ht="15" customHeight="1" spans="1:32">
      <c r="A1" s="17" t="s">
        <v>52</v>
      </c>
      <c r="B1" s="17" t="s">
        <v>53</v>
      </c>
      <c r="C1" s="17" t="s">
        <v>54</v>
      </c>
      <c r="D1" s="17" t="s">
        <v>55</v>
      </c>
      <c r="E1" s="17" t="s">
        <v>56</v>
      </c>
      <c r="F1" s="17" t="s">
        <v>57</v>
      </c>
      <c r="G1" s="17" t="s">
        <v>58</v>
      </c>
      <c r="H1" s="17" t="s">
        <v>59</v>
      </c>
      <c r="I1" s="17" t="s">
        <v>60</v>
      </c>
      <c r="J1" s="17" t="s">
        <v>61</v>
      </c>
      <c r="K1" s="17" t="s">
        <v>62</v>
      </c>
      <c r="L1" s="17" t="s">
        <v>63</v>
      </c>
      <c r="M1" s="17" t="s">
        <v>64</v>
      </c>
      <c r="N1" s="17" t="s">
        <v>65</v>
      </c>
      <c r="O1" s="17" t="s">
        <v>66</v>
      </c>
      <c r="P1" s="17" t="s">
        <v>67</v>
      </c>
      <c r="Q1" s="17" t="s">
        <v>68</v>
      </c>
      <c r="R1" s="17" t="s">
        <v>69</v>
      </c>
      <c r="S1" s="17" t="s">
        <v>70</v>
      </c>
      <c r="T1" s="17" t="s">
        <v>71</v>
      </c>
      <c r="U1" s="17" t="s">
        <v>72</v>
      </c>
      <c r="V1" s="17" t="s">
        <v>73</v>
      </c>
      <c r="W1" s="17" t="s">
        <v>74</v>
      </c>
      <c r="X1" s="17" t="s">
        <v>75</v>
      </c>
      <c r="Y1" s="17" t="s">
        <v>76</v>
      </c>
      <c r="Z1" s="17" t="s">
        <v>77</v>
      </c>
      <c r="AA1" s="17" t="s">
        <v>78</v>
      </c>
      <c r="AB1" s="17" t="s">
        <v>79</v>
      </c>
      <c r="AC1" s="17" t="s">
        <v>80</v>
      </c>
      <c r="AD1" s="17" t="s">
        <v>81</v>
      </c>
      <c r="AE1" s="17" t="s">
        <v>82</v>
      </c>
      <c r="AF1" s="17" t="s">
        <v>83</v>
      </c>
    </row>
    <row r="2" ht="14.25" customHeight="1" spans="1:32">
      <c r="A2" s="18">
        <v>1</v>
      </c>
      <c r="B2" s="18">
        <v>0</v>
      </c>
      <c r="C2" s="18">
        <v>1</v>
      </c>
      <c r="D2" s="18">
        <v>1</v>
      </c>
      <c r="E2" s="19">
        <v>5</v>
      </c>
      <c r="F2" s="18">
        <v>1</v>
      </c>
      <c r="G2" s="18">
        <v>0</v>
      </c>
      <c r="H2" s="18">
        <v>1</v>
      </c>
      <c r="I2" s="18">
        <v>0</v>
      </c>
      <c r="J2" s="18">
        <v>2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0</v>
      </c>
      <c r="AD2" s="18">
        <v>0</v>
      </c>
      <c r="AE2" s="20">
        <f t="shared" ref="AE2:AE61" si="0">IF(Y2&lt;=0,0,MAX(1,MIN(5,FLOOR(1+4*LN(1+MAX(AD2-8,0)/20)/LN(3.6),0.05))))</f>
        <v>0</v>
      </c>
      <c r="AF2" s="21" t="s">
        <v>84</v>
      </c>
    </row>
    <row r="3" ht="14.25" customHeight="1" spans="1:32">
      <c r="A3" s="18">
        <v>2</v>
      </c>
      <c r="B3" s="18">
        <v>0</v>
      </c>
      <c r="C3" s="18">
        <v>2</v>
      </c>
      <c r="D3" s="18">
        <v>2</v>
      </c>
      <c r="E3" s="19">
        <v>6</v>
      </c>
      <c r="F3" s="18">
        <v>1</v>
      </c>
      <c r="G3" s="18">
        <v>0</v>
      </c>
      <c r="H3" s="18">
        <v>1</v>
      </c>
      <c r="I3" s="18">
        <v>0</v>
      </c>
      <c r="J3" s="18">
        <v>3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20">
        <f t="shared" si="0"/>
        <v>0</v>
      </c>
      <c r="AF3" s="21"/>
    </row>
    <row r="4" ht="14.25" customHeight="1" spans="1:32">
      <c r="A4" s="18">
        <v>3</v>
      </c>
      <c r="B4" s="18">
        <v>0</v>
      </c>
      <c r="C4" s="18">
        <v>3</v>
      </c>
      <c r="D4" s="18">
        <v>3</v>
      </c>
      <c r="E4" s="19">
        <v>6</v>
      </c>
      <c r="F4" s="18">
        <v>2</v>
      </c>
      <c r="G4" s="18">
        <v>0</v>
      </c>
      <c r="H4" s="18">
        <v>2</v>
      </c>
      <c r="I4" s="18">
        <v>0</v>
      </c>
      <c r="J4" s="18">
        <v>5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0</v>
      </c>
      <c r="AE4" s="20">
        <f t="shared" si="0"/>
        <v>0</v>
      </c>
      <c r="AF4" s="21" t="s">
        <v>85</v>
      </c>
    </row>
    <row r="5" ht="14.25" customHeight="1" spans="1:32">
      <c r="A5" s="18">
        <v>4</v>
      </c>
      <c r="B5" s="18">
        <v>0</v>
      </c>
      <c r="C5" s="18">
        <v>4</v>
      </c>
      <c r="D5" s="18">
        <v>4</v>
      </c>
      <c r="E5" s="19">
        <v>10</v>
      </c>
      <c r="F5" s="18">
        <v>2</v>
      </c>
      <c r="G5" s="18">
        <v>0</v>
      </c>
      <c r="H5" s="18">
        <v>2</v>
      </c>
      <c r="I5" s="18">
        <v>0</v>
      </c>
      <c r="J5" s="18">
        <v>6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20">
        <f t="shared" si="0"/>
        <v>0</v>
      </c>
      <c r="AF5" s="21" t="s">
        <v>86</v>
      </c>
    </row>
    <row r="6" ht="14.25" customHeight="1" spans="1:32">
      <c r="A6" s="18">
        <v>5</v>
      </c>
      <c r="B6" s="18">
        <v>0</v>
      </c>
      <c r="C6" s="18">
        <v>5</v>
      </c>
      <c r="D6" s="18">
        <v>5</v>
      </c>
      <c r="E6" s="19">
        <v>12</v>
      </c>
      <c r="F6" s="18">
        <v>2</v>
      </c>
      <c r="G6" s="18">
        <v>0</v>
      </c>
      <c r="H6" s="18">
        <v>2</v>
      </c>
      <c r="I6" s="18">
        <v>0</v>
      </c>
      <c r="J6" s="18">
        <v>7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20">
        <f t="shared" si="0"/>
        <v>0</v>
      </c>
      <c r="AF6" s="21" t="s">
        <v>86</v>
      </c>
    </row>
    <row r="7" ht="14.25" customHeight="1" spans="1:32">
      <c r="A7" s="18">
        <v>6</v>
      </c>
      <c r="B7" s="18">
        <v>1</v>
      </c>
      <c r="C7" s="18">
        <v>2</v>
      </c>
      <c r="D7" s="18">
        <v>7</v>
      </c>
      <c r="E7" s="19">
        <v>17</v>
      </c>
      <c r="F7" s="18">
        <v>2</v>
      </c>
      <c r="G7" s="18">
        <v>0</v>
      </c>
      <c r="H7" s="18">
        <v>2</v>
      </c>
      <c r="I7" s="18">
        <v>0</v>
      </c>
      <c r="J7" s="18">
        <v>8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20">
        <f t="shared" si="0"/>
        <v>0</v>
      </c>
      <c r="AF7" s="21" t="s">
        <v>86</v>
      </c>
    </row>
    <row r="8" ht="14.25" customHeight="1" spans="1:32">
      <c r="A8" s="18">
        <v>7</v>
      </c>
      <c r="B8" s="18">
        <v>1</v>
      </c>
      <c r="C8" s="18">
        <v>3</v>
      </c>
      <c r="D8" s="18">
        <v>8</v>
      </c>
      <c r="E8" s="19">
        <v>19</v>
      </c>
      <c r="F8" s="18">
        <v>3</v>
      </c>
      <c r="G8" s="18">
        <v>0</v>
      </c>
      <c r="H8" s="18">
        <v>3</v>
      </c>
      <c r="I8" s="18">
        <v>0</v>
      </c>
      <c r="J8" s="18">
        <v>9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20">
        <f t="shared" si="0"/>
        <v>0</v>
      </c>
      <c r="AF8" s="22" t="s">
        <v>87</v>
      </c>
    </row>
    <row r="9" ht="14.25" customHeight="1" spans="1:32">
      <c r="A9" s="18">
        <v>8</v>
      </c>
      <c r="B9" s="18">
        <v>1</v>
      </c>
      <c r="C9" s="18">
        <v>4</v>
      </c>
      <c r="D9" s="18">
        <v>9</v>
      </c>
      <c r="E9" s="19">
        <v>21</v>
      </c>
      <c r="F9" s="18">
        <v>3</v>
      </c>
      <c r="G9" s="18">
        <v>0</v>
      </c>
      <c r="H9" s="18">
        <v>3</v>
      </c>
      <c r="I9" s="18">
        <v>1</v>
      </c>
      <c r="J9" s="18">
        <v>10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20">
        <f t="shared" si="0"/>
        <v>0</v>
      </c>
    </row>
    <row r="10" ht="14.25" customHeight="1" spans="1:32">
      <c r="A10" s="18">
        <v>9</v>
      </c>
      <c r="B10" s="18">
        <v>1</v>
      </c>
      <c r="C10" s="18">
        <v>5</v>
      </c>
      <c r="D10" s="18">
        <v>10</v>
      </c>
      <c r="E10" s="19">
        <v>24</v>
      </c>
      <c r="F10" s="18">
        <v>4</v>
      </c>
      <c r="G10" s="18">
        <v>0</v>
      </c>
      <c r="H10" s="18">
        <v>4</v>
      </c>
      <c r="I10" s="18">
        <v>1</v>
      </c>
      <c r="J10" s="18">
        <v>11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20">
        <f t="shared" si="0"/>
        <v>0</v>
      </c>
      <c r="AF10" s="22" t="s">
        <v>88</v>
      </c>
    </row>
    <row r="11" ht="14.25" customHeight="1" spans="1:32">
      <c r="A11" s="23">
        <v>10</v>
      </c>
      <c r="B11" s="23">
        <v>1</v>
      </c>
      <c r="C11" s="23">
        <v>7</v>
      </c>
      <c r="D11" s="23">
        <v>12</v>
      </c>
      <c r="E11" s="24">
        <v>27</v>
      </c>
      <c r="F11" s="23">
        <v>4</v>
      </c>
      <c r="G11" s="23">
        <v>0</v>
      </c>
      <c r="H11" s="23">
        <v>4</v>
      </c>
      <c r="I11" s="23">
        <v>1</v>
      </c>
      <c r="J11" s="23">
        <v>13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0</v>
      </c>
      <c r="AD11" s="23">
        <v>0</v>
      </c>
      <c r="AE11" s="25">
        <f t="shared" si="0"/>
        <v>0</v>
      </c>
    </row>
    <row r="12" ht="14.25" customHeight="1" spans="1:32">
      <c r="A12" s="18">
        <v>11</v>
      </c>
      <c r="B12" s="18">
        <v>1</v>
      </c>
      <c r="C12" s="18">
        <v>8</v>
      </c>
      <c r="D12" s="18">
        <v>13</v>
      </c>
      <c r="E12" s="19">
        <v>29</v>
      </c>
      <c r="F12" s="18">
        <v>4</v>
      </c>
      <c r="G12" s="18">
        <v>0</v>
      </c>
      <c r="H12" s="18">
        <v>4</v>
      </c>
      <c r="I12" s="18">
        <v>1</v>
      </c>
      <c r="J12" s="18">
        <v>14</v>
      </c>
      <c r="K12" s="18">
        <v>0</v>
      </c>
      <c r="L12" s="18">
        <v>1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20">
        <f t="shared" si="0"/>
        <v>0</v>
      </c>
      <c r="AF12" s="26" t="s">
        <v>89</v>
      </c>
    </row>
    <row r="13" ht="14.25" customHeight="1" spans="1:32">
      <c r="A13" s="18">
        <v>12</v>
      </c>
      <c r="B13" s="18">
        <v>1</v>
      </c>
      <c r="C13" s="18">
        <v>9</v>
      </c>
      <c r="D13" s="18">
        <v>14</v>
      </c>
      <c r="E13" s="19">
        <v>30</v>
      </c>
      <c r="F13" s="18">
        <v>4</v>
      </c>
      <c r="G13" s="18">
        <v>0</v>
      </c>
      <c r="H13" s="18">
        <v>4</v>
      </c>
      <c r="I13" s="18">
        <v>1</v>
      </c>
      <c r="J13" s="18">
        <v>15</v>
      </c>
      <c r="K13" s="18">
        <v>0</v>
      </c>
      <c r="L13" s="18">
        <v>2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20">
        <f t="shared" si="0"/>
        <v>0</v>
      </c>
      <c r="AF13" s="21" t="s">
        <v>86</v>
      </c>
    </row>
    <row r="14" ht="14.25" customHeight="1" spans="1:32">
      <c r="A14" s="18">
        <v>13</v>
      </c>
      <c r="B14" s="18">
        <v>2</v>
      </c>
      <c r="C14" s="18">
        <v>2</v>
      </c>
      <c r="D14" s="18">
        <v>17</v>
      </c>
      <c r="E14" s="19">
        <v>37</v>
      </c>
      <c r="F14" s="18">
        <v>4</v>
      </c>
      <c r="G14" s="18">
        <v>0</v>
      </c>
      <c r="H14" s="18">
        <v>4</v>
      </c>
      <c r="I14" s="18">
        <v>1</v>
      </c>
      <c r="J14" s="18">
        <v>18</v>
      </c>
      <c r="K14" s="18">
        <v>0</v>
      </c>
      <c r="L14" s="18">
        <v>3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20">
        <f t="shared" si="0"/>
        <v>0</v>
      </c>
      <c r="AF14" s="21" t="s">
        <v>86</v>
      </c>
    </row>
    <row r="15" ht="14.25" customHeight="1" spans="1:32">
      <c r="A15" s="18">
        <v>14</v>
      </c>
      <c r="B15" s="18">
        <v>2</v>
      </c>
      <c r="C15" s="18">
        <v>4</v>
      </c>
      <c r="D15" s="18">
        <v>19</v>
      </c>
      <c r="E15" s="19">
        <v>41</v>
      </c>
      <c r="F15" s="18">
        <v>4</v>
      </c>
      <c r="G15" s="18">
        <v>0</v>
      </c>
      <c r="H15" s="18">
        <v>4</v>
      </c>
      <c r="I15" s="18">
        <v>1</v>
      </c>
      <c r="J15" s="18">
        <v>20</v>
      </c>
      <c r="K15" s="18">
        <v>0</v>
      </c>
      <c r="L15" s="18">
        <v>4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20">
        <f t="shared" si="0"/>
        <v>0</v>
      </c>
      <c r="AF15" s="21" t="s">
        <v>86</v>
      </c>
    </row>
    <row r="16" ht="14.25" customHeight="1" spans="1:32">
      <c r="A16" s="18">
        <v>15</v>
      </c>
      <c r="B16" s="18">
        <v>2</v>
      </c>
      <c r="C16" s="18">
        <v>7</v>
      </c>
      <c r="D16" s="18">
        <v>22</v>
      </c>
      <c r="E16" s="19">
        <v>49</v>
      </c>
      <c r="F16" s="18">
        <v>5</v>
      </c>
      <c r="G16" s="18">
        <v>0</v>
      </c>
      <c r="H16" s="18">
        <v>4</v>
      </c>
      <c r="I16" s="18">
        <v>1</v>
      </c>
      <c r="J16" s="18">
        <v>20</v>
      </c>
      <c r="K16" s="18">
        <v>0</v>
      </c>
      <c r="L16" s="18">
        <v>5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20">
        <f t="shared" si="0"/>
        <v>0</v>
      </c>
      <c r="AF16" s="21"/>
    </row>
    <row r="17" ht="14.25" customHeight="1" spans="1:32">
      <c r="A17" s="18">
        <v>16</v>
      </c>
      <c r="B17" s="18">
        <v>2</v>
      </c>
      <c r="C17" s="18">
        <v>9</v>
      </c>
      <c r="D17" s="18">
        <v>24</v>
      </c>
      <c r="E17" s="19">
        <v>52</v>
      </c>
      <c r="F17" s="18">
        <v>5</v>
      </c>
      <c r="G17" s="18">
        <v>0</v>
      </c>
      <c r="H17" s="18">
        <v>4</v>
      </c>
      <c r="I17" s="18">
        <v>1</v>
      </c>
      <c r="J17" s="18">
        <v>20</v>
      </c>
      <c r="K17" s="18">
        <v>0</v>
      </c>
      <c r="L17" s="18">
        <v>5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20">
        <f t="shared" si="0"/>
        <v>0</v>
      </c>
      <c r="AF17" s="21" t="s">
        <v>86</v>
      </c>
    </row>
    <row r="18" ht="14.25" customHeight="1" spans="1:32">
      <c r="A18" s="18">
        <v>17</v>
      </c>
      <c r="B18" s="18">
        <v>2</v>
      </c>
      <c r="C18" s="18">
        <v>12</v>
      </c>
      <c r="D18" s="18">
        <v>27</v>
      </c>
      <c r="E18" s="19">
        <v>57</v>
      </c>
      <c r="F18" s="18">
        <v>5</v>
      </c>
      <c r="G18" s="18">
        <v>0</v>
      </c>
      <c r="H18" s="18">
        <v>4</v>
      </c>
      <c r="I18" s="18">
        <v>1</v>
      </c>
      <c r="J18" s="18">
        <v>20</v>
      </c>
      <c r="K18" s="18">
        <v>0</v>
      </c>
      <c r="L18" s="18">
        <v>6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20">
        <f t="shared" si="0"/>
        <v>0</v>
      </c>
      <c r="AF18" s="21" t="s">
        <v>86</v>
      </c>
    </row>
    <row r="19" ht="14.25" customHeight="1" spans="1:32">
      <c r="A19" s="18">
        <v>18</v>
      </c>
      <c r="B19" s="18">
        <v>2</v>
      </c>
      <c r="C19" s="18">
        <v>14</v>
      </c>
      <c r="D19" s="18">
        <v>29</v>
      </c>
      <c r="E19" s="19">
        <v>60</v>
      </c>
      <c r="F19" s="18">
        <v>5</v>
      </c>
      <c r="G19" s="18">
        <v>0</v>
      </c>
      <c r="H19" s="18">
        <v>4</v>
      </c>
      <c r="I19" s="18">
        <v>1</v>
      </c>
      <c r="J19" s="18">
        <v>20</v>
      </c>
      <c r="K19" s="18">
        <v>0</v>
      </c>
      <c r="L19" s="18">
        <v>6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20">
        <f t="shared" si="0"/>
        <v>0</v>
      </c>
      <c r="AF19" s="21" t="s">
        <v>86</v>
      </c>
    </row>
    <row r="20" ht="14.25" customHeight="1" spans="1:32">
      <c r="A20" s="23">
        <v>19</v>
      </c>
      <c r="B20" s="23">
        <v>3</v>
      </c>
      <c r="C20" s="23">
        <v>2</v>
      </c>
      <c r="D20" s="23">
        <v>32</v>
      </c>
      <c r="E20" s="24">
        <v>68</v>
      </c>
      <c r="F20" s="23">
        <v>5</v>
      </c>
      <c r="G20" s="23">
        <v>0</v>
      </c>
      <c r="H20" s="23">
        <v>4</v>
      </c>
      <c r="I20" s="23">
        <v>1</v>
      </c>
      <c r="J20" s="23">
        <v>20</v>
      </c>
      <c r="K20" s="23">
        <v>0</v>
      </c>
      <c r="L20" s="23">
        <v>7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3</v>
      </c>
      <c r="Z20" s="23">
        <v>2</v>
      </c>
      <c r="AA20" s="23">
        <v>1</v>
      </c>
      <c r="AB20" s="23">
        <v>0</v>
      </c>
      <c r="AC20" s="23">
        <v>0</v>
      </c>
      <c r="AD20" s="23">
        <v>2</v>
      </c>
      <c r="AE20" s="25">
        <f t="shared" si="0"/>
        <v>1</v>
      </c>
      <c r="AF20" s="26" t="s">
        <v>90</v>
      </c>
    </row>
    <row r="21" ht="14.25" customHeight="1" spans="1:32">
      <c r="A21" s="18">
        <v>20</v>
      </c>
      <c r="B21" s="18">
        <v>3</v>
      </c>
      <c r="C21" s="18">
        <v>5</v>
      </c>
      <c r="D21" s="18">
        <v>35</v>
      </c>
      <c r="E21" s="19">
        <v>77</v>
      </c>
      <c r="F21" s="18">
        <v>5</v>
      </c>
      <c r="G21" s="18">
        <v>0</v>
      </c>
      <c r="H21" s="18">
        <v>4</v>
      </c>
      <c r="I21" s="18">
        <v>1</v>
      </c>
      <c r="J21" s="18">
        <v>30</v>
      </c>
      <c r="K21" s="18">
        <v>1</v>
      </c>
      <c r="L21" s="18">
        <v>7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6</v>
      </c>
      <c r="Z21" s="18">
        <v>5</v>
      </c>
      <c r="AA21" s="18">
        <v>1</v>
      </c>
      <c r="AB21" s="18">
        <v>0</v>
      </c>
      <c r="AC21" s="18">
        <v>0</v>
      </c>
      <c r="AD21" s="18">
        <v>8</v>
      </c>
      <c r="AE21" s="20">
        <f t="shared" si="0"/>
        <v>1</v>
      </c>
      <c r="AF21" s="21" t="s">
        <v>86</v>
      </c>
    </row>
    <row r="22" ht="14.25" customHeight="1" spans="1:32">
      <c r="A22" s="18">
        <v>21</v>
      </c>
      <c r="B22" s="18">
        <v>3</v>
      </c>
      <c r="C22" s="18">
        <v>8</v>
      </c>
      <c r="D22" s="18">
        <v>38</v>
      </c>
      <c r="E22" s="19">
        <v>86</v>
      </c>
      <c r="F22" s="18">
        <v>5</v>
      </c>
      <c r="G22" s="18">
        <v>0</v>
      </c>
      <c r="H22" s="18">
        <v>4</v>
      </c>
      <c r="I22" s="18">
        <v>1</v>
      </c>
      <c r="J22" s="18">
        <v>30</v>
      </c>
      <c r="K22" s="18">
        <v>1</v>
      </c>
      <c r="L22" s="18">
        <v>8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8</v>
      </c>
      <c r="Z22" s="18">
        <v>7</v>
      </c>
      <c r="AA22" s="18">
        <v>1</v>
      </c>
      <c r="AB22" s="18">
        <v>0</v>
      </c>
      <c r="AC22" s="18">
        <v>0</v>
      </c>
      <c r="AD22" s="18">
        <v>10</v>
      </c>
      <c r="AE22" s="20">
        <f t="shared" si="0"/>
        <v>1.25</v>
      </c>
      <c r="AF22" s="21" t="s">
        <v>86</v>
      </c>
    </row>
    <row r="23" ht="14.25" customHeight="1" spans="1:32">
      <c r="A23" s="18">
        <v>22</v>
      </c>
      <c r="B23" s="18">
        <v>3</v>
      </c>
      <c r="C23" s="18">
        <v>11</v>
      </c>
      <c r="D23" s="18">
        <v>41</v>
      </c>
      <c r="E23" s="19">
        <v>93</v>
      </c>
      <c r="F23" s="18">
        <v>5</v>
      </c>
      <c r="G23" s="18">
        <v>0</v>
      </c>
      <c r="H23" s="18">
        <v>4</v>
      </c>
      <c r="I23" s="18">
        <v>1</v>
      </c>
      <c r="J23" s="18">
        <v>30</v>
      </c>
      <c r="K23" s="18">
        <v>1</v>
      </c>
      <c r="L23" s="18">
        <v>8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8</v>
      </c>
      <c r="Z23" s="18">
        <v>7</v>
      </c>
      <c r="AA23" s="18">
        <v>1</v>
      </c>
      <c r="AB23" s="18">
        <v>0</v>
      </c>
      <c r="AC23" s="18">
        <v>0</v>
      </c>
      <c r="AD23" s="18">
        <v>13</v>
      </c>
      <c r="AE23" s="20">
        <f t="shared" si="0"/>
        <v>1.65</v>
      </c>
      <c r="AF23" s="21" t="s">
        <v>86</v>
      </c>
    </row>
    <row r="24" ht="14.25" customHeight="1" spans="1:32">
      <c r="A24" s="18">
        <v>23</v>
      </c>
      <c r="B24" s="18">
        <v>3</v>
      </c>
      <c r="C24" s="18">
        <v>14</v>
      </c>
      <c r="D24" s="18">
        <v>44</v>
      </c>
      <c r="E24" s="19">
        <v>99</v>
      </c>
      <c r="F24" s="18">
        <v>5</v>
      </c>
      <c r="G24" s="18">
        <v>0</v>
      </c>
      <c r="H24" s="18">
        <v>4</v>
      </c>
      <c r="I24" s="18">
        <v>1</v>
      </c>
      <c r="J24" s="18">
        <v>30</v>
      </c>
      <c r="K24" s="18">
        <v>1</v>
      </c>
      <c r="L24" s="18">
        <v>9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8</v>
      </c>
      <c r="Z24" s="18">
        <v>7</v>
      </c>
      <c r="AA24" s="18">
        <v>1</v>
      </c>
      <c r="AB24" s="18">
        <v>0</v>
      </c>
      <c r="AC24" s="18">
        <v>0</v>
      </c>
      <c r="AD24" s="18">
        <v>16</v>
      </c>
      <c r="AE24" s="20">
        <f t="shared" si="0"/>
        <v>2.05</v>
      </c>
      <c r="AF24" s="21" t="s">
        <v>86</v>
      </c>
    </row>
    <row r="25" ht="14.25" customHeight="1" spans="1:32">
      <c r="A25" s="18">
        <v>24</v>
      </c>
      <c r="B25" s="18">
        <v>4</v>
      </c>
      <c r="C25" s="18">
        <v>2</v>
      </c>
      <c r="D25" s="18">
        <v>47</v>
      </c>
      <c r="E25" s="19">
        <v>105</v>
      </c>
      <c r="F25" s="18">
        <v>5</v>
      </c>
      <c r="G25" s="18">
        <v>0</v>
      </c>
      <c r="H25" s="18">
        <v>4</v>
      </c>
      <c r="I25" s="18">
        <v>1</v>
      </c>
      <c r="J25" s="18">
        <v>30</v>
      </c>
      <c r="K25" s="18">
        <v>1</v>
      </c>
      <c r="L25" s="18">
        <v>9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8</v>
      </c>
      <c r="Z25" s="18">
        <v>2</v>
      </c>
      <c r="AA25" s="18">
        <v>4</v>
      </c>
      <c r="AB25" s="18">
        <v>2</v>
      </c>
      <c r="AC25" s="18">
        <v>0</v>
      </c>
      <c r="AD25" s="18">
        <v>18</v>
      </c>
      <c r="AE25" s="20">
        <f t="shared" si="0"/>
        <v>2.25</v>
      </c>
      <c r="AF25" s="21" t="s">
        <v>86</v>
      </c>
    </row>
    <row r="26" ht="14.25" customHeight="1" spans="1:32">
      <c r="A26" s="18">
        <v>25</v>
      </c>
      <c r="B26" s="18">
        <v>4</v>
      </c>
      <c r="C26" s="18">
        <v>5</v>
      </c>
      <c r="D26" s="18">
        <v>50</v>
      </c>
      <c r="E26" s="19">
        <v>111</v>
      </c>
      <c r="F26" s="18">
        <v>5</v>
      </c>
      <c r="G26" s="18">
        <v>0</v>
      </c>
      <c r="H26" s="18">
        <v>4</v>
      </c>
      <c r="I26" s="18">
        <v>1</v>
      </c>
      <c r="J26" s="18">
        <v>30</v>
      </c>
      <c r="K26" s="18">
        <v>1</v>
      </c>
      <c r="L26" s="18">
        <v>10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8</v>
      </c>
      <c r="Z26" s="18">
        <v>1.7</v>
      </c>
      <c r="AA26" s="18">
        <v>3.7</v>
      </c>
      <c r="AB26" s="18">
        <v>2.6</v>
      </c>
      <c r="AC26" s="18">
        <v>0</v>
      </c>
      <c r="AD26" s="18">
        <v>20</v>
      </c>
      <c r="AE26" s="20">
        <f t="shared" si="0"/>
        <v>2.45</v>
      </c>
      <c r="AF26" s="21" t="s">
        <v>86</v>
      </c>
    </row>
    <row r="27" ht="14.25" customHeight="1" spans="1:32">
      <c r="A27" s="18">
        <v>26</v>
      </c>
      <c r="B27" s="18">
        <v>4</v>
      </c>
      <c r="C27" s="18">
        <v>8</v>
      </c>
      <c r="D27" s="18">
        <v>53</v>
      </c>
      <c r="E27" s="19">
        <v>117</v>
      </c>
      <c r="F27" s="18">
        <v>5</v>
      </c>
      <c r="G27" s="18">
        <v>0</v>
      </c>
      <c r="H27" s="18">
        <v>4</v>
      </c>
      <c r="I27" s="18">
        <v>1</v>
      </c>
      <c r="J27" s="18">
        <v>30</v>
      </c>
      <c r="K27" s="18">
        <v>1</v>
      </c>
      <c r="L27" s="18">
        <v>10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8</v>
      </c>
      <c r="Z27" s="18">
        <v>1.3</v>
      </c>
      <c r="AA27" s="18">
        <v>3.4</v>
      </c>
      <c r="AB27" s="18">
        <v>3.3</v>
      </c>
      <c r="AC27" s="18">
        <v>0</v>
      </c>
      <c r="AD27" s="18">
        <v>22</v>
      </c>
      <c r="AE27" s="20">
        <f t="shared" si="0"/>
        <v>2.65</v>
      </c>
      <c r="AF27" s="21" t="s">
        <v>86</v>
      </c>
    </row>
    <row r="28" ht="14.25" customHeight="1" spans="1:32">
      <c r="A28" s="23">
        <v>27</v>
      </c>
      <c r="B28" s="23">
        <v>4</v>
      </c>
      <c r="C28" s="23">
        <v>11</v>
      </c>
      <c r="D28" s="23">
        <v>56</v>
      </c>
      <c r="E28" s="24">
        <v>122</v>
      </c>
      <c r="F28" s="23">
        <v>5</v>
      </c>
      <c r="G28" s="23">
        <v>0</v>
      </c>
      <c r="H28" s="23">
        <v>4</v>
      </c>
      <c r="I28" s="23">
        <v>1</v>
      </c>
      <c r="J28" s="23">
        <v>30</v>
      </c>
      <c r="K28" s="23">
        <v>1</v>
      </c>
      <c r="L28" s="23">
        <v>11</v>
      </c>
      <c r="M28" s="23">
        <v>2</v>
      </c>
      <c r="N28" s="23">
        <v>1.5</v>
      </c>
      <c r="O28" s="23">
        <v>0.5</v>
      </c>
      <c r="P28" s="23">
        <v>0</v>
      </c>
      <c r="Q28" s="23">
        <v>10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8</v>
      </c>
      <c r="Z28" s="23">
        <v>1</v>
      </c>
      <c r="AA28" s="23">
        <v>3.1</v>
      </c>
      <c r="AB28" s="23">
        <v>3.9</v>
      </c>
      <c r="AC28" s="23">
        <v>0</v>
      </c>
      <c r="AD28" s="23">
        <v>24</v>
      </c>
      <c r="AE28" s="25">
        <f t="shared" si="0"/>
        <v>2.8</v>
      </c>
      <c r="AF28" s="26" t="s">
        <v>91</v>
      </c>
    </row>
    <row r="29" ht="14.25" customHeight="1" spans="1:32">
      <c r="A29" s="18">
        <v>28</v>
      </c>
      <c r="B29" s="18">
        <v>4</v>
      </c>
      <c r="C29" s="18">
        <v>14</v>
      </c>
      <c r="D29" s="18">
        <v>59</v>
      </c>
      <c r="E29" s="19">
        <v>127</v>
      </c>
      <c r="F29" s="18">
        <v>5</v>
      </c>
      <c r="G29" s="18">
        <v>0</v>
      </c>
      <c r="H29" s="18">
        <v>3</v>
      </c>
      <c r="I29" s="18">
        <v>2</v>
      </c>
      <c r="J29" s="18">
        <v>30</v>
      </c>
      <c r="K29" s="18">
        <v>1</v>
      </c>
      <c r="L29" s="18">
        <v>11</v>
      </c>
      <c r="M29" s="18">
        <v>4</v>
      </c>
      <c r="N29" s="18">
        <v>2</v>
      </c>
      <c r="O29" s="18">
        <v>2</v>
      </c>
      <c r="P29" s="18">
        <v>0</v>
      </c>
      <c r="Q29" s="18">
        <v>18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8</v>
      </c>
      <c r="Z29" s="18">
        <v>0.7</v>
      </c>
      <c r="AA29" s="18">
        <v>2.8</v>
      </c>
      <c r="AB29" s="18">
        <v>4.5</v>
      </c>
      <c r="AC29" s="18">
        <v>0</v>
      </c>
      <c r="AD29" s="18">
        <v>26</v>
      </c>
      <c r="AE29" s="20">
        <f t="shared" si="0"/>
        <v>3</v>
      </c>
      <c r="AF29" s="21" t="s">
        <v>86</v>
      </c>
    </row>
    <row r="30" ht="14.25" customHeight="1" spans="1:32">
      <c r="A30" s="18">
        <v>29</v>
      </c>
      <c r="B30" s="18">
        <v>5</v>
      </c>
      <c r="C30" s="18">
        <v>3</v>
      </c>
      <c r="D30" s="18">
        <v>63</v>
      </c>
      <c r="E30" s="19">
        <v>133</v>
      </c>
      <c r="F30" s="18">
        <v>5</v>
      </c>
      <c r="G30" s="18">
        <v>0</v>
      </c>
      <c r="H30" s="18">
        <v>3</v>
      </c>
      <c r="I30" s="18">
        <v>2</v>
      </c>
      <c r="J30" s="18">
        <v>30</v>
      </c>
      <c r="K30" s="18">
        <v>1</v>
      </c>
      <c r="L30" s="18">
        <v>12</v>
      </c>
      <c r="M30" s="18">
        <v>5</v>
      </c>
      <c r="N30" s="18">
        <v>2</v>
      </c>
      <c r="O30" s="18">
        <v>3</v>
      </c>
      <c r="P30" s="18">
        <v>0</v>
      </c>
      <c r="Q30" s="18">
        <v>22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8</v>
      </c>
      <c r="Z30" s="18">
        <v>0.3</v>
      </c>
      <c r="AA30" s="18">
        <v>2.5</v>
      </c>
      <c r="AB30" s="18">
        <v>5</v>
      </c>
      <c r="AC30" s="18">
        <v>0.2</v>
      </c>
      <c r="AD30" s="18">
        <v>28</v>
      </c>
      <c r="AE30" s="20">
        <f t="shared" si="0"/>
        <v>3.15</v>
      </c>
      <c r="AF30" s="21" t="s">
        <v>86</v>
      </c>
    </row>
    <row r="31" ht="14.25" customHeight="1" spans="1:32">
      <c r="A31" s="18">
        <v>30</v>
      </c>
      <c r="B31" s="18">
        <v>5</v>
      </c>
      <c r="C31" s="18">
        <v>7</v>
      </c>
      <c r="D31" s="18">
        <v>67</v>
      </c>
      <c r="E31" s="19">
        <v>141</v>
      </c>
      <c r="F31" s="18">
        <v>5</v>
      </c>
      <c r="G31" s="18">
        <v>0</v>
      </c>
      <c r="H31" s="18">
        <v>3</v>
      </c>
      <c r="I31" s="18">
        <v>2</v>
      </c>
      <c r="J31" s="18">
        <v>40</v>
      </c>
      <c r="K31" s="18">
        <v>2</v>
      </c>
      <c r="L31" s="18">
        <v>12</v>
      </c>
      <c r="M31" s="18">
        <v>5</v>
      </c>
      <c r="N31" s="18">
        <v>2</v>
      </c>
      <c r="O31" s="18">
        <v>3</v>
      </c>
      <c r="P31" s="18">
        <v>0</v>
      </c>
      <c r="Q31" s="18">
        <v>26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8</v>
      </c>
      <c r="Z31" s="18">
        <v>0</v>
      </c>
      <c r="AA31" s="18">
        <v>2.2</v>
      </c>
      <c r="AB31" s="18">
        <v>5.5</v>
      </c>
      <c r="AC31" s="18">
        <v>0.3</v>
      </c>
      <c r="AD31" s="18">
        <v>29</v>
      </c>
      <c r="AE31" s="20">
        <f t="shared" si="0"/>
        <v>3.2</v>
      </c>
      <c r="AF31" s="21" t="s">
        <v>86</v>
      </c>
    </row>
    <row r="32" ht="14.25" customHeight="1" spans="1:32">
      <c r="A32" s="18">
        <v>31</v>
      </c>
      <c r="B32" s="18">
        <v>5</v>
      </c>
      <c r="C32" s="18">
        <v>10</v>
      </c>
      <c r="D32" s="18">
        <v>70</v>
      </c>
      <c r="E32" s="19">
        <v>147</v>
      </c>
      <c r="F32" s="18">
        <v>5</v>
      </c>
      <c r="G32" s="18">
        <v>0</v>
      </c>
      <c r="H32" s="18">
        <v>3</v>
      </c>
      <c r="I32" s="18">
        <v>2</v>
      </c>
      <c r="J32" s="18">
        <v>40</v>
      </c>
      <c r="K32" s="18">
        <v>2</v>
      </c>
      <c r="L32" s="18">
        <v>13</v>
      </c>
      <c r="M32" s="18">
        <v>5</v>
      </c>
      <c r="N32" s="18">
        <v>2</v>
      </c>
      <c r="O32" s="18">
        <v>3</v>
      </c>
      <c r="P32" s="18">
        <v>0</v>
      </c>
      <c r="Q32" s="18">
        <v>28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8</v>
      </c>
      <c r="Z32" s="18">
        <v>0</v>
      </c>
      <c r="AA32" s="18">
        <v>1.9</v>
      </c>
      <c r="AB32" s="18">
        <v>5.6</v>
      </c>
      <c r="AC32" s="18">
        <v>0.5</v>
      </c>
      <c r="AD32" s="18">
        <v>30</v>
      </c>
      <c r="AE32" s="20">
        <f t="shared" si="0"/>
        <v>3.3</v>
      </c>
      <c r="AF32" s="21" t="s">
        <v>86</v>
      </c>
    </row>
    <row r="33" ht="14.25" customHeight="1" spans="1:32">
      <c r="A33" s="18">
        <v>32</v>
      </c>
      <c r="B33" s="18">
        <v>5</v>
      </c>
      <c r="C33" s="18">
        <v>14</v>
      </c>
      <c r="D33" s="18">
        <v>74</v>
      </c>
      <c r="E33" s="19">
        <v>154</v>
      </c>
      <c r="F33" s="18">
        <v>5</v>
      </c>
      <c r="G33" s="18">
        <v>0</v>
      </c>
      <c r="H33" s="18">
        <v>3</v>
      </c>
      <c r="I33" s="18">
        <v>2</v>
      </c>
      <c r="J33" s="18">
        <v>40</v>
      </c>
      <c r="K33" s="18">
        <v>2</v>
      </c>
      <c r="L33" s="18">
        <v>13</v>
      </c>
      <c r="M33" s="18">
        <v>5</v>
      </c>
      <c r="N33" s="18">
        <v>2</v>
      </c>
      <c r="O33" s="18">
        <v>3</v>
      </c>
      <c r="P33" s="18">
        <v>0</v>
      </c>
      <c r="Q33" s="18">
        <v>30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8</v>
      </c>
      <c r="Z33" s="18">
        <v>0</v>
      </c>
      <c r="AA33" s="18">
        <v>1.6</v>
      </c>
      <c r="AB33" s="18">
        <v>5.7</v>
      </c>
      <c r="AC33" s="18">
        <v>0.7</v>
      </c>
      <c r="AD33" s="18">
        <v>32</v>
      </c>
      <c r="AE33" s="20">
        <f t="shared" si="0"/>
        <v>3.45</v>
      </c>
      <c r="AF33" s="21" t="s">
        <v>86</v>
      </c>
    </row>
    <row r="34" ht="14.25" customHeight="1" spans="1:32">
      <c r="A34" s="18">
        <v>33</v>
      </c>
      <c r="B34" s="18">
        <v>6</v>
      </c>
      <c r="C34" s="18">
        <v>4</v>
      </c>
      <c r="D34" s="18">
        <v>79</v>
      </c>
      <c r="E34" s="19">
        <v>163</v>
      </c>
      <c r="F34" s="18">
        <v>5</v>
      </c>
      <c r="G34" s="18">
        <v>0</v>
      </c>
      <c r="H34" s="18">
        <v>3</v>
      </c>
      <c r="I34" s="18">
        <v>2</v>
      </c>
      <c r="J34" s="18">
        <v>40</v>
      </c>
      <c r="K34" s="18">
        <v>2</v>
      </c>
      <c r="L34" s="18">
        <v>14</v>
      </c>
      <c r="M34" s="18">
        <v>5</v>
      </c>
      <c r="N34" s="18">
        <v>2</v>
      </c>
      <c r="O34" s="18">
        <v>3</v>
      </c>
      <c r="P34" s="18">
        <v>0</v>
      </c>
      <c r="Q34" s="18">
        <v>31</v>
      </c>
      <c r="R34" s="18">
        <v>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8</v>
      </c>
      <c r="Z34" s="18">
        <v>0</v>
      </c>
      <c r="AA34" s="18">
        <v>1.3</v>
      </c>
      <c r="AB34" s="18">
        <v>5.9</v>
      </c>
      <c r="AC34" s="18">
        <v>0.8</v>
      </c>
      <c r="AD34" s="18">
        <v>34</v>
      </c>
      <c r="AE34" s="20">
        <f t="shared" si="0"/>
        <v>3.6</v>
      </c>
      <c r="AF34" s="21" t="s">
        <v>86</v>
      </c>
    </row>
    <row r="35" ht="14.25" customHeight="1" spans="1:32">
      <c r="A35" s="23">
        <v>34</v>
      </c>
      <c r="B35" s="23">
        <v>6</v>
      </c>
      <c r="C35" s="23">
        <v>9</v>
      </c>
      <c r="D35" s="23">
        <v>84</v>
      </c>
      <c r="E35" s="24">
        <v>170</v>
      </c>
      <c r="F35" s="23">
        <v>5</v>
      </c>
      <c r="G35" s="23">
        <v>0</v>
      </c>
      <c r="H35" s="23">
        <v>2</v>
      </c>
      <c r="I35" s="23">
        <v>3</v>
      </c>
      <c r="J35" s="23">
        <v>40</v>
      </c>
      <c r="K35" s="23">
        <v>2</v>
      </c>
      <c r="L35" s="23">
        <v>14</v>
      </c>
      <c r="M35" s="23">
        <v>5</v>
      </c>
      <c r="N35" s="23">
        <v>1.5</v>
      </c>
      <c r="O35" s="23">
        <v>3.2</v>
      </c>
      <c r="P35" s="23">
        <v>0.3</v>
      </c>
      <c r="Q35" s="23">
        <v>33</v>
      </c>
      <c r="R35" s="23">
        <v>1</v>
      </c>
      <c r="S35" s="23">
        <v>12</v>
      </c>
      <c r="T35" s="23">
        <v>8</v>
      </c>
      <c r="U35" s="23">
        <v>4</v>
      </c>
      <c r="V35" s="23">
        <v>0</v>
      </c>
      <c r="W35" s="23">
        <v>0</v>
      </c>
      <c r="X35" s="23">
        <v>1</v>
      </c>
      <c r="Y35" s="23">
        <v>8</v>
      </c>
      <c r="Z35" s="23">
        <v>0</v>
      </c>
      <c r="AA35" s="23">
        <v>3</v>
      </c>
      <c r="AB35" s="23">
        <v>4</v>
      </c>
      <c r="AC35" s="23">
        <v>1</v>
      </c>
      <c r="AD35" s="23">
        <v>35</v>
      </c>
      <c r="AE35" s="25">
        <f t="shared" si="0"/>
        <v>3.65</v>
      </c>
      <c r="AF35" s="26" t="s">
        <v>92</v>
      </c>
    </row>
    <row r="36" ht="14.25" customHeight="1" spans="1:32">
      <c r="A36" s="18">
        <v>35</v>
      </c>
      <c r="B36" s="18">
        <v>6</v>
      </c>
      <c r="C36" s="18">
        <v>14</v>
      </c>
      <c r="D36" s="18">
        <v>89</v>
      </c>
      <c r="E36" s="19">
        <v>177</v>
      </c>
      <c r="F36" s="18">
        <v>5</v>
      </c>
      <c r="G36" s="18">
        <v>0</v>
      </c>
      <c r="H36" s="18">
        <v>2</v>
      </c>
      <c r="I36" s="18">
        <v>3</v>
      </c>
      <c r="J36" s="18">
        <v>40</v>
      </c>
      <c r="K36" s="18">
        <v>2</v>
      </c>
      <c r="L36" s="18">
        <v>15</v>
      </c>
      <c r="M36" s="18">
        <v>5</v>
      </c>
      <c r="N36" s="18">
        <v>1.5</v>
      </c>
      <c r="O36" s="18">
        <v>3.2</v>
      </c>
      <c r="P36" s="18">
        <v>0.3</v>
      </c>
      <c r="Q36" s="18">
        <v>34</v>
      </c>
      <c r="R36" s="18">
        <v>2</v>
      </c>
      <c r="S36" s="18">
        <v>24</v>
      </c>
      <c r="T36" s="18">
        <v>10</v>
      </c>
      <c r="U36" s="18">
        <v>10</v>
      </c>
      <c r="V36" s="18">
        <v>4</v>
      </c>
      <c r="W36" s="18">
        <v>0</v>
      </c>
      <c r="X36" s="18">
        <v>2</v>
      </c>
      <c r="Y36" s="18">
        <v>8</v>
      </c>
      <c r="Z36" s="18">
        <v>0</v>
      </c>
      <c r="AA36" s="18">
        <v>2.7</v>
      </c>
      <c r="AB36" s="18">
        <v>4.1</v>
      </c>
      <c r="AC36" s="18">
        <v>1.2</v>
      </c>
      <c r="AD36" s="18">
        <v>36</v>
      </c>
      <c r="AE36" s="20">
        <f t="shared" si="0"/>
        <v>3.7</v>
      </c>
      <c r="AF36" s="21" t="s">
        <v>86</v>
      </c>
    </row>
    <row r="37" ht="14.25" customHeight="1" spans="1:32">
      <c r="A37" s="18">
        <v>36</v>
      </c>
      <c r="B37" s="18">
        <v>7</v>
      </c>
      <c r="C37" s="18">
        <v>4</v>
      </c>
      <c r="D37" s="18">
        <v>94</v>
      </c>
      <c r="E37" s="19">
        <v>191</v>
      </c>
      <c r="F37" s="18">
        <v>5</v>
      </c>
      <c r="G37" s="18">
        <v>0</v>
      </c>
      <c r="H37" s="18">
        <v>2</v>
      </c>
      <c r="I37" s="18">
        <v>3</v>
      </c>
      <c r="J37" s="18">
        <v>40</v>
      </c>
      <c r="K37" s="18">
        <v>2</v>
      </c>
      <c r="L37" s="18">
        <v>15</v>
      </c>
      <c r="M37" s="18">
        <v>5</v>
      </c>
      <c r="N37" s="18">
        <v>1.5</v>
      </c>
      <c r="O37" s="18">
        <v>3.2</v>
      </c>
      <c r="P37" s="18">
        <v>0.3</v>
      </c>
      <c r="Q37" s="18">
        <v>36</v>
      </c>
      <c r="R37" s="18">
        <v>2</v>
      </c>
      <c r="S37" s="18">
        <v>30</v>
      </c>
      <c r="T37" s="18">
        <v>8</v>
      </c>
      <c r="U37" s="18">
        <v>12</v>
      </c>
      <c r="V37" s="18">
        <v>10</v>
      </c>
      <c r="W37" s="18">
        <v>0</v>
      </c>
      <c r="X37" s="18">
        <v>2</v>
      </c>
      <c r="Y37" s="18">
        <v>8</v>
      </c>
      <c r="Z37" s="18">
        <v>0</v>
      </c>
      <c r="AA37" s="18">
        <v>2.5</v>
      </c>
      <c r="AB37" s="18">
        <v>4.1</v>
      </c>
      <c r="AC37" s="18">
        <v>1.4</v>
      </c>
      <c r="AD37" s="18">
        <v>37</v>
      </c>
      <c r="AE37" s="20">
        <f t="shared" si="0"/>
        <v>3.75</v>
      </c>
      <c r="AF37" s="21" t="s">
        <v>86</v>
      </c>
    </row>
    <row r="38" ht="14.25" customHeight="1" spans="1:32">
      <c r="A38" s="18">
        <v>37</v>
      </c>
      <c r="B38" s="18">
        <v>7</v>
      </c>
      <c r="C38" s="18">
        <v>9</v>
      </c>
      <c r="D38" s="18">
        <v>99</v>
      </c>
      <c r="E38" s="19">
        <v>205</v>
      </c>
      <c r="F38" s="18">
        <v>5</v>
      </c>
      <c r="G38" s="18">
        <v>0</v>
      </c>
      <c r="H38" s="18">
        <v>2</v>
      </c>
      <c r="I38" s="18">
        <v>3</v>
      </c>
      <c r="J38" s="18">
        <v>40</v>
      </c>
      <c r="K38" s="18">
        <v>2</v>
      </c>
      <c r="L38" s="18">
        <v>16</v>
      </c>
      <c r="M38" s="18">
        <v>5</v>
      </c>
      <c r="N38" s="18">
        <v>1.5</v>
      </c>
      <c r="O38" s="18">
        <v>3.2</v>
      </c>
      <c r="P38" s="18">
        <v>0.3</v>
      </c>
      <c r="Q38" s="18">
        <v>37</v>
      </c>
      <c r="R38" s="18">
        <v>2</v>
      </c>
      <c r="S38" s="18">
        <v>30</v>
      </c>
      <c r="T38" s="18">
        <v>6</v>
      </c>
      <c r="U38" s="18">
        <v>12</v>
      </c>
      <c r="V38" s="18">
        <v>12</v>
      </c>
      <c r="W38" s="18">
        <v>0</v>
      </c>
      <c r="X38" s="18">
        <v>2</v>
      </c>
      <c r="Y38" s="18">
        <v>8</v>
      </c>
      <c r="Z38" s="18">
        <v>0</v>
      </c>
      <c r="AA38" s="18">
        <v>2.2</v>
      </c>
      <c r="AB38" s="18">
        <v>4.2</v>
      </c>
      <c r="AC38" s="18">
        <v>1.6</v>
      </c>
      <c r="AD38" s="18">
        <v>38</v>
      </c>
      <c r="AE38" s="20">
        <f t="shared" si="0"/>
        <v>3.85</v>
      </c>
      <c r="AF38" s="21" t="s">
        <v>86</v>
      </c>
    </row>
    <row r="39" ht="14.25" customHeight="1" spans="1:32">
      <c r="A39" s="18">
        <v>38</v>
      </c>
      <c r="B39" s="18">
        <v>7</v>
      </c>
      <c r="C39" s="18">
        <v>14</v>
      </c>
      <c r="D39" s="18">
        <v>104</v>
      </c>
      <c r="E39" s="19">
        <v>217</v>
      </c>
      <c r="F39" s="18">
        <v>5</v>
      </c>
      <c r="G39" s="18">
        <v>0</v>
      </c>
      <c r="H39" s="18">
        <v>2</v>
      </c>
      <c r="I39" s="18">
        <v>3</v>
      </c>
      <c r="J39" s="18">
        <v>40</v>
      </c>
      <c r="K39" s="18">
        <v>2</v>
      </c>
      <c r="L39" s="18">
        <v>16</v>
      </c>
      <c r="M39" s="18">
        <v>5</v>
      </c>
      <c r="N39" s="18">
        <v>1.5</v>
      </c>
      <c r="O39" s="18">
        <v>3.2</v>
      </c>
      <c r="P39" s="18">
        <v>0.3</v>
      </c>
      <c r="Q39" s="18">
        <v>39</v>
      </c>
      <c r="R39" s="18">
        <v>2</v>
      </c>
      <c r="S39" s="18">
        <v>30</v>
      </c>
      <c r="T39" s="18">
        <v>4</v>
      </c>
      <c r="U39" s="18">
        <v>10</v>
      </c>
      <c r="V39" s="18">
        <v>16</v>
      </c>
      <c r="W39" s="18">
        <v>0</v>
      </c>
      <c r="X39" s="18">
        <v>2</v>
      </c>
      <c r="Y39" s="18">
        <v>8</v>
      </c>
      <c r="Z39" s="18">
        <v>0</v>
      </c>
      <c r="AA39" s="18">
        <v>1.9</v>
      </c>
      <c r="AB39" s="18">
        <v>4.3</v>
      </c>
      <c r="AC39" s="18">
        <v>1.8</v>
      </c>
      <c r="AD39" s="18">
        <v>39</v>
      </c>
      <c r="AE39" s="20">
        <f t="shared" si="0"/>
        <v>3.9</v>
      </c>
      <c r="AF39" s="21" t="s">
        <v>86</v>
      </c>
    </row>
    <row r="40" ht="14.25" customHeight="1" spans="1:32">
      <c r="A40" s="23">
        <v>39</v>
      </c>
      <c r="B40" s="23">
        <v>7</v>
      </c>
      <c r="C40" s="23">
        <v>15</v>
      </c>
      <c r="D40" s="23">
        <v>105</v>
      </c>
      <c r="E40" s="24">
        <v>220</v>
      </c>
      <c r="F40" s="23">
        <v>5</v>
      </c>
      <c r="G40" s="23">
        <v>0</v>
      </c>
      <c r="H40" s="23">
        <v>1</v>
      </c>
      <c r="I40" s="23">
        <v>4</v>
      </c>
      <c r="J40" s="23">
        <v>40</v>
      </c>
      <c r="K40" s="23">
        <v>2</v>
      </c>
      <c r="L40" s="23">
        <v>17</v>
      </c>
      <c r="M40" s="23">
        <v>5</v>
      </c>
      <c r="N40" s="23">
        <v>1</v>
      </c>
      <c r="O40" s="23">
        <v>3</v>
      </c>
      <c r="P40" s="23">
        <v>1</v>
      </c>
      <c r="Q40" s="23">
        <v>40</v>
      </c>
      <c r="R40" s="23">
        <v>2</v>
      </c>
      <c r="S40" s="23">
        <v>30</v>
      </c>
      <c r="T40" s="23">
        <v>2</v>
      </c>
      <c r="U40" s="23">
        <v>8</v>
      </c>
      <c r="V40" s="23">
        <v>20</v>
      </c>
      <c r="W40" s="23">
        <v>0</v>
      </c>
      <c r="X40" s="23">
        <v>3</v>
      </c>
      <c r="Y40" s="23">
        <v>8</v>
      </c>
      <c r="Z40" s="23">
        <v>0</v>
      </c>
      <c r="AA40" s="23">
        <v>1.6</v>
      </c>
      <c r="AB40" s="23">
        <v>4.4</v>
      </c>
      <c r="AC40" s="23">
        <v>2</v>
      </c>
      <c r="AD40" s="23">
        <v>40</v>
      </c>
      <c r="AE40" s="25">
        <f t="shared" si="0"/>
        <v>3.95</v>
      </c>
      <c r="AF40" s="26" t="s">
        <v>93</v>
      </c>
    </row>
    <row r="41" ht="14.25" customHeight="1" spans="1:32">
      <c r="A41" s="18">
        <v>40</v>
      </c>
      <c r="B41" s="18" t="s">
        <v>94</v>
      </c>
      <c r="C41" s="18" t="s">
        <v>94</v>
      </c>
      <c r="D41" s="18">
        <v>105</v>
      </c>
      <c r="E41" s="19">
        <v>225</v>
      </c>
      <c r="F41" s="18">
        <v>5</v>
      </c>
      <c r="G41" s="18">
        <v>0</v>
      </c>
      <c r="H41" s="18">
        <v>1</v>
      </c>
      <c r="I41" s="18">
        <v>4</v>
      </c>
      <c r="J41" s="18">
        <v>46</v>
      </c>
      <c r="K41" s="18">
        <v>3</v>
      </c>
      <c r="L41" s="18">
        <v>17</v>
      </c>
      <c r="M41" s="18">
        <v>5</v>
      </c>
      <c r="N41" s="18">
        <v>1</v>
      </c>
      <c r="O41" s="18">
        <v>3</v>
      </c>
      <c r="P41" s="18">
        <v>1</v>
      </c>
      <c r="Q41" s="18">
        <v>41</v>
      </c>
      <c r="R41" s="18">
        <v>3</v>
      </c>
      <c r="S41" s="18">
        <v>30</v>
      </c>
      <c r="T41" s="18">
        <v>0</v>
      </c>
      <c r="U41" s="18">
        <v>8</v>
      </c>
      <c r="V41" s="18">
        <v>20</v>
      </c>
      <c r="W41" s="18">
        <v>2</v>
      </c>
      <c r="X41" s="18">
        <v>3</v>
      </c>
      <c r="Y41" s="18">
        <v>8</v>
      </c>
      <c r="Z41" s="18">
        <v>0</v>
      </c>
      <c r="AA41" s="18">
        <v>1.4</v>
      </c>
      <c r="AB41" s="18">
        <v>4.4</v>
      </c>
      <c r="AC41" s="18">
        <v>2.2</v>
      </c>
      <c r="AD41" s="18">
        <v>41</v>
      </c>
      <c r="AE41" s="20">
        <f t="shared" si="0"/>
        <v>4</v>
      </c>
      <c r="AF41" s="21" t="s">
        <v>95</v>
      </c>
    </row>
    <row r="42" ht="14.25" customHeight="1" spans="1:32">
      <c r="A42" s="18">
        <v>41</v>
      </c>
      <c r="B42" s="18" t="s">
        <v>94</v>
      </c>
      <c r="C42" s="18" t="s">
        <v>94</v>
      </c>
      <c r="D42" s="18">
        <v>105</v>
      </c>
      <c r="E42" s="19">
        <v>230</v>
      </c>
      <c r="F42" s="18">
        <v>5</v>
      </c>
      <c r="G42" s="18">
        <v>0</v>
      </c>
      <c r="H42" s="18">
        <v>1</v>
      </c>
      <c r="I42" s="18">
        <v>4</v>
      </c>
      <c r="J42" s="18">
        <v>46</v>
      </c>
      <c r="K42" s="18">
        <v>3</v>
      </c>
      <c r="L42" s="18">
        <v>17</v>
      </c>
      <c r="M42" s="18">
        <v>5</v>
      </c>
      <c r="N42" s="18">
        <v>1</v>
      </c>
      <c r="O42" s="18">
        <v>3</v>
      </c>
      <c r="P42" s="18">
        <v>1</v>
      </c>
      <c r="Q42" s="18">
        <v>42</v>
      </c>
      <c r="R42" s="18">
        <v>3</v>
      </c>
      <c r="S42" s="18">
        <v>30</v>
      </c>
      <c r="T42" s="18">
        <v>0</v>
      </c>
      <c r="U42" s="18">
        <v>6</v>
      </c>
      <c r="V42" s="18">
        <v>19</v>
      </c>
      <c r="W42" s="18">
        <v>5</v>
      </c>
      <c r="X42" s="18">
        <v>3</v>
      </c>
      <c r="Y42" s="18">
        <v>8</v>
      </c>
      <c r="Z42" s="18">
        <v>0</v>
      </c>
      <c r="AA42" s="18">
        <v>1.1</v>
      </c>
      <c r="AB42" s="18">
        <v>4.6</v>
      </c>
      <c r="AC42" s="18">
        <v>2.3</v>
      </c>
      <c r="AD42" s="18">
        <v>42</v>
      </c>
      <c r="AE42" s="20">
        <f t="shared" si="0"/>
        <v>4.1</v>
      </c>
      <c r="AF42" s="21" t="s">
        <v>95</v>
      </c>
    </row>
    <row r="43" ht="14.25" customHeight="1" spans="1:32">
      <c r="A43" s="18">
        <v>42</v>
      </c>
      <c r="B43" s="18" t="s">
        <v>94</v>
      </c>
      <c r="C43" s="18" t="s">
        <v>94</v>
      </c>
      <c r="D43" s="18">
        <v>105</v>
      </c>
      <c r="E43" s="19">
        <v>235</v>
      </c>
      <c r="F43" s="18">
        <v>5</v>
      </c>
      <c r="G43" s="18">
        <v>0</v>
      </c>
      <c r="H43" s="18">
        <v>1</v>
      </c>
      <c r="I43" s="18">
        <v>4</v>
      </c>
      <c r="J43" s="18">
        <v>47</v>
      </c>
      <c r="K43" s="18">
        <v>3</v>
      </c>
      <c r="L43" s="18">
        <v>18</v>
      </c>
      <c r="M43" s="18">
        <v>5</v>
      </c>
      <c r="N43" s="18">
        <v>1</v>
      </c>
      <c r="O43" s="18">
        <v>3</v>
      </c>
      <c r="P43" s="18">
        <v>1</v>
      </c>
      <c r="Q43" s="18">
        <v>44</v>
      </c>
      <c r="R43" s="18">
        <v>3</v>
      </c>
      <c r="S43" s="18">
        <v>30</v>
      </c>
      <c r="T43" s="18">
        <v>0</v>
      </c>
      <c r="U43" s="18">
        <v>5</v>
      </c>
      <c r="V43" s="18">
        <v>17</v>
      </c>
      <c r="W43" s="18">
        <v>8</v>
      </c>
      <c r="X43" s="18">
        <v>3</v>
      </c>
      <c r="Y43" s="18">
        <v>8</v>
      </c>
      <c r="Z43" s="18">
        <v>0</v>
      </c>
      <c r="AA43" s="18">
        <v>0.8</v>
      </c>
      <c r="AB43" s="18">
        <v>4.7</v>
      </c>
      <c r="AC43" s="18">
        <v>2.5</v>
      </c>
      <c r="AD43" s="18">
        <v>43</v>
      </c>
      <c r="AE43" s="20">
        <f t="shared" si="0"/>
        <v>4.15</v>
      </c>
      <c r="AF43" s="21" t="s">
        <v>95</v>
      </c>
    </row>
    <row r="44" ht="14.25" customHeight="1" spans="1:32">
      <c r="A44" s="18">
        <v>43</v>
      </c>
      <c r="B44" s="18" t="s">
        <v>94</v>
      </c>
      <c r="C44" s="18" t="s">
        <v>94</v>
      </c>
      <c r="D44" s="18">
        <v>105</v>
      </c>
      <c r="E44" s="19">
        <v>240</v>
      </c>
      <c r="F44" s="18">
        <v>5</v>
      </c>
      <c r="G44" s="18">
        <v>0</v>
      </c>
      <c r="H44" s="18">
        <v>1</v>
      </c>
      <c r="I44" s="18">
        <v>4</v>
      </c>
      <c r="J44" s="18">
        <v>48</v>
      </c>
      <c r="K44" s="18">
        <v>3</v>
      </c>
      <c r="L44" s="18">
        <v>18</v>
      </c>
      <c r="M44" s="18">
        <v>5</v>
      </c>
      <c r="N44" s="18">
        <v>1</v>
      </c>
      <c r="O44" s="18">
        <v>3</v>
      </c>
      <c r="P44" s="18">
        <v>1</v>
      </c>
      <c r="Q44" s="18">
        <v>45</v>
      </c>
      <c r="R44" s="18">
        <v>3</v>
      </c>
      <c r="S44" s="18">
        <v>30</v>
      </c>
      <c r="T44" s="18">
        <v>0</v>
      </c>
      <c r="U44" s="18">
        <v>4</v>
      </c>
      <c r="V44" s="18">
        <v>16</v>
      </c>
      <c r="W44" s="18">
        <v>10</v>
      </c>
      <c r="X44" s="18">
        <v>3</v>
      </c>
      <c r="Y44" s="18">
        <v>8</v>
      </c>
      <c r="Z44" s="18">
        <v>0</v>
      </c>
      <c r="AA44" s="18">
        <v>0.5</v>
      </c>
      <c r="AB44" s="18">
        <v>4.8</v>
      </c>
      <c r="AC44" s="18">
        <v>2.7</v>
      </c>
      <c r="AD44" s="18">
        <v>44</v>
      </c>
      <c r="AE44" s="20">
        <f t="shared" si="0"/>
        <v>4.2</v>
      </c>
      <c r="AF44" s="21" t="s">
        <v>95</v>
      </c>
    </row>
    <row r="45" ht="14.25" customHeight="1" spans="1:32">
      <c r="A45" s="18">
        <v>44</v>
      </c>
      <c r="B45" s="18" t="s">
        <v>94</v>
      </c>
      <c r="C45" s="18" t="s">
        <v>94</v>
      </c>
      <c r="D45" s="18">
        <v>105</v>
      </c>
      <c r="E45" s="19">
        <v>245</v>
      </c>
      <c r="F45" s="18">
        <v>5</v>
      </c>
      <c r="G45" s="18">
        <v>0</v>
      </c>
      <c r="H45" s="18">
        <v>1</v>
      </c>
      <c r="I45" s="18">
        <v>4</v>
      </c>
      <c r="J45" s="18">
        <v>49</v>
      </c>
      <c r="K45" s="18">
        <v>3</v>
      </c>
      <c r="L45" s="18">
        <v>18</v>
      </c>
      <c r="M45" s="18">
        <v>5</v>
      </c>
      <c r="N45" s="18">
        <v>1</v>
      </c>
      <c r="O45" s="18">
        <v>3</v>
      </c>
      <c r="P45" s="18">
        <v>1</v>
      </c>
      <c r="Q45" s="18">
        <v>46</v>
      </c>
      <c r="R45" s="18">
        <v>3</v>
      </c>
      <c r="S45" s="18">
        <v>30</v>
      </c>
      <c r="T45" s="18">
        <v>0</v>
      </c>
      <c r="U45" s="18">
        <v>3</v>
      </c>
      <c r="V45" s="18">
        <v>15</v>
      </c>
      <c r="W45" s="18">
        <v>12</v>
      </c>
      <c r="X45" s="18">
        <v>3</v>
      </c>
      <c r="Y45" s="18">
        <v>8</v>
      </c>
      <c r="Z45" s="18">
        <v>0</v>
      </c>
      <c r="AA45" s="18">
        <v>0.3</v>
      </c>
      <c r="AB45" s="18">
        <v>4.9</v>
      </c>
      <c r="AC45" s="18">
        <v>2.8</v>
      </c>
      <c r="AD45" s="18">
        <v>45</v>
      </c>
      <c r="AE45" s="20">
        <f t="shared" si="0"/>
        <v>4.25</v>
      </c>
      <c r="AF45" s="21" t="s">
        <v>95</v>
      </c>
    </row>
    <row r="46" ht="14.25" customHeight="1" spans="1:32">
      <c r="A46" s="18">
        <v>45</v>
      </c>
      <c r="B46" s="18" t="s">
        <v>94</v>
      </c>
      <c r="C46" s="18" t="s">
        <v>94</v>
      </c>
      <c r="D46" s="18">
        <v>105</v>
      </c>
      <c r="E46" s="19">
        <v>250</v>
      </c>
      <c r="F46" s="18">
        <v>5</v>
      </c>
      <c r="G46" s="18">
        <v>0</v>
      </c>
      <c r="H46" s="18">
        <v>0</v>
      </c>
      <c r="I46" s="18">
        <v>5</v>
      </c>
      <c r="J46" s="18">
        <v>49</v>
      </c>
      <c r="K46" s="18">
        <v>3</v>
      </c>
      <c r="L46" s="18">
        <v>18</v>
      </c>
      <c r="M46" s="18">
        <v>5</v>
      </c>
      <c r="N46" s="18">
        <v>0.5</v>
      </c>
      <c r="O46" s="18">
        <v>2.5</v>
      </c>
      <c r="P46" s="18">
        <v>2</v>
      </c>
      <c r="Q46" s="18">
        <v>47</v>
      </c>
      <c r="R46" s="18">
        <v>3</v>
      </c>
      <c r="S46" s="18">
        <v>30</v>
      </c>
      <c r="T46" s="18">
        <v>0</v>
      </c>
      <c r="U46" s="18">
        <v>2</v>
      </c>
      <c r="V46" s="18">
        <v>14</v>
      </c>
      <c r="W46" s="18">
        <v>14</v>
      </c>
      <c r="X46" s="18">
        <v>4</v>
      </c>
      <c r="Y46" s="18">
        <v>8</v>
      </c>
      <c r="Z46" s="18">
        <v>0</v>
      </c>
      <c r="AA46" s="18">
        <v>0</v>
      </c>
      <c r="AB46" s="18">
        <v>5</v>
      </c>
      <c r="AC46" s="18">
        <v>3</v>
      </c>
      <c r="AD46" s="18">
        <v>46</v>
      </c>
      <c r="AE46" s="20">
        <f t="shared" si="0"/>
        <v>4.3</v>
      </c>
      <c r="AF46" s="21" t="s">
        <v>95</v>
      </c>
    </row>
    <row r="47" ht="14.25" customHeight="1" spans="1:32">
      <c r="A47" s="18">
        <v>46</v>
      </c>
      <c r="B47" s="18" t="s">
        <v>94</v>
      </c>
      <c r="C47" s="18" t="s">
        <v>94</v>
      </c>
      <c r="D47" s="18">
        <v>105</v>
      </c>
      <c r="E47" s="19">
        <v>255</v>
      </c>
      <c r="F47" s="18">
        <v>5</v>
      </c>
      <c r="G47" s="18">
        <v>0</v>
      </c>
      <c r="H47" s="18">
        <v>0</v>
      </c>
      <c r="I47" s="18">
        <v>5</v>
      </c>
      <c r="J47" s="18">
        <v>50</v>
      </c>
      <c r="K47" s="18">
        <v>3</v>
      </c>
      <c r="L47" s="18">
        <v>19</v>
      </c>
      <c r="M47" s="18">
        <v>5</v>
      </c>
      <c r="N47" s="18">
        <v>0.5</v>
      </c>
      <c r="O47" s="18">
        <v>2.5</v>
      </c>
      <c r="P47" s="18">
        <v>2</v>
      </c>
      <c r="Q47" s="18">
        <v>48</v>
      </c>
      <c r="R47" s="18">
        <v>3</v>
      </c>
      <c r="S47" s="18">
        <v>30</v>
      </c>
      <c r="T47" s="18">
        <v>0</v>
      </c>
      <c r="U47" s="18">
        <v>2</v>
      </c>
      <c r="V47" s="18">
        <v>12</v>
      </c>
      <c r="W47" s="18">
        <v>16</v>
      </c>
      <c r="X47" s="18">
        <v>4</v>
      </c>
      <c r="Y47" s="18">
        <v>8</v>
      </c>
      <c r="Z47" s="18">
        <v>0</v>
      </c>
      <c r="AA47" s="18">
        <v>0</v>
      </c>
      <c r="AB47" s="18">
        <v>4.7</v>
      </c>
      <c r="AC47" s="18">
        <v>3.3</v>
      </c>
      <c r="AD47" s="18">
        <v>47</v>
      </c>
      <c r="AE47" s="20">
        <f t="shared" si="0"/>
        <v>4.35</v>
      </c>
      <c r="AF47" s="21" t="s">
        <v>95</v>
      </c>
    </row>
    <row r="48" ht="14.25" customHeight="1" spans="1:32">
      <c r="A48" s="18">
        <v>47</v>
      </c>
      <c r="B48" s="18" t="s">
        <v>94</v>
      </c>
      <c r="C48" s="18" t="s">
        <v>94</v>
      </c>
      <c r="D48" s="18">
        <v>105</v>
      </c>
      <c r="E48" s="19">
        <v>260</v>
      </c>
      <c r="F48" s="18">
        <v>5</v>
      </c>
      <c r="G48" s="18">
        <v>0</v>
      </c>
      <c r="H48" s="18">
        <v>0</v>
      </c>
      <c r="I48" s="18">
        <v>5</v>
      </c>
      <c r="J48" s="18">
        <v>50</v>
      </c>
      <c r="K48" s="18">
        <v>3</v>
      </c>
      <c r="L48" s="18">
        <v>19</v>
      </c>
      <c r="M48" s="18">
        <v>5</v>
      </c>
      <c r="N48" s="18">
        <v>0.5</v>
      </c>
      <c r="O48" s="18">
        <v>2.5</v>
      </c>
      <c r="P48" s="18">
        <v>2</v>
      </c>
      <c r="Q48" s="18">
        <v>49</v>
      </c>
      <c r="R48" s="18">
        <v>3</v>
      </c>
      <c r="S48" s="18">
        <v>30</v>
      </c>
      <c r="T48" s="18">
        <v>0</v>
      </c>
      <c r="U48" s="18">
        <v>1</v>
      </c>
      <c r="V48" s="18">
        <v>11</v>
      </c>
      <c r="W48" s="18">
        <v>18</v>
      </c>
      <c r="X48" s="18">
        <v>4</v>
      </c>
      <c r="Y48" s="18">
        <v>8</v>
      </c>
      <c r="Z48" s="18">
        <v>0</v>
      </c>
      <c r="AA48" s="18">
        <v>0</v>
      </c>
      <c r="AB48" s="18">
        <v>4.4</v>
      </c>
      <c r="AC48" s="18">
        <v>3.6</v>
      </c>
      <c r="AD48" s="18">
        <v>48</v>
      </c>
      <c r="AE48" s="20">
        <f t="shared" si="0"/>
        <v>4.4</v>
      </c>
      <c r="AF48" s="21" t="s">
        <v>95</v>
      </c>
    </row>
    <row r="49" ht="14.25" customHeight="1" spans="1:32">
      <c r="A49" s="18">
        <v>48</v>
      </c>
      <c r="B49" s="18" t="s">
        <v>94</v>
      </c>
      <c r="C49" s="18" t="s">
        <v>94</v>
      </c>
      <c r="D49" s="18">
        <v>105</v>
      </c>
      <c r="E49" s="19">
        <v>265</v>
      </c>
      <c r="F49" s="18">
        <v>5</v>
      </c>
      <c r="G49" s="18">
        <v>0</v>
      </c>
      <c r="H49" s="18">
        <v>0</v>
      </c>
      <c r="I49" s="18">
        <v>5</v>
      </c>
      <c r="J49" s="18">
        <v>50</v>
      </c>
      <c r="K49" s="18">
        <v>3</v>
      </c>
      <c r="L49" s="18">
        <v>19</v>
      </c>
      <c r="M49" s="18">
        <v>5</v>
      </c>
      <c r="N49" s="18">
        <v>0.5</v>
      </c>
      <c r="O49" s="18">
        <v>2.5</v>
      </c>
      <c r="P49" s="18">
        <v>2</v>
      </c>
      <c r="Q49" s="18">
        <v>50</v>
      </c>
      <c r="R49" s="18">
        <v>3</v>
      </c>
      <c r="S49" s="18">
        <v>30</v>
      </c>
      <c r="T49" s="18">
        <v>0</v>
      </c>
      <c r="U49" s="18">
        <v>1</v>
      </c>
      <c r="V49" s="18">
        <v>9</v>
      </c>
      <c r="W49" s="18">
        <v>20</v>
      </c>
      <c r="X49" s="18">
        <v>4</v>
      </c>
      <c r="Y49" s="18">
        <v>8</v>
      </c>
      <c r="Z49" s="18">
        <v>0</v>
      </c>
      <c r="AA49" s="18">
        <v>0</v>
      </c>
      <c r="AB49" s="18">
        <v>4.1</v>
      </c>
      <c r="AC49" s="18">
        <v>3.9</v>
      </c>
      <c r="AD49" s="18">
        <v>49</v>
      </c>
      <c r="AE49" s="20">
        <f t="shared" si="0"/>
        <v>4.45</v>
      </c>
      <c r="AF49" s="21" t="s">
        <v>95</v>
      </c>
    </row>
    <row r="50" ht="14.25" customHeight="1" spans="1:32">
      <c r="A50" s="18">
        <v>49</v>
      </c>
      <c r="B50" s="18" t="s">
        <v>94</v>
      </c>
      <c r="C50" s="18" t="s">
        <v>94</v>
      </c>
      <c r="D50" s="18">
        <v>105</v>
      </c>
      <c r="E50" s="19">
        <v>270</v>
      </c>
      <c r="F50" s="18">
        <v>5</v>
      </c>
      <c r="G50" s="18">
        <v>0</v>
      </c>
      <c r="H50" s="18">
        <v>0</v>
      </c>
      <c r="I50" s="18">
        <v>5</v>
      </c>
      <c r="J50" s="18">
        <v>50</v>
      </c>
      <c r="K50" s="18">
        <v>3</v>
      </c>
      <c r="L50" s="18">
        <v>19</v>
      </c>
      <c r="M50" s="18">
        <v>5</v>
      </c>
      <c r="N50" s="18">
        <v>0.5</v>
      </c>
      <c r="O50" s="18">
        <v>2.5</v>
      </c>
      <c r="P50" s="18">
        <v>2</v>
      </c>
      <c r="Q50" s="18">
        <v>51</v>
      </c>
      <c r="R50" s="18">
        <v>3</v>
      </c>
      <c r="S50" s="18">
        <v>30</v>
      </c>
      <c r="T50" s="18">
        <v>0</v>
      </c>
      <c r="U50" s="18">
        <v>0</v>
      </c>
      <c r="V50" s="18">
        <v>8</v>
      </c>
      <c r="W50" s="18">
        <v>22</v>
      </c>
      <c r="X50" s="18">
        <v>4</v>
      </c>
      <c r="Y50" s="18">
        <v>8</v>
      </c>
      <c r="Z50" s="18">
        <v>0</v>
      </c>
      <c r="AA50" s="18">
        <v>0</v>
      </c>
      <c r="AB50" s="18">
        <v>3.9</v>
      </c>
      <c r="AC50" s="18">
        <v>4.1</v>
      </c>
      <c r="AD50" s="18">
        <v>50</v>
      </c>
      <c r="AE50" s="20">
        <f t="shared" si="0"/>
        <v>4.5</v>
      </c>
      <c r="AF50" s="21" t="s">
        <v>95</v>
      </c>
    </row>
    <row r="51" ht="14.25" customHeight="1" spans="1:32">
      <c r="A51" s="18">
        <v>50</v>
      </c>
      <c r="B51" s="18" t="s">
        <v>94</v>
      </c>
      <c r="C51" s="18" t="s">
        <v>94</v>
      </c>
      <c r="D51" s="18">
        <v>105</v>
      </c>
      <c r="E51" s="19">
        <v>275</v>
      </c>
      <c r="F51" s="18">
        <v>5</v>
      </c>
      <c r="G51" s="18">
        <v>0</v>
      </c>
      <c r="H51" s="18">
        <v>0</v>
      </c>
      <c r="I51" s="18">
        <v>5</v>
      </c>
      <c r="J51" s="18">
        <v>53</v>
      </c>
      <c r="K51" s="18">
        <v>4</v>
      </c>
      <c r="L51" s="18">
        <v>20</v>
      </c>
      <c r="M51" s="18">
        <v>5</v>
      </c>
      <c r="N51" s="18">
        <v>0.5</v>
      </c>
      <c r="O51" s="18">
        <v>2.5</v>
      </c>
      <c r="P51" s="18">
        <v>2</v>
      </c>
      <c r="Q51" s="18">
        <v>52</v>
      </c>
      <c r="R51" s="18">
        <v>4</v>
      </c>
      <c r="S51" s="18">
        <v>30</v>
      </c>
      <c r="T51" s="18">
        <v>0</v>
      </c>
      <c r="U51" s="18">
        <v>0</v>
      </c>
      <c r="V51" s="18">
        <v>7</v>
      </c>
      <c r="W51" s="18">
        <v>23</v>
      </c>
      <c r="X51" s="18">
        <v>4</v>
      </c>
      <c r="Y51" s="18">
        <v>8</v>
      </c>
      <c r="Z51" s="18">
        <v>0</v>
      </c>
      <c r="AA51" s="18">
        <v>0</v>
      </c>
      <c r="AB51" s="18">
        <v>3.6</v>
      </c>
      <c r="AC51" s="18">
        <v>4.4</v>
      </c>
      <c r="AD51" s="18">
        <v>51</v>
      </c>
      <c r="AE51" s="20">
        <f t="shared" si="0"/>
        <v>4.55</v>
      </c>
      <c r="AF51" s="21" t="s">
        <v>95</v>
      </c>
    </row>
    <row r="52" ht="14.25" customHeight="1" spans="1:32">
      <c r="A52" s="18">
        <v>51</v>
      </c>
      <c r="B52" s="18" t="s">
        <v>94</v>
      </c>
      <c r="C52" s="18" t="s">
        <v>94</v>
      </c>
      <c r="D52" s="18">
        <v>105</v>
      </c>
      <c r="E52" s="19">
        <v>280</v>
      </c>
      <c r="F52" s="18">
        <v>5</v>
      </c>
      <c r="G52" s="18">
        <v>0</v>
      </c>
      <c r="H52" s="18">
        <v>0</v>
      </c>
      <c r="I52" s="18">
        <v>5</v>
      </c>
      <c r="J52" s="18">
        <v>54</v>
      </c>
      <c r="K52" s="18">
        <v>4</v>
      </c>
      <c r="L52" s="18">
        <v>20</v>
      </c>
      <c r="M52" s="18">
        <v>5</v>
      </c>
      <c r="N52" s="18">
        <v>0.5</v>
      </c>
      <c r="O52" s="18">
        <v>2.5</v>
      </c>
      <c r="P52" s="18">
        <v>2</v>
      </c>
      <c r="Q52" s="18">
        <v>53</v>
      </c>
      <c r="R52" s="18">
        <v>4</v>
      </c>
      <c r="S52" s="18">
        <v>30</v>
      </c>
      <c r="T52" s="18">
        <v>0</v>
      </c>
      <c r="U52" s="18">
        <v>0</v>
      </c>
      <c r="V52" s="18">
        <v>6</v>
      </c>
      <c r="W52" s="18">
        <v>24</v>
      </c>
      <c r="X52" s="18">
        <v>4</v>
      </c>
      <c r="Y52" s="18">
        <v>8</v>
      </c>
      <c r="Z52" s="18">
        <v>0</v>
      </c>
      <c r="AA52" s="18">
        <v>0</v>
      </c>
      <c r="AB52" s="18">
        <v>3.3</v>
      </c>
      <c r="AC52" s="18">
        <v>4.7</v>
      </c>
      <c r="AD52" s="18">
        <v>52</v>
      </c>
      <c r="AE52" s="20">
        <f t="shared" si="0"/>
        <v>4.6</v>
      </c>
      <c r="AF52" s="21" t="s">
        <v>95</v>
      </c>
    </row>
    <row r="53" ht="14.25" customHeight="1" spans="1:32">
      <c r="A53" s="18">
        <v>52</v>
      </c>
      <c r="B53" s="18" t="s">
        <v>94</v>
      </c>
      <c r="C53" s="18" t="s">
        <v>94</v>
      </c>
      <c r="D53" s="18">
        <v>105</v>
      </c>
      <c r="E53" s="19">
        <v>285</v>
      </c>
      <c r="F53" s="18">
        <v>5</v>
      </c>
      <c r="G53" s="18">
        <v>0</v>
      </c>
      <c r="H53" s="18">
        <v>0</v>
      </c>
      <c r="I53" s="18">
        <v>5</v>
      </c>
      <c r="J53" s="18">
        <v>54</v>
      </c>
      <c r="K53" s="18">
        <v>4</v>
      </c>
      <c r="L53" s="18">
        <v>20</v>
      </c>
      <c r="M53" s="18">
        <v>5</v>
      </c>
      <c r="N53" s="18">
        <v>0</v>
      </c>
      <c r="O53" s="18">
        <v>2</v>
      </c>
      <c r="P53" s="18">
        <v>3</v>
      </c>
      <c r="Q53" s="18">
        <v>54</v>
      </c>
      <c r="R53" s="18">
        <v>4</v>
      </c>
      <c r="S53" s="18">
        <v>30</v>
      </c>
      <c r="T53" s="18">
        <v>0</v>
      </c>
      <c r="U53" s="18">
        <v>0</v>
      </c>
      <c r="V53" s="18">
        <v>6</v>
      </c>
      <c r="W53" s="18">
        <v>24</v>
      </c>
      <c r="X53" s="18">
        <v>5</v>
      </c>
      <c r="Y53" s="18">
        <v>8</v>
      </c>
      <c r="Z53" s="18">
        <v>0</v>
      </c>
      <c r="AA53" s="18">
        <v>0</v>
      </c>
      <c r="AB53" s="18">
        <v>3</v>
      </c>
      <c r="AC53" s="18">
        <v>5</v>
      </c>
      <c r="AD53" s="18">
        <v>53</v>
      </c>
      <c r="AE53" s="20">
        <f t="shared" si="0"/>
        <v>4.65</v>
      </c>
      <c r="AF53" s="21" t="s">
        <v>95</v>
      </c>
    </row>
    <row r="54" ht="14.25" customHeight="1" spans="1:32">
      <c r="A54" s="18">
        <v>53</v>
      </c>
      <c r="B54" s="18" t="s">
        <v>94</v>
      </c>
      <c r="C54" s="18" t="s">
        <v>94</v>
      </c>
      <c r="D54" s="18">
        <v>105</v>
      </c>
      <c r="E54" s="19">
        <v>290</v>
      </c>
      <c r="F54" s="18">
        <v>5</v>
      </c>
      <c r="G54" s="18">
        <v>0</v>
      </c>
      <c r="H54" s="18">
        <v>0</v>
      </c>
      <c r="I54" s="18">
        <v>5</v>
      </c>
      <c r="J54" s="18">
        <v>55</v>
      </c>
      <c r="K54" s="18">
        <v>4</v>
      </c>
      <c r="L54" s="18">
        <v>20</v>
      </c>
      <c r="M54" s="18">
        <v>5</v>
      </c>
      <c r="N54" s="18">
        <v>0</v>
      </c>
      <c r="O54" s="18">
        <v>2</v>
      </c>
      <c r="P54" s="18">
        <v>3</v>
      </c>
      <c r="Q54" s="18">
        <v>55</v>
      </c>
      <c r="R54" s="18">
        <v>4</v>
      </c>
      <c r="S54" s="18">
        <v>30</v>
      </c>
      <c r="T54" s="18">
        <v>0</v>
      </c>
      <c r="U54" s="18">
        <v>0</v>
      </c>
      <c r="V54" s="18">
        <v>5</v>
      </c>
      <c r="W54" s="18">
        <v>25</v>
      </c>
      <c r="X54" s="18">
        <v>5</v>
      </c>
      <c r="Y54" s="18">
        <v>8</v>
      </c>
      <c r="Z54" s="18">
        <v>0</v>
      </c>
      <c r="AA54" s="18">
        <v>0</v>
      </c>
      <c r="AB54" s="18">
        <v>2.8</v>
      </c>
      <c r="AC54" s="18">
        <v>5.2</v>
      </c>
      <c r="AD54" s="18">
        <v>54</v>
      </c>
      <c r="AE54" s="20">
        <f t="shared" si="0"/>
        <v>4.7</v>
      </c>
      <c r="AF54" s="21" t="s">
        <v>95</v>
      </c>
    </row>
    <row r="55" ht="14.25" customHeight="1" spans="1:32">
      <c r="A55" s="18">
        <v>54</v>
      </c>
      <c r="B55" s="18" t="s">
        <v>94</v>
      </c>
      <c r="C55" s="18" t="s">
        <v>94</v>
      </c>
      <c r="D55" s="18">
        <v>105</v>
      </c>
      <c r="E55" s="19">
        <v>295</v>
      </c>
      <c r="F55" s="18">
        <v>5</v>
      </c>
      <c r="G55" s="18">
        <v>0</v>
      </c>
      <c r="H55" s="18">
        <v>0</v>
      </c>
      <c r="I55" s="18">
        <v>5</v>
      </c>
      <c r="J55" s="18">
        <v>56</v>
      </c>
      <c r="K55" s="18">
        <v>4</v>
      </c>
      <c r="L55" s="18">
        <v>20</v>
      </c>
      <c r="M55" s="18">
        <v>5</v>
      </c>
      <c r="N55" s="18">
        <v>0</v>
      </c>
      <c r="O55" s="18">
        <v>2</v>
      </c>
      <c r="P55" s="18">
        <v>3</v>
      </c>
      <c r="Q55" s="18">
        <v>56</v>
      </c>
      <c r="R55" s="18">
        <v>4</v>
      </c>
      <c r="S55" s="18">
        <v>30</v>
      </c>
      <c r="T55" s="18">
        <v>0</v>
      </c>
      <c r="U55" s="18">
        <v>0</v>
      </c>
      <c r="V55" s="18">
        <v>5</v>
      </c>
      <c r="W55" s="18">
        <v>25</v>
      </c>
      <c r="X55" s="18">
        <v>5</v>
      </c>
      <c r="Y55" s="18">
        <v>8</v>
      </c>
      <c r="Z55" s="18">
        <v>0</v>
      </c>
      <c r="AA55" s="18">
        <v>0</v>
      </c>
      <c r="AB55" s="18">
        <v>2.5</v>
      </c>
      <c r="AC55" s="18">
        <v>5.5</v>
      </c>
      <c r="AD55" s="18">
        <v>55</v>
      </c>
      <c r="AE55" s="20">
        <f t="shared" si="0"/>
        <v>4.75</v>
      </c>
      <c r="AF55" s="21" t="s">
        <v>95</v>
      </c>
    </row>
    <row r="56" ht="14.25" customHeight="1" spans="1:32">
      <c r="A56" s="18">
        <v>55</v>
      </c>
      <c r="B56" s="18" t="s">
        <v>94</v>
      </c>
      <c r="C56" s="18" t="s">
        <v>94</v>
      </c>
      <c r="D56" s="18">
        <v>105</v>
      </c>
      <c r="E56" s="19">
        <v>300</v>
      </c>
      <c r="F56" s="18">
        <v>5</v>
      </c>
      <c r="G56" s="18">
        <v>0</v>
      </c>
      <c r="H56" s="18">
        <v>0</v>
      </c>
      <c r="I56" s="18">
        <v>5</v>
      </c>
      <c r="J56" s="18">
        <v>56</v>
      </c>
      <c r="K56" s="18">
        <v>4</v>
      </c>
      <c r="L56" s="18">
        <v>20</v>
      </c>
      <c r="M56" s="18">
        <v>5</v>
      </c>
      <c r="N56" s="18">
        <v>0</v>
      </c>
      <c r="O56" s="18">
        <v>2</v>
      </c>
      <c r="P56" s="18">
        <v>3</v>
      </c>
      <c r="Q56" s="18">
        <v>56</v>
      </c>
      <c r="R56" s="18">
        <v>4</v>
      </c>
      <c r="S56" s="18">
        <v>30</v>
      </c>
      <c r="T56" s="18">
        <v>0</v>
      </c>
      <c r="U56" s="18">
        <v>0</v>
      </c>
      <c r="V56" s="18">
        <v>4</v>
      </c>
      <c r="W56" s="18">
        <v>26</v>
      </c>
      <c r="X56" s="18">
        <v>5</v>
      </c>
      <c r="Y56" s="18">
        <v>8</v>
      </c>
      <c r="Z56" s="18">
        <v>0</v>
      </c>
      <c r="AA56" s="18">
        <v>0</v>
      </c>
      <c r="AB56" s="18">
        <v>2.2</v>
      </c>
      <c r="AC56" s="18">
        <v>5.8</v>
      </c>
      <c r="AD56" s="18">
        <v>56</v>
      </c>
      <c r="AE56" s="20">
        <f t="shared" si="0"/>
        <v>4.8</v>
      </c>
      <c r="AF56" s="21" t="s">
        <v>95</v>
      </c>
    </row>
    <row r="57" ht="14.25" customHeight="1" spans="1:32">
      <c r="A57" s="18">
        <v>56</v>
      </c>
      <c r="B57" s="18" t="s">
        <v>94</v>
      </c>
      <c r="C57" s="18" t="s">
        <v>94</v>
      </c>
      <c r="D57" s="18">
        <v>105</v>
      </c>
      <c r="E57" s="19">
        <v>305</v>
      </c>
      <c r="F57" s="18">
        <v>5</v>
      </c>
      <c r="G57" s="18">
        <v>0</v>
      </c>
      <c r="H57" s="18">
        <v>0</v>
      </c>
      <c r="I57" s="18">
        <v>5</v>
      </c>
      <c r="J57" s="18">
        <v>57</v>
      </c>
      <c r="K57" s="18">
        <v>4</v>
      </c>
      <c r="L57" s="18">
        <v>20</v>
      </c>
      <c r="M57" s="18">
        <v>5</v>
      </c>
      <c r="N57" s="18">
        <v>0</v>
      </c>
      <c r="O57" s="18">
        <v>2</v>
      </c>
      <c r="P57" s="18">
        <v>3</v>
      </c>
      <c r="Q57" s="18">
        <v>57</v>
      </c>
      <c r="R57" s="18">
        <v>4</v>
      </c>
      <c r="S57" s="18">
        <v>30</v>
      </c>
      <c r="T57" s="18">
        <v>0</v>
      </c>
      <c r="U57" s="18">
        <v>0</v>
      </c>
      <c r="V57" s="18">
        <v>4</v>
      </c>
      <c r="W57" s="18">
        <v>26</v>
      </c>
      <c r="X57" s="18">
        <v>5</v>
      </c>
      <c r="Y57" s="18">
        <v>8</v>
      </c>
      <c r="Z57" s="18">
        <v>0</v>
      </c>
      <c r="AA57" s="18">
        <v>0</v>
      </c>
      <c r="AB57" s="18">
        <v>2</v>
      </c>
      <c r="AC57" s="18">
        <v>6</v>
      </c>
      <c r="AD57" s="18">
        <v>56</v>
      </c>
      <c r="AE57" s="20">
        <f t="shared" si="0"/>
        <v>4.8</v>
      </c>
      <c r="AF57" s="21" t="s">
        <v>95</v>
      </c>
    </row>
    <row r="58" ht="14.25" customHeight="1" spans="1:32">
      <c r="A58" s="18">
        <v>57</v>
      </c>
      <c r="B58" s="18" t="s">
        <v>94</v>
      </c>
      <c r="C58" s="18" t="s">
        <v>94</v>
      </c>
      <c r="D58" s="18">
        <v>105</v>
      </c>
      <c r="E58" s="19">
        <v>310</v>
      </c>
      <c r="F58" s="18">
        <v>5</v>
      </c>
      <c r="G58" s="18">
        <v>0</v>
      </c>
      <c r="H58" s="18">
        <v>0</v>
      </c>
      <c r="I58" s="18">
        <v>5</v>
      </c>
      <c r="J58" s="18">
        <v>58</v>
      </c>
      <c r="K58" s="18">
        <v>4</v>
      </c>
      <c r="L58" s="18">
        <v>20</v>
      </c>
      <c r="M58" s="18">
        <v>5</v>
      </c>
      <c r="N58" s="18">
        <v>0</v>
      </c>
      <c r="O58" s="18">
        <v>2</v>
      </c>
      <c r="P58" s="18">
        <v>3</v>
      </c>
      <c r="Q58" s="18">
        <v>58</v>
      </c>
      <c r="R58" s="18">
        <v>4</v>
      </c>
      <c r="S58" s="18">
        <v>30</v>
      </c>
      <c r="T58" s="18">
        <v>0</v>
      </c>
      <c r="U58" s="18">
        <v>0</v>
      </c>
      <c r="V58" s="18">
        <v>4</v>
      </c>
      <c r="W58" s="18">
        <v>26</v>
      </c>
      <c r="X58" s="18">
        <v>5</v>
      </c>
      <c r="Y58" s="18">
        <v>8</v>
      </c>
      <c r="Z58" s="18">
        <v>0</v>
      </c>
      <c r="AA58" s="18">
        <v>0</v>
      </c>
      <c r="AB58" s="18">
        <v>1.8</v>
      </c>
      <c r="AC58" s="18">
        <v>6.2</v>
      </c>
      <c r="AD58" s="18">
        <v>57</v>
      </c>
      <c r="AE58" s="20">
        <f t="shared" si="0"/>
        <v>4.85</v>
      </c>
      <c r="AF58" s="21" t="s">
        <v>95</v>
      </c>
    </row>
    <row r="59" ht="14.25" customHeight="1" spans="1:32">
      <c r="A59" s="18">
        <v>58</v>
      </c>
      <c r="B59" s="18" t="s">
        <v>94</v>
      </c>
      <c r="C59" s="18" t="s">
        <v>94</v>
      </c>
      <c r="D59" s="18">
        <v>105</v>
      </c>
      <c r="E59" s="19">
        <v>315</v>
      </c>
      <c r="F59" s="18">
        <v>5</v>
      </c>
      <c r="G59" s="18">
        <v>0</v>
      </c>
      <c r="H59" s="18">
        <v>0</v>
      </c>
      <c r="I59" s="18">
        <v>5</v>
      </c>
      <c r="J59" s="18">
        <v>59</v>
      </c>
      <c r="K59" s="18">
        <v>4</v>
      </c>
      <c r="L59" s="18">
        <v>20</v>
      </c>
      <c r="M59" s="18">
        <v>5</v>
      </c>
      <c r="N59" s="18">
        <v>0</v>
      </c>
      <c r="O59" s="18">
        <v>1</v>
      </c>
      <c r="P59" s="18">
        <v>4</v>
      </c>
      <c r="Q59" s="18">
        <v>58</v>
      </c>
      <c r="R59" s="18">
        <v>4</v>
      </c>
      <c r="S59" s="18">
        <v>30</v>
      </c>
      <c r="T59" s="18">
        <v>0</v>
      </c>
      <c r="U59" s="18">
        <v>0</v>
      </c>
      <c r="V59" s="18">
        <v>3</v>
      </c>
      <c r="W59" s="18">
        <v>27</v>
      </c>
      <c r="X59" s="18">
        <v>5</v>
      </c>
      <c r="Y59" s="18">
        <v>8</v>
      </c>
      <c r="Z59" s="18">
        <v>0</v>
      </c>
      <c r="AA59" s="18">
        <v>0</v>
      </c>
      <c r="AB59" s="18">
        <v>1.5</v>
      </c>
      <c r="AC59" s="18">
        <v>6.5</v>
      </c>
      <c r="AD59" s="18">
        <v>58</v>
      </c>
      <c r="AE59" s="20">
        <f t="shared" si="0"/>
        <v>4.9</v>
      </c>
      <c r="AF59" s="21" t="s">
        <v>95</v>
      </c>
    </row>
    <row r="60" ht="14.25" customHeight="1" spans="1:32">
      <c r="A60" s="18">
        <v>59</v>
      </c>
      <c r="B60" s="18" t="s">
        <v>94</v>
      </c>
      <c r="C60" s="18" t="s">
        <v>94</v>
      </c>
      <c r="D60" s="18">
        <v>105</v>
      </c>
      <c r="E60" s="19">
        <v>320</v>
      </c>
      <c r="F60" s="18">
        <v>5</v>
      </c>
      <c r="G60" s="18">
        <v>0</v>
      </c>
      <c r="H60" s="18">
        <v>0</v>
      </c>
      <c r="I60" s="18">
        <v>5</v>
      </c>
      <c r="J60" s="18">
        <v>59</v>
      </c>
      <c r="K60" s="18">
        <v>4</v>
      </c>
      <c r="L60" s="18">
        <v>20</v>
      </c>
      <c r="M60" s="18">
        <v>5</v>
      </c>
      <c r="N60" s="18">
        <v>0</v>
      </c>
      <c r="O60" s="18">
        <v>1</v>
      </c>
      <c r="P60" s="18">
        <v>4</v>
      </c>
      <c r="Q60" s="18">
        <v>59</v>
      </c>
      <c r="R60" s="18">
        <v>4</v>
      </c>
      <c r="S60" s="18">
        <v>30</v>
      </c>
      <c r="T60" s="18">
        <v>0</v>
      </c>
      <c r="U60" s="18">
        <v>0</v>
      </c>
      <c r="V60" s="18">
        <v>3</v>
      </c>
      <c r="W60" s="18">
        <v>27</v>
      </c>
      <c r="X60" s="18">
        <v>5</v>
      </c>
      <c r="Y60" s="18">
        <v>8</v>
      </c>
      <c r="Z60" s="18">
        <v>0</v>
      </c>
      <c r="AA60" s="18">
        <v>0</v>
      </c>
      <c r="AB60" s="18">
        <v>1.2</v>
      </c>
      <c r="AC60" s="18">
        <v>6.8</v>
      </c>
      <c r="AD60" s="18">
        <v>59</v>
      </c>
      <c r="AE60" s="20">
        <f t="shared" si="0"/>
        <v>4.95</v>
      </c>
      <c r="AF60" s="21" t="s">
        <v>95</v>
      </c>
    </row>
    <row r="61" ht="14.25" customHeight="1" spans="1:32">
      <c r="A61" s="18">
        <v>60</v>
      </c>
      <c r="B61" s="18" t="s">
        <v>94</v>
      </c>
      <c r="C61" s="18" t="s">
        <v>94</v>
      </c>
      <c r="D61" s="18">
        <v>105</v>
      </c>
      <c r="E61" s="19">
        <v>325</v>
      </c>
      <c r="F61" s="18">
        <v>5</v>
      </c>
      <c r="G61" s="18">
        <v>0</v>
      </c>
      <c r="H61" s="18">
        <v>0</v>
      </c>
      <c r="I61" s="18">
        <v>5</v>
      </c>
      <c r="J61" s="18">
        <v>60</v>
      </c>
      <c r="K61" s="18">
        <v>4</v>
      </c>
      <c r="L61" s="18">
        <v>21</v>
      </c>
      <c r="M61" s="18">
        <v>5</v>
      </c>
      <c r="N61" s="18">
        <v>0</v>
      </c>
      <c r="O61" s="18">
        <v>1</v>
      </c>
      <c r="P61" s="18">
        <v>4</v>
      </c>
      <c r="Q61" s="18">
        <v>60</v>
      </c>
      <c r="R61" s="18">
        <v>4</v>
      </c>
      <c r="S61" s="18">
        <v>30</v>
      </c>
      <c r="T61" s="18">
        <v>0</v>
      </c>
      <c r="U61" s="18">
        <v>0</v>
      </c>
      <c r="V61" s="18">
        <v>3</v>
      </c>
      <c r="W61" s="18">
        <v>27</v>
      </c>
      <c r="X61" s="18">
        <v>5</v>
      </c>
      <c r="Y61" s="18">
        <v>8</v>
      </c>
      <c r="Z61" s="18">
        <v>0</v>
      </c>
      <c r="AA61" s="18">
        <v>0</v>
      </c>
      <c r="AB61" s="18">
        <v>1</v>
      </c>
      <c r="AC61" s="18">
        <v>7</v>
      </c>
      <c r="AD61" s="18">
        <v>60</v>
      </c>
      <c r="AE61" s="20">
        <f t="shared" si="0"/>
        <v>5</v>
      </c>
      <c r="AF61" s="21" t="s">
        <v>95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1"/>
  <sheetViews>
    <sheetView workbookViewId="0">
      <selection activeCell="G38" sqref="G38"/>
    </sheetView>
  </sheetViews>
  <sheetFormatPr defaultColWidth="9" defaultRowHeight="15.75" outlineLevelCol="1"/>
  <cols>
    <col min="1" max="16384" width="9" style="15" customWidth="1"/>
  </cols>
  <sheetData>
    <row r="2" s="15" customFormat="1" spans="1:2">
      <c r="A2" s="15" t="s">
        <v>96</v>
      </c>
    </row>
    <row r="3" s="15" customFormat="1" spans="1:2">
      <c r="A3" s="15" t="s">
        <v>97</v>
      </c>
    </row>
    <row r="5" s="15" customFormat="1" spans="1:2">
      <c r="A5" s="15">
        <v>1</v>
      </c>
      <c r="B5" s="15" t="s">
        <v>98</v>
      </c>
    </row>
    <row r="6" s="15" customFormat="1" spans="1:2">
      <c r="A6" s="15">
        <v>2</v>
      </c>
      <c r="B6" s="15" t="s">
        <v>99</v>
      </c>
    </row>
    <row r="7" s="15" customFormat="1" spans="1:2">
      <c r="A7" s="15">
        <v>3</v>
      </c>
      <c r="B7" s="15" t="s">
        <v>100</v>
      </c>
    </row>
    <row r="8" s="15" customFormat="1" spans="1:2">
      <c r="A8" s="15">
        <v>4</v>
      </c>
      <c r="B8" s="15" t="s">
        <v>101</v>
      </c>
    </row>
    <row r="9" s="15" customFormat="1" spans="1:2">
      <c r="A9" s="15">
        <v>5</v>
      </c>
      <c r="B9" s="15" t="s">
        <v>102</v>
      </c>
    </row>
    <row r="10" s="15" customFormat="1" spans="1:2">
      <c r="A10" s="15">
        <v>6</v>
      </c>
      <c r="B10" s="15" t="s">
        <v>103</v>
      </c>
    </row>
    <row r="11" s="15" customFormat="1" spans="1:2">
      <c r="A11" s="15">
        <v>7</v>
      </c>
      <c r="B11" s="15" t="s">
        <v>104</v>
      </c>
    </row>
    <row r="12" s="15" customFormat="1" spans="1:2">
      <c r="A12" s="15">
        <v>8</v>
      </c>
      <c r="B12" s="15" t="s">
        <v>105</v>
      </c>
    </row>
    <row r="13" s="15" customFormat="1" spans="1:2">
      <c r="A13" s="15">
        <v>9</v>
      </c>
      <c r="B13" s="15" t="s">
        <v>106</v>
      </c>
    </row>
    <row r="14" s="15" customFormat="1" spans="1:2">
      <c r="A14" s="15">
        <v>10</v>
      </c>
      <c r="B14" s="15" t="s">
        <v>107</v>
      </c>
    </row>
    <row r="15" s="15" customFormat="1" spans="1:2">
      <c r="A15" s="15">
        <v>11</v>
      </c>
      <c r="B15" s="15" t="s">
        <v>108</v>
      </c>
    </row>
    <row r="16" s="15" customFormat="1" spans="1:2">
      <c r="A16" s="15">
        <v>12</v>
      </c>
      <c r="B16" s="15" t="s">
        <v>109</v>
      </c>
    </row>
    <row r="17" s="15" customFormat="1" spans="1:2">
      <c r="A17" s="15">
        <v>13</v>
      </c>
      <c r="B17" s="15" t="s">
        <v>110</v>
      </c>
    </row>
    <row r="18" s="15" customFormat="1" spans="1:2">
      <c r="A18" s="15">
        <v>14</v>
      </c>
      <c r="B18" s="15" t="s">
        <v>111</v>
      </c>
    </row>
    <row r="19" s="15" customFormat="1" spans="1:2">
      <c r="A19" s="15">
        <v>15</v>
      </c>
      <c r="B19" s="15" t="s">
        <v>112</v>
      </c>
    </row>
    <row r="20" s="15" customFormat="1" spans="1:2">
      <c r="A20" s="15">
        <v>16</v>
      </c>
      <c r="B20" s="15" t="s">
        <v>113</v>
      </c>
    </row>
    <row r="21" s="15" customFormat="1" spans="1:2">
      <c r="A21" s="15">
        <v>17</v>
      </c>
      <c r="B21" s="15" t="s">
        <v>114</v>
      </c>
    </row>
    <row r="22" s="15" customFormat="1" spans="1:2">
      <c r="A22" s="15">
        <v>18</v>
      </c>
      <c r="B22" s="15" t="s">
        <v>115</v>
      </c>
    </row>
    <row r="23" s="15" customFormat="1" spans="1:2">
      <c r="A23" s="15">
        <v>19</v>
      </c>
      <c r="B23" s="15" t="s">
        <v>116</v>
      </c>
    </row>
    <row r="24" s="15" customFormat="1" spans="1:2">
      <c r="B24" s="15" t="s">
        <v>117</v>
      </c>
    </row>
    <row r="25" s="15" customFormat="1" spans="1:2">
      <c r="B25" s="15" t="s">
        <v>118</v>
      </c>
    </row>
    <row r="26" s="15" customFormat="1" spans="1:2">
      <c r="A26" s="15">
        <v>20</v>
      </c>
      <c r="B26" s="15" t="s">
        <v>119</v>
      </c>
    </row>
    <row r="27" s="15" customFormat="1" spans="1:2">
      <c r="A27" s="15">
        <v>21</v>
      </c>
      <c r="B27" s="15" t="s">
        <v>120</v>
      </c>
    </row>
    <row r="28" s="15" customFormat="1" spans="1:2">
      <c r="A28" s="15">
        <v>22</v>
      </c>
      <c r="B28" s="15" t="s">
        <v>121</v>
      </c>
    </row>
    <row r="29" s="15" customFormat="1" spans="1:2">
      <c r="A29" s="15">
        <v>23</v>
      </c>
      <c r="B29" s="15" t="s">
        <v>122</v>
      </c>
    </row>
    <row r="30" spans="1:2">
      <c r="A30" s="15">
        <v>24</v>
      </c>
      <c r="B30" s="15" t="s">
        <v>123</v>
      </c>
    </row>
    <row r="31" spans="1:2">
      <c r="A31" s="15">
        <v>25</v>
      </c>
      <c r="B31" s="15" t="s">
        <v>124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26"/>
  <sheetViews>
    <sheetView workbookViewId="0">
      <selection activeCell="H25" sqref="H25"/>
    </sheetView>
  </sheetViews>
  <sheetFormatPr defaultColWidth="9" defaultRowHeight="16.5"/>
  <cols>
    <col min="1" max="1" width="9" style="2" customWidth="1"/>
    <col min="2" max="2" width="13.875" style="2" customWidth="1"/>
    <col min="3" max="3" width="21.25" style="2" customWidth="1"/>
    <col min="4" max="4" width="30.375" style="2" customWidth="1"/>
    <col min="5" max="5" width="67.125" style="2" customWidth="1"/>
    <col min="6" max="6" width="16.5" style="2" customWidth="1"/>
    <col min="7" max="7" width="16.375" style="2" customWidth="1"/>
    <col min="8" max="8" width="13.875" style="2" customWidth="1"/>
    <col min="9" max="10" width="21.125" style="2" customWidth="1"/>
    <col min="11" max="11" width="12.5" style="2" customWidth="1"/>
    <col min="12" max="16384" width="9" style="2" customWidth="1"/>
  </cols>
  <sheetData>
    <row r="1" spans="2:12">
      <c r="G1" s="9" t="s">
        <v>125</v>
      </c>
    </row>
    <row r="2" spans="2:12">
      <c r="B2" s="5" t="s">
        <v>126</v>
      </c>
      <c r="C2" s="5" t="s">
        <v>0</v>
      </c>
      <c r="D2" s="5" t="s">
        <v>16</v>
      </c>
      <c r="E2" s="5" t="s">
        <v>127</v>
      </c>
      <c r="F2" s="5" t="s">
        <v>128</v>
      </c>
      <c r="G2" s="5" t="s">
        <v>129</v>
      </c>
      <c r="H2" s="5" t="s">
        <v>130</v>
      </c>
      <c r="I2" s="5" t="s">
        <v>131</v>
      </c>
      <c r="J2" s="5" t="s">
        <v>132</v>
      </c>
      <c r="K2" s="5" t="s">
        <v>133</v>
      </c>
    </row>
    <row r="3" spans="2:12">
      <c r="B3" s="10" t="s">
        <v>134</v>
      </c>
      <c r="D3" s="11" t="s">
        <v>18</v>
      </c>
      <c r="E3" s="2" t="s">
        <v>135</v>
      </c>
      <c r="H3" s="6">
        <v>0</v>
      </c>
      <c r="I3" s="6">
        <v>1</v>
      </c>
      <c r="J3" s="2">
        <v>3</v>
      </c>
      <c r="K3" s="2">
        <v>1</v>
      </c>
      <c r="L3" s="2">
        <v>1</v>
      </c>
    </row>
    <row r="4" spans="2:12">
      <c r="H4" s="6">
        <v>0</v>
      </c>
      <c r="I4" s="6">
        <v>2</v>
      </c>
      <c r="J4" s="2">
        <v>5</v>
      </c>
      <c r="K4" s="2">
        <v>1</v>
      </c>
      <c r="L4" s="2">
        <v>2</v>
      </c>
    </row>
    <row r="5" spans="2:12">
      <c r="F5" s="2" t="s">
        <v>136</v>
      </c>
      <c r="H5" s="6">
        <v>0</v>
      </c>
      <c r="I5" s="6">
        <v>3</v>
      </c>
      <c r="J5" s="2">
        <v>8</v>
      </c>
      <c r="K5" s="2">
        <v>1</v>
      </c>
      <c r="L5" s="2">
        <v>3</v>
      </c>
    </row>
    <row r="6" spans="2:12">
      <c r="C6" s="2" t="s">
        <v>137</v>
      </c>
      <c r="E6" s="2" t="s">
        <v>138</v>
      </c>
      <c r="H6" s="6">
        <v>0</v>
      </c>
      <c r="I6" s="6">
        <v>4</v>
      </c>
      <c r="J6" s="2">
        <v>12</v>
      </c>
      <c r="K6" s="2">
        <v>1</v>
      </c>
      <c r="L6" s="2">
        <v>5</v>
      </c>
    </row>
    <row r="7" spans="2:12">
      <c r="E7" s="2" t="s">
        <v>139</v>
      </c>
      <c r="H7" s="6">
        <v>0</v>
      </c>
      <c r="I7" s="6">
        <v>5</v>
      </c>
      <c r="J7" s="2">
        <v>14</v>
      </c>
      <c r="K7" s="2">
        <v>1</v>
      </c>
      <c r="L7" s="2">
        <v>6</v>
      </c>
    </row>
    <row r="8" spans="2:12">
      <c r="D8" s="2" t="s">
        <v>140</v>
      </c>
      <c r="E8" s="2" t="s">
        <v>141</v>
      </c>
      <c r="H8" s="6">
        <v>0</v>
      </c>
      <c r="I8" s="6">
        <v>5</v>
      </c>
      <c r="J8" s="2">
        <v>14</v>
      </c>
      <c r="K8" s="2">
        <v>1</v>
      </c>
      <c r="L8" s="2">
        <v>6</v>
      </c>
    </row>
    <row r="9" spans="2:12">
      <c r="C9" s="2" t="s">
        <v>142</v>
      </c>
      <c r="E9" s="2" t="s">
        <v>143</v>
      </c>
      <c r="F9" s="2" t="s">
        <v>144</v>
      </c>
      <c r="H9" s="12" t="s">
        <v>145</v>
      </c>
      <c r="I9" s="6">
        <v>1</v>
      </c>
      <c r="J9" s="2">
        <v>18</v>
      </c>
      <c r="K9" s="2">
        <v>1</v>
      </c>
      <c r="L9" s="2">
        <v>7</v>
      </c>
    </row>
    <row r="10" spans="2:12">
      <c r="E10" s="2" t="s">
        <v>146</v>
      </c>
      <c r="H10" s="12" t="s">
        <v>145</v>
      </c>
      <c r="I10" s="6">
        <v>2</v>
      </c>
      <c r="J10" s="2">
        <v>21</v>
      </c>
      <c r="K10" s="2">
        <v>1</v>
      </c>
      <c r="L10" s="2">
        <v>7</v>
      </c>
    </row>
    <row r="11" spans="2:12">
      <c r="C11" s="2" t="s">
        <v>147</v>
      </c>
      <c r="D11" s="2" t="s">
        <v>148</v>
      </c>
      <c r="E11" s="2" t="s">
        <v>149</v>
      </c>
      <c r="F11" s="2" t="s">
        <v>150</v>
      </c>
      <c r="H11" s="12" t="s">
        <v>145</v>
      </c>
      <c r="I11" s="6">
        <v>4</v>
      </c>
      <c r="J11" s="2">
        <v>24</v>
      </c>
      <c r="K11" s="2">
        <v>1</v>
      </c>
      <c r="L11" s="2">
        <v>8</v>
      </c>
    </row>
    <row r="12" spans="2:12">
      <c r="C12" s="2" t="s">
        <v>151</v>
      </c>
      <c r="E12" s="2" t="s">
        <v>152</v>
      </c>
      <c r="H12" s="12" t="s">
        <v>145</v>
      </c>
      <c r="I12" s="6">
        <v>5</v>
      </c>
      <c r="J12" s="2">
        <v>27</v>
      </c>
      <c r="K12" s="2">
        <v>1</v>
      </c>
      <c r="L12" s="2">
        <v>8</v>
      </c>
    </row>
    <row r="13" spans="2:12">
      <c r="D13" s="11" t="s">
        <v>153</v>
      </c>
      <c r="E13" s="2" t="s">
        <v>154</v>
      </c>
      <c r="H13" s="12" t="s">
        <v>145</v>
      </c>
      <c r="I13" s="6">
        <v>6</v>
      </c>
      <c r="J13" s="2">
        <v>30</v>
      </c>
      <c r="K13" s="2">
        <v>1</v>
      </c>
      <c r="L13" s="2">
        <v>9</v>
      </c>
    </row>
    <row r="14" spans="2:12">
      <c r="C14" s="2" t="s">
        <v>155</v>
      </c>
      <c r="D14" s="2" t="s">
        <v>156</v>
      </c>
      <c r="E14" s="2" t="s">
        <v>157</v>
      </c>
      <c r="H14" s="12" t="s">
        <v>145</v>
      </c>
      <c r="I14" s="6">
        <v>8</v>
      </c>
      <c r="J14" s="2">
        <v>35</v>
      </c>
      <c r="K14" s="2">
        <v>1</v>
      </c>
      <c r="L14" s="2">
        <v>10</v>
      </c>
    </row>
    <row r="15" spans="2:12">
      <c r="D15" s="2" t="s">
        <v>46</v>
      </c>
      <c r="E15" s="2" t="s">
        <v>158</v>
      </c>
      <c r="H15" s="12" t="s">
        <v>145</v>
      </c>
      <c r="I15" s="6">
        <v>10</v>
      </c>
      <c r="J15" s="2">
        <v>40</v>
      </c>
      <c r="K15" s="2">
        <v>1</v>
      </c>
      <c r="L15" s="2">
        <v>11</v>
      </c>
    </row>
    <row r="16" spans="2:12">
      <c r="D16" s="2" t="s">
        <v>159</v>
      </c>
      <c r="E16" s="2" t="s">
        <v>86</v>
      </c>
      <c r="H16" s="12" t="s">
        <v>145</v>
      </c>
      <c r="I16" s="6">
        <v>10</v>
      </c>
      <c r="K16" s="2">
        <v>1</v>
      </c>
      <c r="L16" s="2">
        <v>11</v>
      </c>
    </row>
    <row r="17" spans="2:13">
      <c r="C17" s="2" t="s">
        <v>160</v>
      </c>
      <c r="E17" s="2" t="s">
        <v>86</v>
      </c>
      <c r="H17" s="12" t="s">
        <v>161</v>
      </c>
      <c r="I17" s="6">
        <v>5</v>
      </c>
      <c r="K17" s="2">
        <v>1</v>
      </c>
      <c r="L17" s="2">
        <v>11</v>
      </c>
    </row>
    <row r="18" spans="2:13">
      <c r="D18" s="11" t="s">
        <v>28</v>
      </c>
      <c r="E18" s="2" t="s">
        <v>162</v>
      </c>
      <c r="H18" s="12" t="s">
        <v>161</v>
      </c>
      <c r="I18" s="6">
        <v>10</v>
      </c>
      <c r="K18" s="2">
        <v>1</v>
      </c>
      <c r="L18" s="2">
        <v>17</v>
      </c>
    </row>
    <row r="19" spans="2:13">
      <c r="C19" s="2" t="s">
        <v>14</v>
      </c>
      <c r="D19" s="11" t="s">
        <v>163</v>
      </c>
      <c r="E19" s="2" t="s">
        <v>164</v>
      </c>
      <c r="F19" s="2" t="s">
        <v>165</v>
      </c>
      <c r="H19" s="12" t="s">
        <v>161</v>
      </c>
      <c r="I19" s="6">
        <v>15</v>
      </c>
      <c r="K19" s="2">
        <v>1</v>
      </c>
      <c r="L19" s="2">
        <v>19</v>
      </c>
    </row>
    <row r="20" spans="2:13">
      <c r="D20" s="2" t="s">
        <v>166</v>
      </c>
      <c r="E20" s="2" t="s">
        <v>167</v>
      </c>
      <c r="G20" s="6">
        <v>20</v>
      </c>
      <c r="K20" s="2">
        <v>1</v>
      </c>
      <c r="L20" s="2">
        <v>3</v>
      </c>
      <c r="M20" s="2">
        <v>3</v>
      </c>
    </row>
    <row r="21" spans="2:13">
      <c r="D21" s="2" t="s">
        <v>43</v>
      </c>
      <c r="E21" s="2" t="s">
        <v>168</v>
      </c>
      <c r="G21" s="6">
        <v>22</v>
      </c>
      <c r="K21" s="2">
        <v>1</v>
      </c>
      <c r="L21" s="2">
        <v>3</v>
      </c>
      <c r="M21" s="2">
        <v>3</v>
      </c>
    </row>
    <row r="22" spans="2:13">
      <c r="D22" s="11" t="s">
        <v>31</v>
      </c>
      <c r="E22" s="2" t="s">
        <v>169</v>
      </c>
      <c r="G22" s="6">
        <v>25</v>
      </c>
      <c r="K22" s="2">
        <v>1</v>
      </c>
      <c r="L22" s="13" t="s">
        <v>170</v>
      </c>
      <c r="M22" s="2">
        <v>3</v>
      </c>
    </row>
    <row r="23" spans="2:13">
      <c r="C23" s="2" t="s">
        <v>171</v>
      </c>
      <c r="D23" s="11" t="s">
        <v>172</v>
      </c>
      <c r="E23" s="2" t="s">
        <v>173</v>
      </c>
      <c r="F23" s="2" t="s">
        <v>174</v>
      </c>
      <c r="G23" s="6">
        <v>27</v>
      </c>
      <c r="K23" s="2">
        <v>2</v>
      </c>
      <c r="L23" s="13" t="s">
        <v>170</v>
      </c>
      <c r="M23" s="2">
        <v>9</v>
      </c>
    </row>
    <row r="24" spans="2:13">
      <c r="C24" s="2" t="s">
        <v>175</v>
      </c>
      <c r="D24" s="11" t="s">
        <v>176</v>
      </c>
      <c r="E24" s="2" t="s">
        <v>177</v>
      </c>
      <c r="G24" s="6">
        <v>30</v>
      </c>
      <c r="K24" s="2">
        <v>4</v>
      </c>
    </row>
    <row r="25" ht="18" customHeight="1" spans="2:13">
      <c r="B25" s="10"/>
      <c r="D25" s="11" t="s">
        <v>178</v>
      </c>
      <c r="G25" s="6">
        <v>32</v>
      </c>
      <c r="K25" s="2">
        <v>3</v>
      </c>
      <c r="L25" s="13" t="s">
        <v>179</v>
      </c>
      <c r="M25" s="2">
        <v>4</v>
      </c>
    </row>
    <row r="26" spans="2:13">
      <c r="D26" s="11" t="s">
        <v>34</v>
      </c>
      <c r="E26" s="2" t="s">
        <v>180</v>
      </c>
      <c r="G26" s="6">
        <v>37</v>
      </c>
      <c r="K26" s="14" t="s">
        <v>181</v>
      </c>
    </row>
  </sheetData>
  <mergeCells count="1">
    <mergeCell ref="B3:B24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U105"/>
  <sheetViews>
    <sheetView topLeftCell="B1" workbookViewId="0">
      <selection activeCell="O17" sqref="O17"/>
    </sheetView>
  </sheetViews>
  <sheetFormatPr defaultColWidth="9" defaultRowHeight="16.5"/>
  <cols>
    <col min="1" max="3" width="9" style="1" customWidth="1"/>
    <col min="4" max="4" width="11.625" style="1" customWidth="1"/>
    <col min="5" max="6" width="12.875" style="1" customWidth="1"/>
    <col min="7" max="7" width="15.5" style="1" customWidth="1"/>
    <col min="8" max="8" width="12.875" style="1" customWidth="1"/>
    <col min="9" max="9" width="12.875" style="1" hidden="1" customWidth="1"/>
    <col min="10" max="10" width="16" style="1" hidden="1" customWidth="1"/>
    <col min="11" max="11" width="12.875" style="1" customWidth="1"/>
    <col min="12" max="14" width="14.125" style="2" customWidth="1"/>
    <col min="15" max="15" width="17.5" style="2" customWidth="1"/>
    <col min="16" max="16" width="13.375" style="1" customWidth="1"/>
    <col min="17" max="17" width="10" style="1" customWidth="1"/>
    <col min="18" max="18" width="9" style="1" customWidth="1"/>
    <col min="19" max="19" width="17.5" style="2" customWidth="1"/>
    <col min="20" max="20" width="11.75" style="2" customWidth="1"/>
    <col min="21" max="21" width="9.75" style="2" customWidth="1"/>
    <col min="22" max="16384" width="9" style="1" customWidth="1"/>
  </cols>
  <sheetData>
    <row r="2" s="1" customFormat="1" spans="2:21">
      <c r="B2" s="1" t="s">
        <v>182</v>
      </c>
      <c r="D2" s="3">
        <v>60</v>
      </c>
      <c r="F2" s="1">
        <f>MAX($F$5:$F$63)/U18</f>
        <v>31.164367816092</v>
      </c>
      <c r="G2" s="1">
        <f>MAX($F$5:$F$63)/U16</f>
        <v>36.1506666666667</v>
      </c>
      <c r="L2" s="2"/>
      <c r="M2" s="2"/>
      <c r="N2" s="2"/>
      <c r="O2" s="2"/>
      <c r="S2" s="2"/>
      <c r="T2" s="2"/>
      <c r="U2" s="2"/>
    </row>
    <row r="3" s="1" customFormat="1" spans="2:21">
      <c r="F3" s="1">
        <f>F63/U16</f>
        <v>36.1506666666667</v>
      </c>
      <c r="L3" s="2"/>
      <c r="M3" s="2"/>
      <c r="N3" s="2"/>
      <c r="O3" s="2"/>
      <c r="S3" s="4" t="s">
        <v>183</v>
      </c>
      <c r="T3" s="2"/>
      <c r="U3" s="2"/>
    </row>
    <row r="4" s="1" customFormat="1" spans="2:21">
      <c r="B4" s="5" t="s">
        <v>184</v>
      </c>
      <c r="C4" s="5" t="s">
        <v>185</v>
      </c>
      <c r="D4" s="5" t="s">
        <v>186</v>
      </c>
      <c r="E4" s="5" t="s">
        <v>187</v>
      </c>
      <c r="F4" s="5" t="s">
        <v>188</v>
      </c>
      <c r="G4" s="5" t="s">
        <v>189</v>
      </c>
      <c r="H4" s="5" t="s">
        <v>190</v>
      </c>
      <c r="I4" s="5"/>
      <c r="J4" s="5"/>
      <c r="K4" s="5" t="s">
        <v>191</v>
      </c>
      <c r="L4" s="2"/>
      <c r="M4" s="2"/>
      <c r="N4" s="5" t="s">
        <v>192</v>
      </c>
      <c r="O4" s="5" t="s">
        <v>193</v>
      </c>
      <c r="P4" s="5" t="s">
        <v>194</v>
      </c>
      <c r="Q4" s="5" t="s">
        <v>195</v>
      </c>
      <c r="S4" s="5" t="s">
        <v>196</v>
      </c>
      <c r="T4" s="5" t="s">
        <v>197</v>
      </c>
      <c r="U4" s="5" t="s">
        <v>198</v>
      </c>
    </row>
    <row r="5" s="1" customFormat="1" spans="2:21">
      <c r="B5" s="1">
        <f t="array" ref="B5:B64">_xlfn.SEQUENCE(D2,1,1,1)</f>
        <v>1</v>
      </c>
      <c r="C5" s="1">
        <v>10</v>
      </c>
      <c r="D5" s="3">
        <v>80</v>
      </c>
      <c r="E5" s="1">
        <v>0</v>
      </c>
      <c r="F5" s="1">
        <f>SUM($D$5:D5)</f>
        <v>80</v>
      </c>
      <c r="G5" s="1">
        <f>SUM($D$5:D5)-10*SUM($E$5:E5)</f>
        <v>80</v>
      </c>
      <c r="H5" s="1">
        <f t="array" ref="H5">INDEX($N$5:$N$18,MATCH(MIN(IF($P$5:$P$18&gt;B5,$P$5:$P$18)),$P$5:$P$18,0))</f>
        <v>0</v>
      </c>
      <c r="I5" s="1">
        <f t="shared" ref="I5:I43" si="0">VLOOKUP(H5,$N$5:$O$18,2,0)/COUNTIF($H$5:$H$74,H5)</f>
        <v>1</v>
      </c>
      <c r="J5" s="1">
        <f t="shared" ref="J5:J43" si="1">IF(H5&lt;&gt;H4,I5,J4+I4)</f>
        <v>1</v>
      </c>
      <c r="K5" s="1">
        <f t="shared" ref="K5:K43" si="2">ROUND(J5,0)</f>
        <v>1</v>
      </c>
      <c r="L5" s="2"/>
      <c r="M5" s="2"/>
      <c r="N5" s="2">
        <v>0</v>
      </c>
      <c r="O5" s="2">
        <v>5</v>
      </c>
      <c r="P5" s="2">
        <v>6</v>
      </c>
      <c r="Q5" s="2">
        <f t="array" ref="Q5">_xlfn.IFNA(INDEX(_xlfn.ANCHORARRAY($N$43),MATCH(P5,$P$43:$P$98))+1,1)</f>
        <v>1</v>
      </c>
      <c r="S5" s="2" t="s">
        <v>199</v>
      </c>
      <c r="T5" s="6">
        <v>240</v>
      </c>
      <c r="U5" s="2">
        <f>T5*10</f>
        <v>2400</v>
      </c>
    </row>
    <row r="6" s="1" customFormat="1" spans="2:21">
      <c r="B6" s="1">
        <v>2</v>
      </c>
      <c r="C6" s="1">
        <v>10</v>
      </c>
      <c r="D6" s="1">
        <f t="shared" ref="D6:D64" si="3">C6+D5</f>
        <v>90</v>
      </c>
      <c r="E6" s="1">
        <v>5</v>
      </c>
      <c r="F6" s="1">
        <f>SUM($D$5:D6)</f>
        <v>170</v>
      </c>
      <c r="G6" s="1">
        <f>SUM($D$5:D6)-10*SUM($E$5:E6)</f>
        <v>120</v>
      </c>
      <c r="H6" s="1">
        <f t="array" ref="H6">INDEX($N$5:$N$18,MATCH(MIN(IF($P$5:$P$18&gt;B6,$P$5:$P$18)),$P$5:$P$18,0))</f>
        <v>0</v>
      </c>
      <c r="I6" s="1">
        <f t="shared" si="0"/>
        <v>1</v>
      </c>
      <c r="J6" s="1">
        <f t="shared" si="1"/>
        <v>2</v>
      </c>
      <c r="K6" s="1">
        <f t="shared" si="2"/>
        <v>2</v>
      </c>
      <c r="L6" s="2"/>
      <c r="M6" s="2"/>
      <c r="N6" s="2">
        <v>1</v>
      </c>
      <c r="O6" s="2">
        <v>10</v>
      </c>
      <c r="P6" s="2">
        <v>14</v>
      </c>
      <c r="Q6" s="2">
        <f t="array" ref="Q6">_xlfn.IFNA(INDEX(_xlfn.ANCHORARRAY($N$43),MATCH(P6,$P$43:$P$98))+1,1)</f>
        <v>1</v>
      </c>
      <c r="S6" s="2" t="s">
        <v>46</v>
      </c>
      <c r="T6" s="2">
        <v>0</v>
      </c>
      <c r="U6" s="6">
        <v>1500</v>
      </c>
    </row>
    <row r="7" s="1" customFormat="1" spans="2:21">
      <c r="B7" s="1">
        <v>3</v>
      </c>
      <c r="C7" s="1">
        <v>10</v>
      </c>
      <c r="D7" s="1">
        <f t="shared" si="3"/>
        <v>100</v>
      </c>
      <c r="E7" s="1">
        <v>5</v>
      </c>
      <c r="F7" s="1">
        <f>SUM($D$5:D7)</f>
        <v>270</v>
      </c>
      <c r="G7" s="1">
        <f>SUM($D$5:D7)-10*SUM($E$5:E7)</f>
        <v>170</v>
      </c>
      <c r="H7" s="1">
        <f t="array" ref="H7">INDEX($N$5:$N$18,MATCH(MIN(IF($P$5:$P$18&gt;B7,$P$5:$P$18)),$P$5:$P$18,0))</f>
        <v>0</v>
      </c>
      <c r="I7" s="1">
        <f t="shared" si="0"/>
        <v>1</v>
      </c>
      <c r="J7" s="1">
        <f t="shared" si="1"/>
        <v>3</v>
      </c>
      <c r="K7" s="1">
        <f t="shared" si="2"/>
        <v>3</v>
      </c>
      <c r="L7" s="2"/>
      <c r="M7" s="2"/>
      <c r="N7" s="2">
        <v>2</v>
      </c>
      <c r="O7" s="2">
        <v>15</v>
      </c>
      <c r="P7" s="2">
        <v>20</v>
      </c>
      <c r="Q7" s="2">
        <f t="array" ref="Q7">_xlfn.IFNA(INDEX(_xlfn.ANCHORARRAY($N$43),MATCH(P7,$P$43:$P$98))+1,1)</f>
        <v>1</v>
      </c>
      <c r="S7" s="2" t="s">
        <v>200</v>
      </c>
      <c r="T7" s="6">
        <v>60</v>
      </c>
      <c r="U7" s="2">
        <f t="shared" ref="U7:U14" si="4">T7*10</f>
        <v>600</v>
      </c>
    </row>
    <row r="8" s="1" customFormat="1" spans="2:21">
      <c r="B8" s="1">
        <v>4</v>
      </c>
      <c r="C8" s="1">
        <v>10</v>
      </c>
      <c r="D8" s="1">
        <f t="shared" si="3"/>
        <v>110</v>
      </c>
      <c r="E8" s="1">
        <v>5</v>
      </c>
      <c r="F8" s="1">
        <f>SUM($D$5:D8)</f>
        <v>380</v>
      </c>
      <c r="G8" s="1">
        <f>SUM($D$5:D8)-10*SUM($E$5:E8)</f>
        <v>230</v>
      </c>
      <c r="H8" s="1">
        <f t="array" ref="H8">INDEX($N$5:$N$18,MATCH(MIN(IF($P$5:$P$18&gt;B8,$P$5:$P$18)),$P$5:$P$18,0))</f>
        <v>0</v>
      </c>
      <c r="I8" s="1">
        <f t="shared" si="0"/>
        <v>1</v>
      </c>
      <c r="J8" s="1">
        <f t="shared" si="1"/>
        <v>4</v>
      </c>
      <c r="K8" s="1">
        <f t="shared" si="2"/>
        <v>4</v>
      </c>
      <c r="L8" s="2"/>
      <c r="M8" s="2"/>
      <c r="N8" s="2">
        <v>3</v>
      </c>
      <c r="O8" s="2">
        <v>15</v>
      </c>
      <c r="P8" s="2">
        <v>25</v>
      </c>
      <c r="Q8" s="2">
        <f t="array" ref="Q8">_xlfn.IFNA(INDEX(_xlfn.ANCHORARRAY($N$43),MATCH(P8,$P$43:$P$98))+1,1)</f>
        <v>1</v>
      </c>
      <c r="S8" s="2" t="s">
        <v>201</v>
      </c>
      <c r="T8" s="6">
        <v>60</v>
      </c>
      <c r="U8" s="2">
        <f t="shared" si="4"/>
        <v>600</v>
      </c>
    </row>
    <row r="9" s="1" customFormat="1" spans="2:21">
      <c r="B9" s="1">
        <v>5</v>
      </c>
      <c r="C9" s="1">
        <v>10</v>
      </c>
      <c r="D9" s="1">
        <f t="shared" si="3"/>
        <v>120</v>
      </c>
      <c r="E9" s="1">
        <v>5</v>
      </c>
      <c r="F9" s="1">
        <f>SUM($D$5:D9)</f>
        <v>500</v>
      </c>
      <c r="G9" s="1">
        <f>SUM($D$5:D9)-10*SUM($E$5:E9)</f>
        <v>300</v>
      </c>
      <c r="H9" s="1">
        <f t="array" ref="H9">INDEX($N$5:$N$18,MATCH(MIN(IF($P$5:$P$18&gt;B9,$P$5:$P$18)),$P$5:$P$18,0))</f>
        <v>0</v>
      </c>
      <c r="I9" s="1">
        <f t="shared" si="0"/>
        <v>1</v>
      </c>
      <c r="J9" s="1">
        <f t="shared" si="1"/>
        <v>5</v>
      </c>
      <c r="K9" s="1">
        <f t="shared" si="2"/>
        <v>5</v>
      </c>
      <c r="L9" s="2"/>
      <c r="M9" s="2"/>
      <c r="N9" s="2">
        <v>4</v>
      </c>
      <c r="O9" s="2">
        <v>15</v>
      </c>
      <c r="P9" s="2">
        <v>30</v>
      </c>
      <c r="Q9" s="2">
        <f t="array" ref="Q9">_xlfn.IFNA(INDEX(_xlfn.ANCHORARRAY($N$43),MATCH(P9,$P$43:$P$98))+1,1)</f>
        <v>2</v>
      </c>
      <c r="S9" s="2" t="s">
        <v>202</v>
      </c>
      <c r="T9" s="6">
        <v>60</v>
      </c>
      <c r="U9" s="2">
        <f t="shared" si="4"/>
        <v>600</v>
      </c>
    </row>
    <row r="10" s="1" customFormat="1" spans="2:21">
      <c r="B10" s="1">
        <v>6</v>
      </c>
      <c r="C10" s="1">
        <v>10</v>
      </c>
      <c r="D10" s="1">
        <f t="shared" si="3"/>
        <v>130</v>
      </c>
      <c r="E10" s="1">
        <v>5</v>
      </c>
      <c r="F10" s="1">
        <f>SUM($D$5:D10)</f>
        <v>630</v>
      </c>
      <c r="G10" s="1">
        <f>SUM($D$5:D10)-10*SUM($E$5:E10)</f>
        <v>380</v>
      </c>
      <c r="H10" s="1">
        <f t="array" ref="H10">INDEX($N$5:$N$18,MATCH(MIN(IF($P$5:$P$18&gt;B10,$P$5:$P$18)),$P$5:$P$18,0))</f>
        <v>1</v>
      </c>
      <c r="I10" s="1">
        <f t="shared" si="0"/>
        <v>1.25</v>
      </c>
      <c r="J10" s="1">
        <f t="shared" si="1"/>
        <v>1.25</v>
      </c>
      <c r="K10" s="1">
        <f t="shared" si="2"/>
        <v>1</v>
      </c>
      <c r="L10" s="2"/>
      <c r="M10" s="2"/>
      <c r="N10" s="2">
        <v>5</v>
      </c>
      <c r="O10" s="2">
        <v>15</v>
      </c>
      <c r="P10" s="2">
        <v>34</v>
      </c>
      <c r="Q10" s="2">
        <f t="array" ref="Q10">_xlfn.IFNA(INDEX(_xlfn.ANCHORARRAY($N$43),MATCH(P10,$P$43:$P$98))+1,1)</f>
        <v>3</v>
      </c>
      <c r="S10" s="2" t="s">
        <v>203</v>
      </c>
      <c r="T10" s="6">
        <v>60</v>
      </c>
      <c r="U10" s="2">
        <f t="shared" si="4"/>
        <v>600</v>
      </c>
    </row>
    <row r="11" s="1" customFormat="1" spans="2:21">
      <c r="B11" s="1">
        <v>7</v>
      </c>
      <c r="C11" s="1">
        <v>10</v>
      </c>
      <c r="D11" s="1">
        <f t="shared" si="3"/>
        <v>140</v>
      </c>
      <c r="E11" s="1">
        <v>5</v>
      </c>
      <c r="F11" s="1">
        <f>SUM($D$5:D11)</f>
        <v>770</v>
      </c>
      <c r="G11" s="1">
        <f>SUM($D$5:D11)-10*SUM($E$5:E11)</f>
        <v>470</v>
      </c>
      <c r="H11" s="1">
        <f t="array" ref="H11">INDEX($N$5:$N$18,MATCH(MIN(IF($P$5:$P$18&gt;B11,$P$5:$P$18)),$P$5:$P$18,0))</f>
        <v>1</v>
      </c>
      <c r="I11" s="1">
        <f t="shared" si="0"/>
        <v>1.25</v>
      </c>
      <c r="J11" s="1">
        <f t="shared" si="1"/>
        <v>2.5</v>
      </c>
      <c r="K11" s="1">
        <f t="shared" si="2"/>
        <v>3</v>
      </c>
      <c r="L11" s="2"/>
      <c r="M11" s="2"/>
      <c r="N11" s="2">
        <v>6</v>
      </c>
      <c r="O11" s="2">
        <v>15</v>
      </c>
      <c r="P11" s="2">
        <v>37</v>
      </c>
      <c r="Q11" s="2">
        <f t="array" ref="Q11">_xlfn.IFNA(INDEX(_xlfn.ANCHORARRAY($N$43),MATCH(P11,$P$43:$P$98))+1,1)</f>
        <v>4</v>
      </c>
      <c r="S11" s="2" t="s">
        <v>204</v>
      </c>
      <c r="T11" s="6">
        <v>60</v>
      </c>
      <c r="U11" s="2">
        <f t="shared" si="4"/>
        <v>600</v>
      </c>
    </row>
    <row r="12" s="1" customFormat="1" spans="2:21">
      <c r="B12" s="1">
        <v>8</v>
      </c>
      <c r="C12" s="1">
        <v>10</v>
      </c>
      <c r="D12" s="1">
        <f t="shared" si="3"/>
        <v>150</v>
      </c>
      <c r="E12" s="1">
        <v>5</v>
      </c>
      <c r="F12" s="1">
        <f>SUM($D$5:D12)</f>
        <v>920</v>
      </c>
      <c r="G12" s="1">
        <f>SUM($D$5:D12)-10*SUM($E$5:E12)</f>
        <v>570</v>
      </c>
      <c r="H12" s="1">
        <f t="array" ref="H12">INDEX($N$5:$N$18,MATCH(MIN(IF($P$5:$P$18&gt;B12,$P$5:$P$18)),$P$5:$P$18,0))</f>
        <v>1</v>
      </c>
      <c r="I12" s="1">
        <f t="shared" si="0"/>
        <v>1.25</v>
      </c>
      <c r="J12" s="1">
        <f t="shared" si="1"/>
        <v>3.75</v>
      </c>
      <c r="K12" s="1">
        <f t="shared" si="2"/>
        <v>4</v>
      </c>
      <c r="L12" s="2"/>
      <c r="M12" s="2"/>
      <c r="N12" s="2">
        <v>7</v>
      </c>
      <c r="O12" s="2">
        <v>15</v>
      </c>
      <c r="P12" s="2">
        <v>40</v>
      </c>
      <c r="Q12" s="2">
        <f t="array" ref="Q12">_xlfn.IFNA(INDEX(_xlfn.ANCHORARRAY($N$43),MATCH(P12,$P$43:$P$98))+1,1)</f>
        <v>6</v>
      </c>
      <c r="S12" s="2" t="s">
        <v>205</v>
      </c>
      <c r="T12" s="6">
        <v>60</v>
      </c>
      <c r="U12" s="2">
        <f t="shared" si="4"/>
        <v>600</v>
      </c>
    </row>
    <row r="13" s="1" customFormat="1" spans="2:21">
      <c r="B13" s="1">
        <v>9</v>
      </c>
      <c r="C13" s="1">
        <v>10</v>
      </c>
      <c r="D13" s="1">
        <f t="shared" si="3"/>
        <v>160</v>
      </c>
      <c r="E13" s="1">
        <v>5</v>
      </c>
      <c r="F13" s="1">
        <f>SUM($D$5:D13)</f>
        <v>1080</v>
      </c>
      <c r="G13" s="1">
        <f>SUM($D$5:D13)-10*SUM($E$5:E13)</f>
        <v>680</v>
      </c>
      <c r="H13" s="1">
        <f t="array" ref="H13">INDEX($N$5:$N$18,MATCH(MIN(IF($P$5:$P$18&gt;B13,$P$5:$P$18)),$P$5:$P$18,0))</f>
        <v>1</v>
      </c>
      <c r="I13" s="1">
        <f t="shared" si="0"/>
        <v>1.25</v>
      </c>
      <c r="J13" s="1">
        <f t="shared" si="1"/>
        <v>5</v>
      </c>
      <c r="K13" s="1">
        <f t="shared" si="2"/>
        <v>5</v>
      </c>
      <c r="L13" s="2"/>
      <c r="M13" s="2"/>
      <c r="N13" s="2"/>
      <c r="O13" s="2"/>
      <c r="P13" s="2"/>
      <c r="Q13" s="1"/>
      <c r="S13" s="2" t="s">
        <v>206</v>
      </c>
      <c r="T13" s="6">
        <v>60</v>
      </c>
      <c r="U13" s="2">
        <f t="shared" si="4"/>
        <v>600</v>
      </c>
    </row>
    <row r="14" s="1" customFormat="1" spans="2:21">
      <c r="B14" s="1">
        <v>10</v>
      </c>
      <c r="C14" s="1">
        <v>10</v>
      </c>
      <c r="D14" s="1">
        <f t="shared" si="3"/>
        <v>170</v>
      </c>
      <c r="E14" s="1">
        <v>5</v>
      </c>
      <c r="F14" s="1">
        <f>SUM($D$5:D14)</f>
        <v>1250</v>
      </c>
      <c r="G14" s="1">
        <f>SUM($D$5:D14)-10*SUM($E$5:E14)</f>
        <v>800</v>
      </c>
      <c r="H14" s="1">
        <f t="array" ref="H14">INDEX($N$5:$N$18,MATCH(MIN(IF($P$5:$P$18&gt;B14,$P$5:$P$18)),$P$5:$P$18,0))</f>
        <v>1</v>
      </c>
      <c r="I14" s="1">
        <f t="shared" si="0"/>
        <v>1.25</v>
      </c>
      <c r="J14" s="1">
        <f t="shared" si="1"/>
        <v>6.25</v>
      </c>
      <c r="K14" s="1">
        <f t="shared" si="2"/>
        <v>6</v>
      </c>
      <c r="L14" s="2"/>
      <c r="M14" s="2"/>
      <c r="N14" s="2"/>
      <c r="O14" s="2"/>
      <c r="P14" s="2"/>
      <c r="Q14" s="1"/>
      <c r="S14" s="2" t="s">
        <v>207</v>
      </c>
      <c r="T14" s="6">
        <v>60</v>
      </c>
      <c r="U14" s="2">
        <f t="shared" si="4"/>
        <v>600</v>
      </c>
    </row>
    <row r="15" s="1" customFormat="1" spans="2:21">
      <c r="B15" s="1">
        <v>11</v>
      </c>
      <c r="C15" s="1">
        <v>30</v>
      </c>
      <c r="D15" s="1">
        <f t="shared" si="3"/>
        <v>200</v>
      </c>
      <c r="E15" s="1">
        <v>10</v>
      </c>
      <c r="F15" s="1">
        <f>SUM($D$5:D15)</f>
        <v>1450</v>
      </c>
      <c r="G15" s="1">
        <f>SUM($D$5:D15)-10*SUM($E$5:E15)</f>
        <v>900</v>
      </c>
      <c r="H15" s="1">
        <f t="array" ref="H15">INDEX($N$5:$N$18,MATCH(MIN(IF($P$5:$P$18&gt;B15,$P$5:$P$18)),$P$5:$P$18,0))</f>
        <v>1</v>
      </c>
      <c r="I15" s="1">
        <f t="shared" si="0"/>
        <v>1.25</v>
      </c>
      <c r="J15" s="1">
        <f t="shared" si="1"/>
        <v>7.5</v>
      </c>
      <c r="K15" s="1">
        <f t="shared" si="2"/>
        <v>8</v>
      </c>
      <c r="L15" s="2"/>
      <c r="M15" s="2"/>
      <c r="N15" s="2"/>
      <c r="O15" s="2"/>
      <c r="P15" s="2"/>
      <c r="Q15" s="1"/>
      <c r="S15" s="2"/>
      <c r="T15" s="2"/>
      <c r="U15" s="2"/>
    </row>
    <row r="16" s="1" customFormat="1" spans="2:21">
      <c r="B16" s="1">
        <v>12</v>
      </c>
      <c r="C16" s="1">
        <v>30</v>
      </c>
      <c r="D16" s="1">
        <f t="shared" si="3"/>
        <v>230</v>
      </c>
      <c r="E16" s="1">
        <v>10</v>
      </c>
      <c r="F16" s="1">
        <f>SUM($D$5:D16)</f>
        <v>1680</v>
      </c>
      <c r="G16" s="1">
        <f>SUM($D$5:D16)-10*SUM($E$5:E16)</f>
        <v>1030</v>
      </c>
      <c r="H16" s="1">
        <f t="array" ref="H16">INDEX($N$5:$N$18,MATCH(MIN(IF($P$5:$P$18&gt;B16,$P$5:$P$18)),$P$5:$P$18,0))</f>
        <v>1</v>
      </c>
      <c r="I16" s="1">
        <f t="shared" si="0"/>
        <v>1.25</v>
      </c>
      <c r="J16" s="1">
        <f t="shared" si="1"/>
        <v>8.75</v>
      </c>
      <c r="K16" s="1">
        <f t="shared" si="2"/>
        <v>9</v>
      </c>
      <c r="L16" s="2"/>
      <c r="M16" s="2"/>
      <c r="N16" s="2"/>
      <c r="O16" s="2"/>
      <c r="P16" s="2"/>
      <c r="Q16" s="1"/>
      <c r="S16" s="2"/>
      <c r="T16" s="2" t="s">
        <v>208</v>
      </c>
      <c r="U16" s="2">
        <f>SUM(U5:U7)+3000</f>
        <v>7500</v>
      </c>
    </row>
    <row r="17" s="1" customFormat="1" spans="2:21">
      <c r="B17" s="1">
        <v>13</v>
      </c>
      <c r="C17" s="1">
        <v>30</v>
      </c>
      <c r="D17" s="1">
        <f t="shared" si="3"/>
        <v>260</v>
      </c>
      <c r="E17" s="1">
        <v>10</v>
      </c>
      <c r="F17" s="1">
        <f>SUM($D$5:D17)</f>
        <v>1940</v>
      </c>
      <c r="G17" s="1">
        <f>SUM($D$5:D17)-10*SUM($E$5:E17)</f>
        <v>1190</v>
      </c>
      <c r="H17" s="1">
        <f t="array" ref="H17">INDEX($N$5:$N$18,MATCH(MIN(IF($P$5:$P$18&gt;B17,$P$5:$P$18)),$P$5:$P$18,0))</f>
        <v>1</v>
      </c>
      <c r="I17" s="1">
        <f t="shared" si="0"/>
        <v>1.25</v>
      </c>
      <c r="J17" s="1">
        <f t="shared" si="1"/>
        <v>10</v>
      </c>
      <c r="K17" s="1">
        <f t="shared" si="2"/>
        <v>10</v>
      </c>
      <c r="L17" s="2"/>
      <c r="M17" s="2"/>
      <c r="N17" s="2"/>
      <c r="O17" s="2"/>
      <c r="P17" s="2"/>
      <c r="Q17" s="1"/>
      <c r="S17" s="2"/>
      <c r="T17" s="2" t="s">
        <v>209</v>
      </c>
      <c r="U17" s="2">
        <f>SUM(U5:U9)</f>
        <v>5700</v>
      </c>
    </row>
    <row r="18" s="1" customFormat="1" spans="2:21">
      <c r="B18" s="1">
        <v>14</v>
      </c>
      <c r="C18" s="1">
        <v>30</v>
      </c>
      <c r="D18" s="1">
        <f t="shared" si="3"/>
        <v>290</v>
      </c>
      <c r="E18" s="1">
        <v>10</v>
      </c>
      <c r="F18" s="1">
        <f>SUM($D$5:D18)</f>
        <v>2230</v>
      </c>
      <c r="G18" s="1">
        <f>SUM($D$5:D18)-10*SUM($E$5:E18)</f>
        <v>1380</v>
      </c>
      <c r="H18" s="1">
        <f t="array" ref="H18">INDEX($N$5:$N$18,MATCH(MIN(IF($P$5:$P$18&gt;B18,$P$5:$P$18)),$P$5:$P$18,0))</f>
        <v>2</v>
      </c>
      <c r="I18" s="1">
        <f t="shared" si="0"/>
        <v>2.5</v>
      </c>
      <c r="J18" s="1">
        <f t="shared" si="1"/>
        <v>2.5</v>
      </c>
      <c r="K18" s="1">
        <f t="shared" si="2"/>
        <v>3</v>
      </c>
      <c r="L18" s="2"/>
      <c r="M18" s="2"/>
      <c r="N18" s="2"/>
      <c r="O18" s="2"/>
      <c r="P18" s="2"/>
      <c r="Q18" s="1"/>
      <c r="S18" s="2"/>
      <c r="T18" s="2" t="s">
        <v>210</v>
      </c>
      <c r="U18" s="2">
        <f>SUM(U5:U14)</f>
        <v>8700</v>
      </c>
    </row>
    <row r="19" s="1" customFormat="1" spans="2:21">
      <c r="B19" s="1">
        <v>15</v>
      </c>
      <c r="C19" s="1">
        <v>30</v>
      </c>
      <c r="D19" s="1">
        <f t="shared" si="3"/>
        <v>320</v>
      </c>
      <c r="E19" s="1">
        <v>10</v>
      </c>
      <c r="F19" s="1">
        <f>SUM($D$5:D19)</f>
        <v>2550</v>
      </c>
      <c r="G19" s="1">
        <f>SUM($D$5:D19)-10*SUM($E$5:E19)</f>
        <v>1600</v>
      </c>
      <c r="H19" s="1">
        <f t="array" ref="H19">INDEX($N$5:$N$18,MATCH(MIN(IF($P$5:$P$18&gt;B19,$P$5:$P$18)),$P$5:$P$18,0))</f>
        <v>2</v>
      </c>
      <c r="I19" s="1">
        <f t="shared" si="0"/>
        <v>2.5</v>
      </c>
      <c r="J19" s="1">
        <f t="shared" si="1"/>
        <v>5</v>
      </c>
      <c r="K19" s="1">
        <f t="shared" si="2"/>
        <v>5</v>
      </c>
      <c r="L19" s="2"/>
      <c r="M19" s="2"/>
      <c r="N19" s="2"/>
      <c r="O19" s="2"/>
      <c r="S19" s="2"/>
      <c r="T19" s="2"/>
      <c r="U19" s="2"/>
    </row>
    <row r="20" s="1" customFormat="1" spans="2:21">
      <c r="B20" s="1">
        <v>16</v>
      </c>
      <c r="C20" s="1">
        <v>50</v>
      </c>
      <c r="D20" s="1">
        <f t="shared" si="3"/>
        <v>370</v>
      </c>
      <c r="E20" s="1">
        <v>10</v>
      </c>
      <c r="F20" s="1">
        <f>SUM($D$5:D20)</f>
        <v>2920</v>
      </c>
      <c r="G20" s="1">
        <f>SUM($D$5:D20)-10*SUM($E$5:E20)</f>
        <v>1870</v>
      </c>
      <c r="H20" s="1">
        <f t="array" ref="H20">INDEX($N$5:$N$18,MATCH(MIN(IF($P$5:$P$18&gt;B20,$P$5:$P$18)),$P$5:$P$18,0))</f>
        <v>2</v>
      </c>
      <c r="I20" s="1">
        <f t="shared" si="0"/>
        <v>2.5</v>
      </c>
      <c r="J20" s="1">
        <f t="shared" si="1"/>
        <v>7.5</v>
      </c>
      <c r="K20" s="1">
        <f t="shared" si="2"/>
        <v>8</v>
      </c>
      <c r="L20" s="2"/>
      <c r="M20" s="2"/>
      <c r="N20" s="5" t="s">
        <v>133</v>
      </c>
      <c r="O20" s="5" t="s">
        <v>184</v>
      </c>
      <c r="P20" s="5" t="s">
        <v>211</v>
      </c>
      <c r="Q20" s="5" t="s">
        <v>212</v>
      </c>
      <c r="S20" s="2"/>
      <c r="T20" s="2"/>
      <c r="U20" s="2"/>
    </row>
    <row r="21" s="1" customFormat="1" spans="2:21">
      <c r="B21" s="1">
        <v>17</v>
      </c>
      <c r="C21" s="1">
        <v>50</v>
      </c>
      <c r="D21" s="1">
        <f t="shared" si="3"/>
        <v>420</v>
      </c>
      <c r="E21" s="1">
        <v>10</v>
      </c>
      <c r="F21" s="1">
        <f>SUM($D$5:D21)</f>
        <v>3340</v>
      </c>
      <c r="G21" s="1">
        <f>SUM($D$5:D21)-10*SUM($E$5:E21)</f>
        <v>2190</v>
      </c>
      <c r="H21" s="1">
        <f t="array" ref="H21">INDEX($N$5:$N$18,MATCH(MIN(IF($P$5:$P$18&gt;B21,$P$5:$P$18)),$P$5:$P$18,0))</f>
        <v>2</v>
      </c>
      <c r="I21" s="1">
        <f t="shared" si="0"/>
        <v>2.5</v>
      </c>
      <c r="J21" s="1">
        <f t="shared" si="1"/>
        <v>10</v>
      </c>
      <c r="K21" s="1">
        <f t="shared" si="2"/>
        <v>10</v>
      </c>
      <c r="L21" s="2"/>
      <c r="M21" s="2"/>
      <c r="N21" s="7">
        <v>1</v>
      </c>
      <c r="O21" s="7">
        <v>25</v>
      </c>
      <c r="P21" s="8">
        <f t="shared" ref="P21:P39" si="5">VLOOKUP(O21-1,$B:$G,6,0)</f>
        <v>6130</v>
      </c>
      <c r="Q21" s="8">
        <f>P21</f>
        <v>6130</v>
      </c>
      <c r="R21" s="8"/>
      <c r="S21" s="7">
        <f>AVERAGE($Q$21:Q21)</f>
        <v>6130</v>
      </c>
      <c r="T21" s="2"/>
      <c r="U21" s="2"/>
    </row>
    <row r="22" s="1" customFormat="1" spans="2:21">
      <c r="B22" s="1">
        <v>18</v>
      </c>
      <c r="C22" s="1">
        <v>50</v>
      </c>
      <c r="D22" s="1">
        <f t="shared" si="3"/>
        <v>470</v>
      </c>
      <c r="E22" s="1">
        <v>10</v>
      </c>
      <c r="F22" s="1">
        <f>SUM($D$5:D22)</f>
        <v>3810</v>
      </c>
      <c r="G22" s="1">
        <f>SUM($D$5:D22)-10*SUM($E$5:E22)</f>
        <v>2560</v>
      </c>
      <c r="H22" s="1">
        <f t="array" ref="H22">INDEX($N$5:$N$18,MATCH(MIN(IF($P$5:$P$18&gt;B22,$P$5:$P$18)),$P$5:$P$18,0))</f>
        <v>2</v>
      </c>
      <c r="I22" s="1">
        <f t="shared" si="0"/>
        <v>2.5</v>
      </c>
      <c r="J22" s="1">
        <f t="shared" si="1"/>
        <v>12.5</v>
      </c>
      <c r="K22" s="1">
        <f t="shared" si="2"/>
        <v>13</v>
      </c>
      <c r="L22" s="2"/>
      <c r="M22" s="2"/>
      <c r="N22" s="7">
        <v>2</v>
      </c>
      <c r="O22" s="7">
        <v>31</v>
      </c>
      <c r="P22" s="8">
        <f t="shared" si="5"/>
        <v>13150</v>
      </c>
      <c r="Q22" s="8">
        <f t="shared" ref="Q22:Q39" si="6">P22-P21</f>
        <v>7020</v>
      </c>
      <c r="R22" s="8"/>
      <c r="S22" s="7">
        <f>AVERAGE($Q$21:Q22)</f>
        <v>6575</v>
      </c>
      <c r="T22" s="2"/>
      <c r="U22" s="2"/>
    </row>
    <row r="23" s="1" customFormat="1" spans="2:21">
      <c r="B23" s="1">
        <v>19</v>
      </c>
      <c r="C23" s="1">
        <v>50</v>
      </c>
      <c r="D23" s="1">
        <f t="shared" si="3"/>
        <v>520</v>
      </c>
      <c r="E23" s="1">
        <v>10</v>
      </c>
      <c r="F23" s="1">
        <f>SUM($D$5:D23)</f>
        <v>4330</v>
      </c>
      <c r="G23" s="1">
        <f>SUM($D$5:D23)-10*SUM($E$5:E23)</f>
        <v>2980</v>
      </c>
      <c r="H23" s="1">
        <f t="array" ref="H23">INDEX($N$5:$N$18,MATCH(MIN(IF($P$5:$P$18&gt;B23,$P$5:$P$18)),$P$5:$P$18,0))</f>
        <v>2</v>
      </c>
      <c r="I23" s="1">
        <f t="shared" si="0"/>
        <v>2.5</v>
      </c>
      <c r="J23" s="1">
        <f t="shared" si="1"/>
        <v>15</v>
      </c>
      <c r="K23" s="1">
        <f t="shared" si="2"/>
        <v>15</v>
      </c>
      <c r="L23" s="2"/>
      <c r="M23" s="2"/>
      <c r="N23" s="7">
        <v>3</v>
      </c>
      <c r="O23" s="7">
        <v>34</v>
      </c>
      <c r="P23" s="8">
        <f t="shared" si="5"/>
        <v>18460</v>
      </c>
      <c r="Q23" s="8">
        <f t="shared" si="6"/>
        <v>5310</v>
      </c>
      <c r="R23" s="8"/>
      <c r="S23" s="7">
        <f>AVERAGE($Q$21:Q23)</f>
        <v>6153.33333333333</v>
      </c>
      <c r="T23" s="2"/>
      <c r="U23" s="2"/>
    </row>
    <row r="24" s="1" customFormat="1" spans="2:21">
      <c r="B24" s="1">
        <v>20</v>
      </c>
      <c r="C24" s="1">
        <v>50</v>
      </c>
      <c r="D24" s="1">
        <f t="shared" si="3"/>
        <v>570</v>
      </c>
      <c r="E24" s="1">
        <v>10</v>
      </c>
      <c r="F24" s="1">
        <f>SUM($D$5:D24)</f>
        <v>4900</v>
      </c>
      <c r="G24" s="1">
        <f>SUM($D$5:D24)-10*SUM($E$5:E24)</f>
        <v>3450</v>
      </c>
      <c r="H24" s="1">
        <f t="array" ref="H24">INDEX($N$5:$N$18,MATCH(MIN(IF($P$5:$P$18&gt;B24,$P$5:$P$18)),$P$5:$P$18,0))</f>
        <v>3</v>
      </c>
      <c r="I24" s="1">
        <f t="shared" si="0"/>
        <v>3</v>
      </c>
      <c r="J24" s="1">
        <f t="shared" si="1"/>
        <v>3</v>
      </c>
      <c r="K24" s="1">
        <f t="shared" si="2"/>
        <v>3</v>
      </c>
      <c r="L24" s="2"/>
      <c r="M24" s="2"/>
      <c r="N24" s="7">
        <v>4</v>
      </c>
      <c r="O24" s="7">
        <v>36</v>
      </c>
      <c r="P24" s="8">
        <f t="shared" si="5"/>
        <v>23000</v>
      </c>
      <c r="Q24" s="8">
        <f t="shared" si="6"/>
        <v>4540</v>
      </c>
      <c r="R24" s="8"/>
      <c r="S24" s="7">
        <f>AVERAGE($Q$21:Q24)</f>
        <v>5750</v>
      </c>
      <c r="T24" s="2"/>
      <c r="U24" s="2"/>
    </row>
    <row r="25" s="1" customFormat="1" spans="2:21">
      <c r="B25" s="1">
        <v>21</v>
      </c>
      <c r="C25" s="1">
        <v>100</v>
      </c>
      <c r="D25" s="1">
        <f t="shared" si="3"/>
        <v>670</v>
      </c>
      <c r="E25" s="1">
        <v>15</v>
      </c>
      <c r="F25" s="1">
        <f>SUM($D$5:D25)</f>
        <v>5570</v>
      </c>
      <c r="G25" s="1">
        <f>SUM($D$5:D25)-10*SUM($E$5:E25)</f>
        <v>3970</v>
      </c>
      <c r="H25" s="1">
        <f t="array" ref="H25">INDEX($N$5:$N$18,MATCH(MIN(IF($P$5:$P$18&gt;B25,$P$5:$P$18)),$P$5:$P$18,0))</f>
        <v>3</v>
      </c>
      <c r="I25" s="1">
        <f t="shared" si="0"/>
        <v>3</v>
      </c>
      <c r="J25" s="1">
        <f t="shared" si="1"/>
        <v>6</v>
      </c>
      <c r="K25" s="1">
        <f t="shared" si="2"/>
        <v>6</v>
      </c>
      <c r="L25" s="2"/>
      <c r="M25" s="2"/>
      <c r="N25" s="7">
        <v>5</v>
      </c>
      <c r="O25" s="7">
        <v>38</v>
      </c>
      <c r="P25" s="8">
        <f t="shared" si="5"/>
        <v>28640</v>
      </c>
      <c r="Q25" s="8">
        <f t="shared" si="6"/>
        <v>5640</v>
      </c>
      <c r="R25" s="8"/>
      <c r="S25" s="7">
        <f>AVERAGE($Q$21:Q25)</f>
        <v>5728</v>
      </c>
      <c r="T25" s="2"/>
      <c r="U25" s="2"/>
    </row>
    <row r="26" s="1" customFormat="1" spans="2:21">
      <c r="B26" s="1">
        <v>22</v>
      </c>
      <c r="C26" s="1">
        <v>100</v>
      </c>
      <c r="D26" s="1">
        <f t="shared" si="3"/>
        <v>770</v>
      </c>
      <c r="E26" s="1">
        <v>15</v>
      </c>
      <c r="F26" s="1">
        <f>SUM($D$5:D26)</f>
        <v>6340</v>
      </c>
      <c r="G26" s="1">
        <f>SUM($D$5:D26)-10*SUM($E$5:E26)</f>
        <v>4590</v>
      </c>
      <c r="H26" s="1">
        <f t="array" ref="H26">INDEX($N$5:$N$18,MATCH(MIN(IF($P$5:$P$18&gt;B26,$P$5:$P$18)),$P$5:$P$18,0))</f>
        <v>3</v>
      </c>
      <c r="I26" s="1">
        <f t="shared" si="0"/>
        <v>3</v>
      </c>
      <c r="J26" s="1">
        <f t="shared" si="1"/>
        <v>9</v>
      </c>
      <c r="K26" s="1">
        <f t="shared" si="2"/>
        <v>9</v>
      </c>
      <c r="L26" s="2"/>
      <c r="M26" s="2"/>
      <c r="N26" s="7">
        <v>6</v>
      </c>
      <c r="O26" s="7">
        <v>38</v>
      </c>
      <c r="P26" s="8">
        <f t="shared" si="5"/>
        <v>28640</v>
      </c>
      <c r="Q26" s="8">
        <f t="shared" si="6"/>
        <v>0</v>
      </c>
      <c r="R26" s="8"/>
      <c r="S26" s="7">
        <f>AVERAGE($Q$21:Q26)</f>
        <v>4773.33333333333</v>
      </c>
      <c r="T26" s="2"/>
      <c r="U26" s="2"/>
    </row>
    <row r="27" s="1" customFormat="1" spans="2:21">
      <c r="B27" s="1">
        <v>23</v>
      </c>
      <c r="C27" s="1">
        <v>100</v>
      </c>
      <c r="D27" s="1">
        <f t="shared" si="3"/>
        <v>870</v>
      </c>
      <c r="E27" s="1">
        <v>15</v>
      </c>
      <c r="F27" s="1">
        <f>SUM($D$5:D27)</f>
        <v>7210</v>
      </c>
      <c r="G27" s="1">
        <f>SUM($D$5:D27)-10*SUM($E$5:E27)</f>
        <v>5310</v>
      </c>
      <c r="H27" s="1">
        <f t="array" ref="H27">INDEX($N$5:$N$18,MATCH(MIN(IF($P$5:$P$18&gt;B27,$P$5:$P$18)),$P$5:$P$18,0))</f>
        <v>3</v>
      </c>
      <c r="I27" s="1">
        <f t="shared" si="0"/>
        <v>3</v>
      </c>
      <c r="J27" s="1">
        <f t="shared" si="1"/>
        <v>12</v>
      </c>
      <c r="K27" s="1">
        <f t="shared" si="2"/>
        <v>12</v>
      </c>
      <c r="L27" s="2"/>
      <c r="M27" s="2"/>
      <c r="N27" s="7">
        <v>7</v>
      </c>
      <c r="O27" s="7">
        <v>40</v>
      </c>
      <c r="P27" s="8">
        <f t="shared" si="5"/>
        <v>35480</v>
      </c>
      <c r="Q27" s="8">
        <f t="shared" si="6"/>
        <v>6840</v>
      </c>
      <c r="R27" s="8"/>
      <c r="S27" s="7">
        <f>AVERAGE($Q$21:Q27)</f>
        <v>5068.57142857143</v>
      </c>
      <c r="T27" s="2"/>
      <c r="U27" s="2"/>
    </row>
    <row r="28" s="1" customFormat="1" spans="2:21">
      <c r="B28" s="1">
        <v>24</v>
      </c>
      <c r="C28" s="1">
        <v>100</v>
      </c>
      <c r="D28" s="1">
        <f t="shared" si="3"/>
        <v>970</v>
      </c>
      <c r="E28" s="1">
        <v>15</v>
      </c>
      <c r="F28" s="1">
        <f>SUM($D$5:D28)</f>
        <v>8180</v>
      </c>
      <c r="G28" s="1">
        <f>SUM($D$5:D28)-10*SUM($E$5:E28)</f>
        <v>6130</v>
      </c>
      <c r="H28" s="1">
        <f t="array" ref="H28">INDEX($N$5:$N$18,MATCH(MIN(IF($P$5:$P$18&gt;B28,$P$5:$P$18)),$P$5:$P$18,0))</f>
        <v>3</v>
      </c>
      <c r="I28" s="1">
        <f t="shared" si="0"/>
        <v>3</v>
      </c>
      <c r="J28" s="1">
        <f t="shared" si="1"/>
        <v>15</v>
      </c>
      <c r="K28" s="1">
        <f t="shared" si="2"/>
        <v>15</v>
      </c>
      <c r="L28" s="2"/>
      <c r="M28" s="2"/>
      <c r="N28" s="7">
        <v>8</v>
      </c>
      <c r="O28" s="7">
        <v>41</v>
      </c>
      <c r="P28" s="8">
        <f t="shared" si="5"/>
        <v>39350</v>
      </c>
      <c r="Q28" s="8">
        <f t="shared" si="6"/>
        <v>3870</v>
      </c>
      <c r="R28" s="8"/>
      <c r="S28" s="7">
        <f>AVERAGE($Q$21:Q28)</f>
        <v>4918.75</v>
      </c>
      <c r="T28" s="2"/>
      <c r="U28" s="2"/>
    </row>
    <row r="29" s="1" customFormat="1" spans="2:21">
      <c r="B29" s="1">
        <v>25</v>
      </c>
      <c r="C29" s="1">
        <v>100</v>
      </c>
      <c r="D29" s="1">
        <f t="shared" si="3"/>
        <v>1070</v>
      </c>
      <c r="E29" s="1">
        <v>15</v>
      </c>
      <c r="F29" s="1">
        <f>SUM($D$5:D29)</f>
        <v>9250</v>
      </c>
      <c r="G29" s="1">
        <f>SUM($D$5:D29)-10*SUM($E$5:E29)</f>
        <v>7050</v>
      </c>
      <c r="H29" s="1">
        <f t="array" ref="H29">INDEX($N$5:$N$18,MATCH(MIN(IF($P$5:$P$18&gt;B29,$P$5:$P$18)),$P$5:$P$18,0))</f>
        <v>4</v>
      </c>
      <c r="I29" s="1">
        <f t="shared" si="0"/>
        <v>3</v>
      </c>
      <c r="J29" s="1">
        <f t="shared" si="1"/>
        <v>3</v>
      </c>
      <c r="K29" s="1">
        <f t="shared" si="2"/>
        <v>3</v>
      </c>
      <c r="L29" s="2"/>
      <c r="M29" s="2"/>
      <c r="N29" s="7">
        <v>9</v>
      </c>
      <c r="O29" s="7">
        <v>42</v>
      </c>
      <c r="P29" s="8">
        <f t="shared" si="5"/>
        <v>43520</v>
      </c>
      <c r="Q29" s="8">
        <f t="shared" si="6"/>
        <v>4170</v>
      </c>
      <c r="R29" s="8"/>
      <c r="S29" s="7">
        <f>AVERAGE($Q$21:Q29)</f>
        <v>4835.55555555556</v>
      </c>
      <c r="T29" s="2"/>
      <c r="U29" s="2"/>
    </row>
    <row r="30" s="1" customFormat="1" spans="2:21">
      <c r="B30" s="1">
        <v>26</v>
      </c>
      <c r="C30" s="1">
        <v>100</v>
      </c>
      <c r="D30" s="1">
        <f t="shared" si="3"/>
        <v>1170</v>
      </c>
      <c r="E30" s="1">
        <v>15</v>
      </c>
      <c r="F30" s="1">
        <f>SUM($D$5:D30)</f>
        <v>10420</v>
      </c>
      <c r="G30" s="1">
        <f>SUM($D$5:D30)-10*SUM($E$5:E30)</f>
        <v>8070</v>
      </c>
      <c r="H30" s="1">
        <f t="array" ref="H30">INDEX($N$5:$N$18,MATCH(MIN(IF($P$5:$P$18&gt;B30,$P$5:$P$18)),$P$5:$P$18,0))</f>
        <v>4</v>
      </c>
      <c r="I30" s="1">
        <f t="shared" si="0"/>
        <v>3</v>
      </c>
      <c r="J30" s="1">
        <f t="shared" si="1"/>
        <v>6</v>
      </c>
      <c r="K30" s="1">
        <f t="shared" si="2"/>
        <v>6</v>
      </c>
      <c r="L30" s="2"/>
      <c r="M30" s="2"/>
      <c r="N30" s="7">
        <v>10</v>
      </c>
      <c r="O30" s="7">
        <v>43</v>
      </c>
      <c r="P30" s="8">
        <f t="shared" si="5"/>
        <v>48140</v>
      </c>
      <c r="Q30" s="8">
        <f t="shared" si="6"/>
        <v>4620</v>
      </c>
      <c r="R30" s="8"/>
      <c r="S30" s="7">
        <f>AVERAGE($Q$21:Q30)</f>
        <v>4814</v>
      </c>
      <c r="T30" s="2"/>
      <c r="U30" s="2"/>
    </row>
    <row r="31" s="1" customFormat="1" spans="2:21">
      <c r="B31" s="1">
        <v>27</v>
      </c>
      <c r="C31" s="1">
        <v>100</v>
      </c>
      <c r="D31" s="1">
        <f t="shared" si="3"/>
        <v>1270</v>
      </c>
      <c r="E31" s="1">
        <v>15</v>
      </c>
      <c r="F31" s="1">
        <f>SUM($D$5:D31)</f>
        <v>11690</v>
      </c>
      <c r="G31" s="1">
        <f>SUM($D$5:D31)-10*SUM($E$5:E31)</f>
        <v>9190</v>
      </c>
      <c r="H31" s="1">
        <f t="array" ref="H31">INDEX($N$5:$N$18,MATCH(MIN(IF($P$5:$P$18&gt;B31,$P$5:$P$18)),$P$5:$P$18,0))</f>
        <v>4</v>
      </c>
      <c r="I31" s="1">
        <f t="shared" si="0"/>
        <v>3</v>
      </c>
      <c r="J31" s="1">
        <f t="shared" si="1"/>
        <v>9</v>
      </c>
      <c r="K31" s="1">
        <f t="shared" si="2"/>
        <v>9</v>
      </c>
      <c r="L31" s="2"/>
      <c r="M31" s="2"/>
      <c r="N31" s="7">
        <v>11</v>
      </c>
      <c r="O31" s="7">
        <v>44</v>
      </c>
      <c r="P31" s="8">
        <f t="shared" si="5"/>
        <v>53260</v>
      </c>
      <c r="Q31" s="8">
        <f t="shared" si="6"/>
        <v>5120</v>
      </c>
      <c r="R31" s="8"/>
      <c r="S31" s="7">
        <f>AVERAGE($Q$21:Q31)</f>
        <v>4841.81818181818</v>
      </c>
      <c r="T31" s="2"/>
      <c r="U31" s="2"/>
    </row>
    <row r="32" s="1" customFormat="1" spans="2:21">
      <c r="B32" s="1">
        <v>28</v>
      </c>
      <c r="C32" s="1">
        <v>100</v>
      </c>
      <c r="D32" s="1">
        <f t="shared" si="3"/>
        <v>1370</v>
      </c>
      <c r="E32" s="1">
        <v>15</v>
      </c>
      <c r="F32" s="1">
        <f>SUM($D$5:D32)</f>
        <v>13060</v>
      </c>
      <c r="G32" s="1">
        <f>SUM($D$5:D32)-10*SUM($E$5:E32)</f>
        <v>10410</v>
      </c>
      <c r="H32" s="1">
        <f t="array" ref="H32">INDEX($N$5:$N$18,MATCH(MIN(IF($P$5:$P$18&gt;B32,$P$5:$P$18)),$P$5:$P$18,0))</f>
        <v>4</v>
      </c>
      <c r="I32" s="1">
        <f t="shared" si="0"/>
        <v>3</v>
      </c>
      <c r="J32" s="1">
        <f t="shared" si="1"/>
        <v>12</v>
      </c>
      <c r="K32" s="1">
        <f t="shared" si="2"/>
        <v>12</v>
      </c>
      <c r="L32" s="2"/>
      <c r="M32" s="2"/>
      <c r="N32" s="7">
        <v>12</v>
      </c>
      <c r="O32" s="7">
        <v>45</v>
      </c>
      <c r="P32" s="8">
        <f t="shared" si="5"/>
        <v>58930</v>
      </c>
      <c r="Q32" s="8">
        <f t="shared" si="6"/>
        <v>5670</v>
      </c>
      <c r="R32" s="8"/>
      <c r="S32" s="7">
        <f>AVERAGE($Q$21:Q32)</f>
        <v>4910.83333333333</v>
      </c>
      <c r="T32" s="2"/>
      <c r="U32" s="2"/>
    </row>
    <row r="33" s="1" customFormat="1" spans="2:21">
      <c r="B33" s="1">
        <v>29</v>
      </c>
      <c r="C33" s="1">
        <v>100</v>
      </c>
      <c r="D33" s="1">
        <f t="shared" si="3"/>
        <v>1470</v>
      </c>
      <c r="E33" s="1">
        <v>15</v>
      </c>
      <c r="F33" s="1">
        <f>SUM($D$5:D33)</f>
        <v>14530</v>
      </c>
      <c r="G33" s="1">
        <f>SUM($D$5:D33)-10*SUM($E$5:E33)</f>
        <v>11730</v>
      </c>
      <c r="H33" s="1">
        <f t="array" ref="H33">INDEX($N$5:$N$18,MATCH(MIN(IF($P$5:$P$18&gt;B33,$P$5:$P$18)),$P$5:$P$18,0))</f>
        <v>4</v>
      </c>
      <c r="I33" s="1">
        <f t="shared" si="0"/>
        <v>3</v>
      </c>
      <c r="J33" s="1">
        <f t="shared" si="1"/>
        <v>15</v>
      </c>
      <c r="K33" s="1">
        <f t="shared" si="2"/>
        <v>15</v>
      </c>
      <c r="L33" s="2"/>
      <c r="M33" s="2"/>
      <c r="N33" s="7">
        <v>13</v>
      </c>
      <c r="O33" s="7">
        <v>45</v>
      </c>
      <c r="P33" s="8">
        <f t="shared" si="5"/>
        <v>58930</v>
      </c>
      <c r="Q33" s="8">
        <f t="shared" si="6"/>
        <v>0</v>
      </c>
      <c r="R33" s="8"/>
      <c r="S33" s="7">
        <f>AVERAGE($Q$21:Q33)</f>
        <v>4533.07692307692</v>
      </c>
      <c r="T33" s="2"/>
      <c r="U33" s="2"/>
    </row>
    <row r="34" s="1" customFormat="1" spans="2:21">
      <c r="B34" s="1">
        <v>30</v>
      </c>
      <c r="C34" s="1">
        <v>100</v>
      </c>
      <c r="D34" s="1">
        <f t="shared" si="3"/>
        <v>1570</v>
      </c>
      <c r="E34" s="1">
        <v>15</v>
      </c>
      <c r="F34" s="1">
        <f>SUM($D$5:D34)</f>
        <v>16100</v>
      </c>
      <c r="G34" s="1">
        <f>SUM($D$5:D34)-10*SUM($E$5:E34)</f>
        <v>13150</v>
      </c>
      <c r="H34" s="1">
        <f t="array" ref="H34">INDEX($N$5:$N$18,MATCH(MIN(IF($P$5:$P$18&gt;B34,$P$5:$P$18)),$P$5:$P$18,0))</f>
        <v>5</v>
      </c>
      <c r="I34" s="1">
        <f t="shared" si="0"/>
        <v>3.75</v>
      </c>
      <c r="J34" s="1">
        <f t="shared" si="1"/>
        <v>3.75</v>
      </c>
      <c r="K34" s="1">
        <f t="shared" si="2"/>
        <v>4</v>
      </c>
      <c r="L34" s="2"/>
      <c r="M34" s="2"/>
      <c r="N34" s="7">
        <v>14</v>
      </c>
      <c r="O34" s="7">
        <v>46</v>
      </c>
      <c r="P34" s="8">
        <f t="shared" si="5"/>
        <v>65200</v>
      </c>
      <c r="Q34" s="8">
        <f t="shared" si="6"/>
        <v>6270</v>
      </c>
      <c r="R34" s="8"/>
      <c r="S34" s="7">
        <f>AVERAGE($Q$21:Q34)</f>
        <v>4657.14285714286</v>
      </c>
      <c r="T34" s="2"/>
      <c r="U34" s="2"/>
    </row>
    <row r="35" s="1" customFormat="1" spans="2:21">
      <c r="B35" s="1">
        <v>31</v>
      </c>
      <c r="C35" s="1">
        <v>200</v>
      </c>
      <c r="D35" s="1">
        <f t="shared" si="3"/>
        <v>1770</v>
      </c>
      <c r="E35" s="1">
        <v>20</v>
      </c>
      <c r="F35" s="1">
        <f>SUM($D$5:D35)</f>
        <v>17870</v>
      </c>
      <c r="G35" s="1">
        <f>SUM($D$5:D35)-10*SUM($E$5:E35)</f>
        <v>14720</v>
      </c>
      <c r="H35" s="1">
        <f t="array" ref="H35">INDEX($N$5:$N$18,MATCH(MIN(IF($P$5:$P$18&gt;B35,$P$5:$P$18)),$P$5:$P$18,0))</f>
        <v>5</v>
      </c>
      <c r="I35" s="1">
        <f t="shared" si="0"/>
        <v>3.75</v>
      </c>
      <c r="J35" s="1">
        <f t="shared" si="1"/>
        <v>7.5</v>
      </c>
      <c r="K35" s="1">
        <f t="shared" si="2"/>
        <v>8</v>
      </c>
      <c r="L35" s="2"/>
      <c r="M35" s="2"/>
      <c r="N35" s="7">
        <v>15</v>
      </c>
      <c r="O35" s="7">
        <v>46</v>
      </c>
      <c r="P35" s="8">
        <f t="shared" si="5"/>
        <v>65200</v>
      </c>
      <c r="Q35" s="8">
        <f t="shared" si="6"/>
        <v>0</v>
      </c>
      <c r="R35" s="8"/>
      <c r="S35" s="7">
        <f>AVERAGE($Q$21:Q35)</f>
        <v>4346.66666666667</v>
      </c>
      <c r="T35" s="2"/>
      <c r="U35" s="2"/>
    </row>
    <row r="36" s="1" customFormat="1" spans="2:21">
      <c r="B36" s="1">
        <v>32</v>
      </c>
      <c r="C36" s="1">
        <v>200</v>
      </c>
      <c r="D36" s="1">
        <f t="shared" si="3"/>
        <v>1970</v>
      </c>
      <c r="E36" s="1">
        <v>20</v>
      </c>
      <c r="F36" s="1">
        <f>SUM($D$5:D36)</f>
        <v>19840</v>
      </c>
      <c r="G36" s="1">
        <f>SUM($D$5:D36)-10*SUM($E$5:E36)</f>
        <v>16490</v>
      </c>
      <c r="H36" s="1">
        <f t="array" ref="H36">INDEX($N$5:$N$18,MATCH(MIN(IF($P$5:$P$18&gt;B36,$P$5:$P$18)),$P$5:$P$18,0))</f>
        <v>5</v>
      </c>
      <c r="I36" s="1">
        <f t="shared" si="0"/>
        <v>3.75</v>
      </c>
      <c r="J36" s="1">
        <f t="shared" si="1"/>
        <v>11.25</v>
      </c>
      <c r="K36" s="1">
        <f t="shared" si="2"/>
        <v>11</v>
      </c>
      <c r="L36" s="2"/>
      <c r="M36" s="2"/>
      <c r="N36" s="7">
        <v>16</v>
      </c>
      <c r="O36" s="7">
        <v>48</v>
      </c>
      <c r="P36" s="8">
        <f t="shared" si="5"/>
        <v>79740</v>
      </c>
      <c r="Q36" s="8">
        <f t="shared" si="6"/>
        <v>14540</v>
      </c>
      <c r="R36" s="8"/>
      <c r="S36" s="7">
        <f>AVERAGE($Q$21:Q36)</f>
        <v>4983.75</v>
      </c>
      <c r="T36" s="2"/>
      <c r="U36" s="2"/>
    </row>
    <row r="37" s="1" customFormat="1" spans="2:21">
      <c r="B37" s="1">
        <v>33</v>
      </c>
      <c r="C37" s="1">
        <v>200</v>
      </c>
      <c r="D37" s="1">
        <f t="shared" si="3"/>
        <v>2170</v>
      </c>
      <c r="E37" s="1">
        <v>20</v>
      </c>
      <c r="F37" s="1">
        <f>SUM($D$5:D37)</f>
        <v>22010</v>
      </c>
      <c r="G37" s="1">
        <f>SUM($D$5:D37)-10*SUM($E$5:E37)</f>
        <v>18460</v>
      </c>
      <c r="H37" s="1">
        <f t="array" ref="H37">INDEX($N$5:$N$18,MATCH(MIN(IF($P$5:$P$18&gt;B37,$P$5:$P$18)),$P$5:$P$18,0))</f>
        <v>5</v>
      </c>
      <c r="I37" s="1">
        <f t="shared" si="0"/>
        <v>3.75</v>
      </c>
      <c r="J37" s="1">
        <f t="shared" si="1"/>
        <v>15</v>
      </c>
      <c r="K37" s="1">
        <f t="shared" si="2"/>
        <v>15</v>
      </c>
      <c r="L37" s="2"/>
      <c r="M37" s="2"/>
      <c r="N37" s="7">
        <v>17</v>
      </c>
      <c r="O37" s="7">
        <v>49</v>
      </c>
      <c r="P37" s="8">
        <f t="shared" si="5"/>
        <v>88110</v>
      </c>
      <c r="Q37" s="8">
        <f t="shared" si="6"/>
        <v>8370</v>
      </c>
      <c r="R37" s="8"/>
      <c r="S37" s="7">
        <f>AVERAGE($Q$21:Q37)</f>
        <v>5182.94117647059</v>
      </c>
      <c r="T37" s="2"/>
      <c r="U37" s="2"/>
    </row>
    <row r="38" s="1" customFormat="1" spans="2:21">
      <c r="B38" s="1">
        <v>34</v>
      </c>
      <c r="C38" s="1">
        <v>200</v>
      </c>
      <c r="D38" s="1">
        <f t="shared" si="3"/>
        <v>2370</v>
      </c>
      <c r="E38" s="1">
        <v>20</v>
      </c>
      <c r="F38" s="1">
        <f>SUM($D$5:D38)</f>
        <v>24380</v>
      </c>
      <c r="G38" s="1">
        <f>SUM($D$5:D38)-10*SUM($E$5:E38)</f>
        <v>20630</v>
      </c>
      <c r="H38" s="1">
        <f t="array" ref="H38">INDEX($N$5:$N$18,MATCH(MIN(IF($P$5:$P$18&gt;B38,$P$5:$P$18)),$P$5:$P$18,0))</f>
        <v>6</v>
      </c>
      <c r="I38" s="1">
        <f t="shared" si="0"/>
        <v>5</v>
      </c>
      <c r="J38" s="1">
        <f t="shared" si="1"/>
        <v>5</v>
      </c>
      <c r="K38" s="1">
        <f t="shared" si="2"/>
        <v>5</v>
      </c>
      <c r="L38" s="2"/>
      <c r="M38" s="2"/>
      <c r="N38" s="7">
        <v>18</v>
      </c>
      <c r="O38" s="7">
        <v>49</v>
      </c>
      <c r="P38" s="8">
        <f t="shared" si="5"/>
        <v>88110</v>
      </c>
      <c r="Q38" s="8">
        <f t="shared" si="6"/>
        <v>0</v>
      </c>
      <c r="R38" s="8"/>
      <c r="S38" s="7">
        <f>AVERAGE($Q$21:Q38)</f>
        <v>4895</v>
      </c>
      <c r="T38" s="2"/>
      <c r="U38" s="2"/>
    </row>
    <row r="39" s="1" customFormat="1" spans="2:21">
      <c r="B39" s="1">
        <v>35</v>
      </c>
      <c r="C39" s="1">
        <v>200</v>
      </c>
      <c r="D39" s="1">
        <f t="shared" si="3"/>
        <v>2570</v>
      </c>
      <c r="E39" s="1">
        <v>20</v>
      </c>
      <c r="F39" s="1">
        <f>SUM($D$5:D39)</f>
        <v>26950</v>
      </c>
      <c r="G39" s="1">
        <f>SUM($D$5:D39)-10*SUM($E$5:E39)</f>
        <v>23000</v>
      </c>
      <c r="H39" s="1">
        <f t="array" ref="H39">INDEX($N$5:$N$18,MATCH(MIN(IF($P$5:$P$18&gt;B39,$P$5:$P$18)),$P$5:$P$18,0))</f>
        <v>6</v>
      </c>
      <c r="I39" s="1">
        <f t="shared" si="0"/>
        <v>5</v>
      </c>
      <c r="J39" s="1">
        <f t="shared" si="1"/>
        <v>10</v>
      </c>
      <c r="K39" s="1">
        <f t="shared" si="2"/>
        <v>10</v>
      </c>
      <c r="L39" s="2"/>
      <c r="M39" s="2"/>
      <c r="N39" s="7">
        <v>19</v>
      </c>
      <c r="O39" s="7">
        <v>50</v>
      </c>
      <c r="P39" s="8">
        <f t="shared" si="5"/>
        <v>97280</v>
      </c>
      <c r="Q39" s="8">
        <f t="shared" si="6"/>
        <v>9170</v>
      </c>
      <c r="R39" s="8"/>
      <c r="S39" s="7">
        <f>AVERAGE($Q$21:Q39)</f>
        <v>5120</v>
      </c>
      <c r="T39" s="2"/>
      <c r="U39" s="2"/>
    </row>
    <row r="40" s="1" customFormat="1" spans="2:21">
      <c r="B40" s="1">
        <v>36</v>
      </c>
      <c r="C40" s="1">
        <v>300</v>
      </c>
      <c r="D40" s="1">
        <f t="shared" si="3"/>
        <v>2870</v>
      </c>
      <c r="E40" s="1">
        <v>20</v>
      </c>
      <c r="F40" s="1">
        <f>SUM($D$5:D40)</f>
        <v>29820</v>
      </c>
      <c r="G40" s="1">
        <f>SUM($D$5:D40)-10*SUM($E$5:E40)</f>
        <v>25670</v>
      </c>
      <c r="H40" s="1">
        <f t="array" ref="H40">INDEX($N$5:$N$18,MATCH(MIN(IF($P$5:$P$18&gt;B40,$P$5:$P$18)),$P$5:$P$18,0))</f>
        <v>6</v>
      </c>
      <c r="I40" s="1">
        <f t="shared" si="0"/>
        <v>5</v>
      </c>
      <c r="J40" s="1">
        <f t="shared" si="1"/>
        <v>15</v>
      </c>
      <c r="K40" s="1">
        <f t="shared" si="2"/>
        <v>15</v>
      </c>
      <c r="L40" s="2"/>
      <c r="M40" s="2"/>
      <c r="N40" s="1"/>
      <c r="O40" s="1"/>
      <c r="P40" s="1"/>
      <c r="Q40" s="1"/>
      <c r="S40" s="2"/>
      <c r="T40" s="2"/>
      <c r="U40" s="2"/>
    </row>
    <row r="41" s="1" customFormat="1" spans="2:21">
      <c r="B41" s="1">
        <v>37</v>
      </c>
      <c r="C41" s="1">
        <v>300</v>
      </c>
      <c r="D41" s="1">
        <f t="shared" si="3"/>
        <v>3170</v>
      </c>
      <c r="E41" s="1">
        <v>20</v>
      </c>
      <c r="F41" s="1">
        <f>SUM($D$5:D41)</f>
        <v>32990</v>
      </c>
      <c r="G41" s="1">
        <f>SUM($D$5:D41)-10*SUM($E$5:E41)</f>
        <v>28640</v>
      </c>
      <c r="H41" s="1">
        <f t="array" ref="H41">INDEX($N$5:$N$18,MATCH(MIN(IF($P$5:$P$18&gt;B41,$P$5:$P$18)),$P$5:$P$18,0))</f>
        <v>7</v>
      </c>
      <c r="I41" s="1">
        <f t="shared" si="0"/>
        <v>5</v>
      </c>
      <c r="J41" s="1">
        <f t="shared" si="1"/>
        <v>5</v>
      </c>
      <c r="K41" s="1">
        <f t="shared" si="2"/>
        <v>5</v>
      </c>
      <c r="L41" s="2"/>
      <c r="M41" s="2"/>
      <c r="N41" s="2" t="s">
        <v>213</v>
      </c>
      <c r="O41" s="2"/>
      <c r="S41" s="2"/>
      <c r="T41" s="2"/>
      <c r="U41" s="2"/>
    </row>
    <row r="42" s="1" customFormat="1" spans="2:21">
      <c r="B42" s="1">
        <v>38</v>
      </c>
      <c r="C42" s="1">
        <v>300</v>
      </c>
      <c r="D42" s="1">
        <f t="shared" si="3"/>
        <v>3470</v>
      </c>
      <c r="E42" s="1">
        <v>20</v>
      </c>
      <c r="F42" s="1">
        <f>SUM($D$5:D42)</f>
        <v>36460</v>
      </c>
      <c r="G42" s="1">
        <f>SUM($D$5:D42)-10*SUM($E$5:E42)</f>
        <v>31910</v>
      </c>
      <c r="H42" s="1">
        <f t="array" ref="H42">INDEX($N$5:$N$18,MATCH(MIN(IF($P$5:$P$18&gt;B42,$P$5:$P$18)),$P$5:$P$18,0))</f>
        <v>7</v>
      </c>
      <c r="I42" s="1">
        <f t="shared" si="0"/>
        <v>5</v>
      </c>
      <c r="J42" s="1">
        <f t="shared" si="1"/>
        <v>10</v>
      </c>
      <c r="K42" s="1">
        <f t="shared" si="2"/>
        <v>10</v>
      </c>
      <c r="L42" s="2"/>
      <c r="M42" s="2"/>
      <c r="N42" s="5" t="s">
        <v>133</v>
      </c>
      <c r="O42" s="5" t="s">
        <v>214</v>
      </c>
      <c r="P42" s="5" t="s">
        <v>215</v>
      </c>
      <c r="S42" s="2"/>
      <c r="T42" s="2"/>
      <c r="U42" s="2"/>
    </row>
    <row r="43" s="1" customFormat="1" spans="2:21">
      <c r="B43" s="1">
        <v>39</v>
      </c>
      <c r="C43" s="1">
        <v>300</v>
      </c>
      <c r="D43" s="1">
        <f t="shared" si="3"/>
        <v>3770</v>
      </c>
      <c r="E43" s="1">
        <v>20</v>
      </c>
      <c r="F43" s="1">
        <f>SUM($D$5:D43)</f>
        <v>40230</v>
      </c>
      <c r="G43" s="1">
        <f>SUM($D$5:D43)-10*SUM($E$5:E43)</f>
        <v>35480</v>
      </c>
      <c r="H43" s="1">
        <f t="array" ref="H43">INDEX($N$5:$N$18,MATCH(MIN(IF($P$5:$P$18&gt;B43,$P$5:$P$18)),$P$5:$P$18,0))</f>
        <v>7</v>
      </c>
      <c r="I43" s="1">
        <f t="shared" si="0"/>
        <v>5</v>
      </c>
      <c r="J43" s="1">
        <f t="shared" si="1"/>
        <v>15</v>
      </c>
      <c r="K43" s="1">
        <f t="shared" si="2"/>
        <v>15</v>
      </c>
      <c r="L43" s="2"/>
      <c r="M43" s="2"/>
      <c r="N43" s="2">
        <f t="array" ref="N43:N78">_xlfn.SEQUENCE(F3,1,1,1)</f>
        <v>1</v>
      </c>
      <c r="O43" s="2">
        <f t="shared" ref="O43:O98" si="7">N43*$U$16</f>
        <v>7500</v>
      </c>
      <c r="P43" s="1">
        <f t="array" ref="P43">INDEX(_xlfn.ANCHORARRAY($B$5),MATCH(O43,$G$5:$G$64,1))+1</f>
        <v>26</v>
      </c>
      <c r="S43" s="2"/>
      <c r="T43" s="2"/>
      <c r="U43" s="2"/>
    </row>
    <row r="44" s="1" customFormat="1" spans="2:21">
      <c r="B44" s="1">
        <v>40</v>
      </c>
      <c r="C44" s="1">
        <v>300</v>
      </c>
      <c r="D44" s="1">
        <f t="shared" si="3"/>
        <v>4070</v>
      </c>
      <c r="E44" s="1">
        <v>20</v>
      </c>
      <c r="F44" s="1">
        <f>SUM($D$5:D44)</f>
        <v>44300</v>
      </c>
      <c r="G44" s="1">
        <f>SUM($D$5:D44)-10*SUM($E$5:E44)</f>
        <v>39350</v>
      </c>
      <c r="L44" s="2"/>
      <c r="M44" s="2"/>
      <c r="N44" s="2">
        <v>2</v>
      </c>
      <c r="O44" s="2">
        <f t="shared" si="7"/>
        <v>15000</v>
      </c>
      <c r="P44" s="1">
        <f t="array" ref="P44">INDEX(_xlfn.ANCHORARRAY($B$5),MATCH(O44,$G$5:$G$64,1))+1</f>
        <v>32</v>
      </c>
      <c r="S44" s="2"/>
      <c r="T44" s="2"/>
      <c r="U44" s="2"/>
    </row>
    <row r="45" s="1" customFormat="1" spans="2:21">
      <c r="B45" s="1">
        <v>41</v>
      </c>
      <c r="C45" s="1">
        <v>400</v>
      </c>
      <c r="D45" s="1">
        <f t="shared" si="3"/>
        <v>4470</v>
      </c>
      <c r="E45" s="1">
        <v>30</v>
      </c>
      <c r="F45" s="1">
        <f>SUM($D$5:D45)</f>
        <v>48770</v>
      </c>
      <c r="G45" s="1">
        <f>SUM($D$5:D45)-10*SUM($E$5:E45)</f>
        <v>43520</v>
      </c>
      <c r="L45" s="2"/>
      <c r="M45" s="2"/>
      <c r="N45" s="2">
        <v>3</v>
      </c>
      <c r="O45" s="2">
        <f t="shared" si="7"/>
        <v>22500</v>
      </c>
      <c r="P45" s="1">
        <f t="array" ref="P45">INDEX(_xlfn.ANCHORARRAY($B$5),MATCH(O45,$G$5:$G$64,1))+1</f>
        <v>35</v>
      </c>
      <c r="S45" s="2"/>
      <c r="T45" s="2"/>
      <c r="U45" s="2"/>
    </row>
    <row r="46" s="1" customFormat="1" spans="2:21">
      <c r="B46" s="1">
        <v>42</v>
      </c>
      <c r="C46" s="1">
        <v>450</v>
      </c>
      <c r="D46" s="1">
        <f t="shared" si="3"/>
        <v>4920</v>
      </c>
      <c r="E46" s="1">
        <v>30</v>
      </c>
      <c r="F46" s="1">
        <f>SUM($D$5:D46)</f>
        <v>53690</v>
      </c>
      <c r="G46" s="1">
        <f>SUM($D$5:D46)-10*SUM($E$5:E46)</f>
        <v>48140</v>
      </c>
      <c r="L46" s="2"/>
      <c r="M46" s="2"/>
      <c r="N46" s="2">
        <v>4</v>
      </c>
      <c r="O46" s="2">
        <f t="shared" si="7"/>
        <v>30000</v>
      </c>
      <c r="P46" s="1">
        <f t="array" ref="P46">INDEX(_xlfn.ANCHORARRAY($B$5),MATCH(O46,$G$5:$G$64,1))+1</f>
        <v>38</v>
      </c>
      <c r="S46" s="2"/>
      <c r="T46" s="2"/>
      <c r="U46" s="2"/>
    </row>
    <row r="47" s="1" customFormat="1" spans="2:21">
      <c r="B47" s="1">
        <v>43</v>
      </c>
      <c r="C47" s="1">
        <v>500</v>
      </c>
      <c r="D47" s="1">
        <f t="shared" si="3"/>
        <v>5420</v>
      </c>
      <c r="E47" s="1">
        <v>30</v>
      </c>
      <c r="F47" s="1">
        <f>SUM($D$5:D47)</f>
        <v>59110</v>
      </c>
      <c r="G47" s="1">
        <f>SUM($D$5:D47)-10*SUM($E$5:E47)</f>
        <v>53260</v>
      </c>
      <c r="L47" s="2"/>
      <c r="M47" s="2"/>
      <c r="N47" s="2">
        <v>5</v>
      </c>
      <c r="O47" s="2">
        <f t="shared" si="7"/>
        <v>37500</v>
      </c>
      <c r="P47" s="1">
        <f t="array" ref="P47">INDEX(_xlfn.ANCHORARRAY($B$5),MATCH(O47,$G$5:$G$64,1))+1</f>
        <v>40</v>
      </c>
      <c r="S47" s="2"/>
      <c r="T47" s="2"/>
      <c r="U47" s="2"/>
    </row>
    <row r="48" s="1" customFormat="1" spans="2:21">
      <c r="B48" s="1">
        <v>44</v>
      </c>
      <c r="C48" s="1">
        <v>550</v>
      </c>
      <c r="D48" s="1">
        <f t="shared" si="3"/>
        <v>5970</v>
      </c>
      <c r="E48" s="1">
        <v>30</v>
      </c>
      <c r="F48" s="1">
        <f>SUM($D$5:D48)</f>
        <v>65080</v>
      </c>
      <c r="G48" s="1">
        <f>SUM($D$5:D48)-10*SUM($E$5:E48)</f>
        <v>58930</v>
      </c>
      <c r="L48" s="2"/>
      <c r="M48" s="2"/>
      <c r="N48" s="2">
        <v>6</v>
      </c>
      <c r="O48" s="2">
        <f t="shared" si="7"/>
        <v>45000</v>
      </c>
      <c r="P48" s="1">
        <f t="array" ref="P48">INDEX(_xlfn.ANCHORARRAY($B$5),MATCH(O48,$G$5:$G$64,1))+1</f>
        <v>42</v>
      </c>
      <c r="S48" s="2"/>
      <c r="T48" s="2"/>
      <c r="U48" s="2"/>
    </row>
    <row r="49" s="1" customFormat="1" spans="2:21">
      <c r="B49" s="1">
        <v>45</v>
      </c>
      <c r="C49" s="1">
        <v>600</v>
      </c>
      <c r="D49" s="1">
        <f t="shared" si="3"/>
        <v>6570</v>
      </c>
      <c r="E49" s="1">
        <v>30</v>
      </c>
      <c r="F49" s="1">
        <f>SUM($D$5:D49)</f>
        <v>71650</v>
      </c>
      <c r="G49" s="1">
        <f>SUM($D$5:D49)-10*SUM($E$5:E49)</f>
        <v>65200</v>
      </c>
      <c r="L49" s="2"/>
      <c r="M49" s="2"/>
      <c r="N49" s="2">
        <v>7</v>
      </c>
      <c r="O49" s="2">
        <f t="shared" si="7"/>
        <v>52500</v>
      </c>
      <c r="P49" s="1">
        <f t="array" ref="P49">INDEX(_xlfn.ANCHORARRAY($B$5),MATCH(O49,$G$5:$G$64,1))+1</f>
        <v>43</v>
      </c>
      <c r="S49" s="2"/>
      <c r="T49" s="2"/>
      <c r="U49" s="2"/>
    </row>
    <row r="50" s="1" customFormat="1" spans="2:21">
      <c r="B50" s="1">
        <v>46</v>
      </c>
      <c r="C50" s="1">
        <v>650</v>
      </c>
      <c r="D50" s="1">
        <f t="shared" si="3"/>
        <v>7220</v>
      </c>
      <c r="E50" s="1">
        <v>30</v>
      </c>
      <c r="F50" s="1">
        <f>SUM($D$5:D50)</f>
        <v>78870</v>
      </c>
      <c r="G50" s="1">
        <f>SUM($D$5:D50)-10*SUM($E$5:E50)</f>
        <v>72120</v>
      </c>
      <c r="H50" s="2"/>
      <c r="I50" s="2"/>
      <c r="J50" s="2"/>
      <c r="K50" s="2"/>
      <c r="L50" s="2"/>
      <c r="M50" s="2"/>
      <c r="N50" s="2">
        <v>8</v>
      </c>
      <c r="O50" s="2">
        <f t="shared" si="7"/>
        <v>60000</v>
      </c>
      <c r="P50" s="1">
        <f t="array" ref="P50">INDEX(_xlfn.ANCHORARRAY($B$5),MATCH(O50,$G$5:$G$64,1))+1</f>
        <v>45</v>
      </c>
      <c r="S50" s="2"/>
      <c r="T50" s="2"/>
      <c r="U50" s="2"/>
    </row>
    <row r="51" s="1" customFormat="1" spans="2:21">
      <c r="B51" s="1">
        <v>47</v>
      </c>
      <c r="C51" s="1">
        <v>700</v>
      </c>
      <c r="D51" s="1">
        <f t="shared" si="3"/>
        <v>7920</v>
      </c>
      <c r="E51" s="1">
        <v>30</v>
      </c>
      <c r="F51" s="1">
        <f>SUM($D$5:D51)</f>
        <v>86790</v>
      </c>
      <c r="G51" s="1">
        <f>SUM($D$5:D51)-10*SUM($E$5:E51)</f>
        <v>79740</v>
      </c>
      <c r="L51" s="2"/>
      <c r="M51" s="2"/>
      <c r="N51" s="2">
        <v>9</v>
      </c>
      <c r="O51" s="2">
        <f t="shared" si="7"/>
        <v>67500</v>
      </c>
      <c r="P51" s="1">
        <f t="array" ref="P51">INDEX(_xlfn.ANCHORARRAY($B$5),MATCH(O51,$G$5:$G$64,1))+1</f>
        <v>46</v>
      </c>
      <c r="S51" s="2"/>
      <c r="T51" s="2"/>
      <c r="U51" s="2"/>
    </row>
    <row r="52" s="1" customFormat="1" spans="2:21">
      <c r="B52" s="1">
        <v>48</v>
      </c>
      <c r="C52" s="1">
        <v>750</v>
      </c>
      <c r="D52" s="1">
        <f t="shared" si="3"/>
        <v>8670</v>
      </c>
      <c r="E52" s="1">
        <v>30</v>
      </c>
      <c r="F52" s="1">
        <f>SUM($D$5:D52)</f>
        <v>95460</v>
      </c>
      <c r="G52" s="1">
        <f>SUM($D$5:D52)-10*SUM($E$5:E52)</f>
        <v>88110</v>
      </c>
      <c r="L52" s="2"/>
      <c r="M52" s="2"/>
      <c r="N52" s="2">
        <v>10</v>
      </c>
      <c r="O52" s="2">
        <f t="shared" si="7"/>
        <v>75000</v>
      </c>
      <c r="P52" s="1">
        <f t="array" ref="P52">INDEX(_xlfn.ANCHORARRAY($B$5),MATCH(O52,$G$5:$G$64,1))+1</f>
        <v>47</v>
      </c>
      <c r="S52" s="2"/>
      <c r="T52" s="2"/>
      <c r="U52" s="2"/>
    </row>
    <row r="53" s="1" customFormat="1" spans="2:21">
      <c r="B53" s="1">
        <v>49</v>
      </c>
      <c r="C53" s="1">
        <v>800</v>
      </c>
      <c r="D53" s="1">
        <f t="shared" si="3"/>
        <v>9470</v>
      </c>
      <c r="E53" s="1">
        <v>30</v>
      </c>
      <c r="F53" s="1">
        <f>SUM($D$5:D53)</f>
        <v>104930</v>
      </c>
      <c r="G53" s="1">
        <f>SUM($D$5:D53)-10*SUM($E$5:E53)</f>
        <v>97280</v>
      </c>
      <c r="L53" s="2"/>
      <c r="M53" s="2"/>
      <c r="N53" s="2">
        <v>11</v>
      </c>
      <c r="O53" s="2">
        <f t="shared" si="7"/>
        <v>82500</v>
      </c>
      <c r="P53" s="1">
        <f t="array" ref="P53">INDEX(_xlfn.ANCHORARRAY($B$5),MATCH(O53,$G$5:$G$64,1))+1</f>
        <v>48</v>
      </c>
      <c r="S53" s="2"/>
      <c r="T53" s="2"/>
      <c r="U53" s="2"/>
    </row>
    <row r="54" s="1" customFormat="1" spans="2:21">
      <c r="B54" s="1">
        <v>50</v>
      </c>
      <c r="C54" s="1">
        <v>850</v>
      </c>
      <c r="D54" s="1">
        <f t="shared" si="3"/>
        <v>10320</v>
      </c>
      <c r="E54" s="1">
        <v>30</v>
      </c>
      <c r="F54" s="1">
        <f>SUM($D$5:D54)</f>
        <v>115250</v>
      </c>
      <c r="G54" s="1">
        <f>SUM($D$5:D54)-10*SUM($E$5:E54)</f>
        <v>107300</v>
      </c>
      <c r="L54" s="2"/>
      <c r="M54" s="2"/>
      <c r="N54" s="2">
        <v>12</v>
      </c>
      <c r="O54" s="2">
        <f t="shared" si="7"/>
        <v>90000</v>
      </c>
      <c r="P54" s="1">
        <f t="array" ref="P54">INDEX(_xlfn.ANCHORARRAY($B$5),MATCH(O54,$G$5:$G$64,1))+1</f>
        <v>49</v>
      </c>
      <c r="S54" s="2"/>
      <c r="T54" s="2"/>
      <c r="U54" s="2"/>
    </row>
    <row r="55" s="1" customFormat="1" spans="2:21">
      <c r="B55" s="1">
        <v>51</v>
      </c>
      <c r="C55" s="1">
        <v>1000</v>
      </c>
      <c r="D55" s="1">
        <f t="shared" si="3"/>
        <v>11320</v>
      </c>
      <c r="E55" s="1">
        <v>40</v>
      </c>
      <c r="F55" s="1">
        <f>SUM($D$5:D55)</f>
        <v>126570</v>
      </c>
      <c r="G55" s="1">
        <f>SUM($D$5:D55)-10*SUM($E$5:E55)</f>
        <v>118220</v>
      </c>
      <c r="L55" s="2"/>
      <c r="M55" s="2"/>
      <c r="N55" s="2">
        <v>13</v>
      </c>
      <c r="O55" s="2">
        <f t="shared" si="7"/>
        <v>97500</v>
      </c>
      <c r="P55" s="1">
        <f t="array" ref="P55">INDEX(_xlfn.ANCHORARRAY($B$5),MATCH(O55,$G$5:$G$64,1))+1</f>
        <v>50</v>
      </c>
      <c r="S55" s="2"/>
      <c r="T55" s="2"/>
      <c r="U55" s="2"/>
    </row>
    <row r="56" s="1" customFormat="1" spans="2:21">
      <c r="B56" s="1">
        <v>52</v>
      </c>
      <c r="C56" s="1">
        <v>1100</v>
      </c>
      <c r="D56" s="1">
        <f t="shared" si="3"/>
        <v>12420</v>
      </c>
      <c r="E56" s="1">
        <v>40</v>
      </c>
      <c r="F56" s="1">
        <f>SUM($D$5:D56)</f>
        <v>138990</v>
      </c>
      <c r="G56" s="1">
        <f>SUM($D$5:D56)-10*SUM($E$5:E56)</f>
        <v>130240</v>
      </c>
      <c r="L56" s="2"/>
      <c r="M56" s="2"/>
      <c r="N56" s="2">
        <v>14</v>
      </c>
      <c r="O56" s="2">
        <f t="shared" si="7"/>
        <v>105000</v>
      </c>
      <c r="P56" s="1">
        <f t="array" ref="P56">INDEX(_xlfn.ANCHORARRAY($B$5),MATCH(O56,$G$5:$G$64,1))+1</f>
        <v>50</v>
      </c>
      <c r="S56" s="2"/>
      <c r="T56" s="2"/>
      <c r="U56" s="2"/>
    </row>
    <row r="57" s="1" customFormat="1" spans="2:21">
      <c r="B57" s="1">
        <v>53</v>
      </c>
      <c r="C57" s="1">
        <v>1200</v>
      </c>
      <c r="D57" s="1">
        <f t="shared" si="3"/>
        <v>13620</v>
      </c>
      <c r="E57" s="1">
        <v>40</v>
      </c>
      <c r="F57" s="1">
        <f>SUM($D$5:D57)</f>
        <v>152610</v>
      </c>
      <c r="G57" s="1">
        <f>SUM($D$5:D57)-10*SUM($E$5:E57)</f>
        <v>143460</v>
      </c>
      <c r="L57" s="2"/>
      <c r="M57" s="2"/>
      <c r="N57" s="2">
        <v>15</v>
      </c>
      <c r="O57" s="2">
        <f t="shared" si="7"/>
        <v>112500</v>
      </c>
      <c r="P57" s="1">
        <f t="array" ref="P57">INDEX(_xlfn.ANCHORARRAY($B$5),MATCH(O57,$G$5:$G$64,1))+1</f>
        <v>51</v>
      </c>
      <c r="S57" s="2"/>
      <c r="T57" s="2"/>
      <c r="U57" s="2"/>
    </row>
    <row r="58" s="1" customFormat="1" spans="2:21">
      <c r="B58" s="1">
        <v>54</v>
      </c>
      <c r="C58" s="1">
        <v>1300</v>
      </c>
      <c r="D58" s="1">
        <f t="shared" si="3"/>
        <v>14920</v>
      </c>
      <c r="E58" s="1">
        <v>40</v>
      </c>
      <c r="F58" s="1">
        <f>SUM($D$5:D58)</f>
        <v>167530</v>
      </c>
      <c r="G58" s="1">
        <f>SUM($D$5:D58)-10*SUM($E$5:E58)</f>
        <v>157980</v>
      </c>
      <c r="L58" s="2"/>
      <c r="M58" s="2"/>
      <c r="N58" s="2">
        <v>16</v>
      </c>
      <c r="O58" s="2">
        <f t="shared" si="7"/>
        <v>120000</v>
      </c>
      <c r="P58" s="1">
        <f t="array" ref="P58">INDEX(_xlfn.ANCHORARRAY($B$5),MATCH(O58,$G$5:$G$64,1))+1</f>
        <v>52</v>
      </c>
      <c r="S58" s="2"/>
      <c r="T58" s="2"/>
      <c r="U58" s="2"/>
    </row>
    <row r="59" s="1" customFormat="1" spans="2:21">
      <c r="B59" s="1">
        <v>55</v>
      </c>
      <c r="C59" s="1">
        <v>1400</v>
      </c>
      <c r="D59" s="1">
        <f t="shared" si="3"/>
        <v>16320</v>
      </c>
      <c r="E59" s="1">
        <v>40</v>
      </c>
      <c r="F59" s="1">
        <f>SUM($D$5:D59)</f>
        <v>183850</v>
      </c>
      <c r="G59" s="1">
        <f>SUM($D$5:D59)-10*SUM($E$5:E59)</f>
        <v>173900</v>
      </c>
      <c r="L59" s="2"/>
      <c r="M59" s="2"/>
      <c r="N59" s="2">
        <v>17</v>
      </c>
      <c r="O59" s="2">
        <f t="shared" si="7"/>
        <v>127500</v>
      </c>
      <c r="P59" s="1">
        <f t="array" ref="P59">INDEX(_xlfn.ANCHORARRAY($B$5),MATCH(O59,$G$5:$G$64,1))+1</f>
        <v>52</v>
      </c>
      <c r="S59" s="2"/>
      <c r="T59" s="2"/>
      <c r="U59" s="2"/>
    </row>
    <row r="60" s="1" customFormat="1" spans="2:21">
      <c r="B60" s="1">
        <v>56</v>
      </c>
      <c r="C60" s="1">
        <v>1500</v>
      </c>
      <c r="D60" s="1">
        <f t="shared" si="3"/>
        <v>17820</v>
      </c>
      <c r="E60" s="1">
        <v>40</v>
      </c>
      <c r="F60" s="1">
        <f>SUM($D$5:D60)</f>
        <v>201670</v>
      </c>
      <c r="G60" s="1">
        <f>SUM($D$5:D60)-10*SUM($E$5:E60)</f>
        <v>191320</v>
      </c>
      <c r="L60" s="2"/>
      <c r="M60" s="2"/>
      <c r="N60" s="2">
        <v>18</v>
      </c>
      <c r="O60" s="2">
        <f t="shared" si="7"/>
        <v>135000</v>
      </c>
      <c r="P60" s="1">
        <f t="array" ref="P60">INDEX(_xlfn.ANCHORARRAY($B$5),MATCH(O60,$G$5:$G$64,1))+1</f>
        <v>53</v>
      </c>
      <c r="S60" s="2"/>
      <c r="T60" s="2"/>
      <c r="U60" s="2"/>
    </row>
    <row r="61" s="1" customFormat="1" spans="2:21">
      <c r="B61" s="1">
        <v>57</v>
      </c>
      <c r="C61" s="1">
        <v>2000</v>
      </c>
      <c r="D61" s="1">
        <f t="shared" si="3"/>
        <v>19820</v>
      </c>
      <c r="E61" s="1">
        <v>40</v>
      </c>
      <c r="F61" s="1">
        <f>SUM($D$5:D61)</f>
        <v>221490</v>
      </c>
      <c r="G61" s="1">
        <f>SUM($D$5:D61)-10*SUM($E$5:E61)</f>
        <v>210740</v>
      </c>
      <c r="L61" s="2"/>
      <c r="M61" s="2"/>
      <c r="N61" s="2">
        <v>19</v>
      </c>
      <c r="O61" s="2">
        <f t="shared" si="7"/>
        <v>142500</v>
      </c>
      <c r="P61" s="1">
        <f t="array" ref="P61">INDEX(_xlfn.ANCHORARRAY($B$5),MATCH(O61,$G$5:$G$64,1))+1</f>
        <v>53</v>
      </c>
      <c r="S61" s="2"/>
      <c r="T61" s="2"/>
      <c r="U61" s="2"/>
    </row>
    <row r="62" s="1" customFormat="1" spans="2:21">
      <c r="B62" s="1">
        <v>58</v>
      </c>
      <c r="C62" s="1">
        <v>3000</v>
      </c>
      <c r="D62" s="1">
        <f t="shared" si="3"/>
        <v>22820</v>
      </c>
      <c r="E62" s="1">
        <v>40</v>
      </c>
      <c r="F62" s="1">
        <f>SUM($D$5:D62)</f>
        <v>244310</v>
      </c>
      <c r="G62" s="1">
        <f>SUM($D$5:D62)-10*SUM($E$5:E62)</f>
        <v>233160</v>
      </c>
      <c r="L62" s="2"/>
      <c r="M62" s="2"/>
      <c r="N62" s="2">
        <v>20</v>
      </c>
      <c r="O62" s="2">
        <f t="shared" si="7"/>
        <v>150000</v>
      </c>
      <c r="P62" s="1">
        <f t="array" ref="P62">INDEX(_xlfn.ANCHORARRAY($B$5),MATCH(O62,$G$5:$G$64,1))+1</f>
        <v>54</v>
      </c>
      <c r="S62" s="2"/>
      <c r="T62" s="2"/>
      <c r="U62" s="2"/>
    </row>
    <row r="63" s="1" customFormat="1" spans="2:21">
      <c r="B63" s="1">
        <v>59</v>
      </c>
      <c r="C63" s="1">
        <v>4000</v>
      </c>
      <c r="D63" s="1">
        <f t="shared" si="3"/>
        <v>26820</v>
      </c>
      <c r="E63" s="1">
        <v>40</v>
      </c>
      <c r="F63" s="1">
        <f>SUM($D$5:D63)</f>
        <v>271130</v>
      </c>
      <c r="G63" s="1">
        <f>SUM($D$5:D63)-10*SUM($E$5:E63)</f>
        <v>259580</v>
      </c>
      <c r="L63" s="2"/>
      <c r="M63" s="2"/>
      <c r="N63" s="2">
        <v>21</v>
      </c>
      <c r="O63" s="2">
        <f t="shared" si="7"/>
        <v>157500</v>
      </c>
      <c r="P63" s="1">
        <f t="array" ref="P63">INDEX(_xlfn.ANCHORARRAY($B$5),MATCH(O63,$G$5:$G$64,1))+1</f>
        <v>54</v>
      </c>
      <c r="S63" s="2"/>
      <c r="T63" s="2"/>
      <c r="U63" s="2"/>
    </row>
    <row r="64" s="1" customFormat="1" spans="2:21">
      <c r="B64" s="1">
        <v>60</v>
      </c>
      <c r="C64" s="1">
        <v>5000</v>
      </c>
      <c r="D64" s="1">
        <f t="shared" si="3"/>
        <v>31820</v>
      </c>
      <c r="E64" s="1">
        <v>40</v>
      </c>
      <c r="F64" s="1">
        <f>SUM($D$5:D64)</f>
        <v>302950</v>
      </c>
      <c r="G64" s="1">
        <f>SUM($D$5:D64)-10*SUM($E$5:E64)</f>
        <v>291000</v>
      </c>
      <c r="L64" s="2"/>
      <c r="M64" s="2"/>
      <c r="N64" s="2">
        <v>22</v>
      </c>
      <c r="O64" s="2">
        <f t="shared" si="7"/>
        <v>165000</v>
      </c>
      <c r="P64" s="1">
        <f t="array" ref="P64">INDEX(_xlfn.ANCHORARRAY($B$5),MATCH(O64,$G$5:$G$64,1))+1</f>
        <v>55</v>
      </c>
      <c r="S64" s="2"/>
      <c r="T64" s="2"/>
      <c r="U64" s="2"/>
    </row>
    <row r="65" s="1" customFormat="1" spans="3:21">
      <c r="C65" s="2"/>
      <c r="D65" s="2"/>
      <c r="E65" s="2"/>
      <c r="F65" s="2"/>
      <c r="G65" s="2"/>
      <c r="L65" s="2"/>
      <c r="M65" s="2"/>
      <c r="N65" s="2">
        <v>23</v>
      </c>
      <c r="O65" s="2">
        <f t="shared" si="7"/>
        <v>172500</v>
      </c>
      <c r="P65" s="1">
        <f t="array" ref="P65">INDEX(_xlfn.ANCHORARRAY($B$5),MATCH(O65,$G$5:$G$64,1))+1</f>
        <v>55</v>
      </c>
      <c r="S65" s="2"/>
      <c r="T65" s="2"/>
      <c r="U65" s="2"/>
    </row>
    <row r="66" s="1" customFormat="1" spans="3:21">
      <c r="C66" s="2"/>
      <c r="D66" s="2"/>
      <c r="E66" s="2"/>
      <c r="F66" s="2"/>
      <c r="G66" s="2"/>
      <c r="L66" s="2"/>
      <c r="M66" s="2"/>
      <c r="N66" s="2">
        <v>24</v>
      </c>
      <c r="O66" s="2">
        <f t="shared" si="7"/>
        <v>180000</v>
      </c>
      <c r="P66" s="1">
        <f t="array" ref="P66">INDEX(_xlfn.ANCHORARRAY($B$5),MATCH(O66,$G$5:$G$64,1))+1</f>
        <v>56</v>
      </c>
      <c r="S66" s="2"/>
      <c r="T66" s="2"/>
      <c r="U66" s="2"/>
    </row>
    <row r="67" s="1" customFormat="1" spans="3:21">
      <c r="C67" s="2"/>
      <c r="D67" s="2"/>
      <c r="E67" s="2"/>
      <c r="F67" s="2"/>
      <c r="G67" s="2"/>
      <c r="L67" s="2"/>
      <c r="M67" s="2"/>
      <c r="N67" s="2">
        <v>25</v>
      </c>
      <c r="O67" s="2">
        <f t="shared" si="7"/>
        <v>187500</v>
      </c>
      <c r="P67" s="1">
        <f t="array" ref="P67">INDEX(_xlfn.ANCHORARRAY($B$5),MATCH(O67,$G$5:$G$64,1))+1</f>
        <v>56</v>
      </c>
      <c r="S67" s="2"/>
      <c r="T67" s="2"/>
      <c r="U67" s="2"/>
    </row>
    <row r="68" s="1" customFormat="1" spans="3:21">
      <c r="C68" s="2"/>
      <c r="D68" s="2"/>
      <c r="E68" s="2"/>
      <c r="F68" s="2"/>
      <c r="G68" s="2"/>
      <c r="L68" s="2"/>
      <c r="M68" s="2"/>
      <c r="N68" s="2">
        <v>26</v>
      </c>
      <c r="O68" s="2">
        <f t="shared" si="7"/>
        <v>195000</v>
      </c>
      <c r="P68" s="1">
        <f t="array" ref="P68">INDEX(_xlfn.ANCHORARRAY($B$5),MATCH(O68,$G$5:$G$64,1))+1</f>
        <v>57</v>
      </c>
      <c r="S68" s="2"/>
      <c r="T68" s="2"/>
      <c r="U68" s="2"/>
    </row>
    <row r="69" s="1" customFormat="1" spans="3:21">
      <c r="C69" s="2"/>
      <c r="D69" s="2"/>
      <c r="E69" s="2"/>
      <c r="F69" s="2"/>
      <c r="G69" s="2"/>
      <c r="L69" s="2"/>
      <c r="M69" s="2"/>
      <c r="N69" s="2">
        <v>27</v>
      </c>
      <c r="O69" s="2">
        <f t="shared" si="7"/>
        <v>202500</v>
      </c>
      <c r="P69" s="1">
        <f t="array" ref="P69">INDEX(_xlfn.ANCHORARRAY($B$5),MATCH(O69,$G$5:$G$64,1))+1</f>
        <v>57</v>
      </c>
      <c r="S69" s="2"/>
      <c r="T69" s="2"/>
      <c r="U69" s="2"/>
    </row>
    <row r="70" s="1" customFormat="1" spans="3:21">
      <c r="C70" s="2"/>
      <c r="D70" s="2"/>
      <c r="E70" s="2"/>
      <c r="F70" s="2"/>
      <c r="G70" s="2"/>
      <c r="L70" s="2"/>
      <c r="M70" s="2"/>
      <c r="N70" s="2">
        <v>28</v>
      </c>
      <c r="O70" s="2">
        <f t="shared" si="7"/>
        <v>210000</v>
      </c>
      <c r="P70" s="1">
        <f t="array" ref="P70">INDEX(_xlfn.ANCHORARRAY($B$5),MATCH(O70,$G$5:$G$64,1))+1</f>
        <v>57</v>
      </c>
      <c r="S70" s="2"/>
      <c r="T70" s="2"/>
      <c r="U70" s="2"/>
    </row>
    <row r="71" s="1" customFormat="1" spans="3:21">
      <c r="C71" s="2"/>
      <c r="D71" s="2"/>
      <c r="E71" s="2"/>
      <c r="F71" s="2"/>
      <c r="G71" s="2"/>
      <c r="L71" s="2"/>
      <c r="M71" s="2"/>
      <c r="N71" s="2">
        <v>29</v>
      </c>
      <c r="O71" s="2">
        <f t="shared" si="7"/>
        <v>217500</v>
      </c>
      <c r="P71" s="1">
        <f t="array" ref="P71">INDEX(_xlfn.ANCHORARRAY($B$5),MATCH(O71,$G$5:$G$64,1))+1</f>
        <v>58</v>
      </c>
      <c r="S71" s="2"/>
      <c r="T71" s="2"/>
      <c r="U71" s="2"/>
    </row>
    <row r="72" s="1" customFormat="1" spans="3:21">
      <c r="C72" s="2"/>
      <c r="D72" s="2"/>
      <c r="E72" s="2"/>
      <c r="F72" s="2"/>
      <c r="G72" s="2"/>
      <c r="L72" s="2"/>
      <c r="M72" s="2"/>
      <c r="N72" s="2">
        <v>30</v>
      </c>
      <c r="O72" s="2">
        <f t="shared" si="7"/>
        <v>225000</v>
      </c>
      <c r="P72" s="1">
        <f t="array" ref="P72">INDEX(_xlfn.ANCHORARRAY($B$5),MATCH(O72,$G$5:$G$64,1))+1</f>
        <v>58</v>
      </c>
      <c r="S72" s="2"/>
      <c r="T72" s="2"/>
      <c r="U72" s="2"/>
    </row>
    <row r="73" s="1" customFormat="1" spans="3:21">
      <c r="C73" s="2"/>
      <c r="D73" s="2"/>
      <c r="E73" s="2"/>
      <c r="F73" s="2"/>
      <c r="G73" s="2"/>
      <c r="L73" s="2"/>
      <c r="M73" s="2"/>
      <c r="N73" s="2">
        <v>31</v>
      </c>
      <c r="O73" s="2">
        <f t="shared" si="7"/>
        <v>232500</v>
      </c>
      <c r="P73" s="1">
        <f t="array" ref="P73">INDEX(_xlfn.ANCHORARRAY($B$5),MATCH(O73,$G$5:$G$64,1))+1</f>
        <v>58</v>
      </c>
      <c r="S73" s="2"/>
      <c r="T73" s="2"/>
      <c r="U73" s="2"/>
    </row>
    <row r="74" s="1" customFormat="1" spans="3:21">
      <c r="C74" s="2"/>
      <c r="D74" s="2"/>
      <c r="E74" s="2"/>
      <c r="F74" s="2"/>
      <c r="G74" s="2"/>
      <c r="L74" s="2"/>
      <c r="M74" s="2"/>
      <c r="N74" s="2">
        <v>32</v>
      </c>
      <c r="O74" s="2">
        <f t="shared" si="7"/>
        <v>240000</v>
      </c>
      <c r="P74" s="1">
        <f t="array" ref="P74">INDEX(_xlfn.ANCHORARRAY($B$5),MATCH(O74,$G$5:$G$64,1))+1</f>
        <v>59</v>
      </c>
      <c r="S74" s="2"/>
      <c r="T74" s="2"/>
      <c r="U74" s="2"/>
    </row>
    <row r="75" s="1" customFormat="1" spans="3:21">
      <c r="C75" s="2"/>
      <c r="D75" s="2"/>
      <c r="E75" s="2"/>
      <c r="F75" s="2"/>
      <c r="G75" s="2"/>
      <c r="L75" s="2"/>
      <c r="M75" s="2"/>
      <c r="N75" s="2">
        <v>33</v>
      </c>
      <c r="O75" s="2">
        <f t="shared" si="7"/>
        <v>247500</v>
      </c>
      <c r="P75" s="1">
        <f t="array" ref="P75">INDEX(_xlfn.ANCHORARRAY($B$5),MATCH(O75,$G$5:$G$64,1))+1</f>
        <v>59</v>
      </c>
      <c r="S75" s="2"/>
      <c r="T75" s="2"/>
      <c r="U75" s="2"/>
    </row>
    <row r="76" s="1" customFormat="1" spans="3:21">
      <c r="C76" s="2"/>
      <c r="D76" s="2"/>
      <c r="E76" s="2"/>
      <c r="F76" s="2"/>
      <c r="G76" s="2"/>
      <c r="L76" s="2"/>
      <c r="M76" s="2"/>
      <c r="N76" s="2">
        <v>34</v>
      </c>
      <c r="O76" s="2">
        <f t="shared" si="7"/>
        <v>255000</v>
      </c>
      <c r="P76" s="1">
        <f t="array" ref="P76">INDEX(_xlfn.ANCHORARRAY($B$5),MATCH(O76,$G$5:$G$64,1))+1</f>
        <v>59</v>
      </c>
      <c r="S76" s="2"/>
      <c r="T76" s="2"/>
      <c r="U76" s="2"/>
    </row>
    <row r="77" s="1" customFormat="1" spans="3:21">
      <c r="C77" s="2"/>
      <c r="D77" s="2"/>
      <c r="E77" s="2"/>
      <c r="F77" s="2"/>
      <c r="G77" s="2"/>
      <c r="L77" s="2"/>
      <c r="M77" s="2"/>
      <c r="N77" s="2">
        <v>35</v>
      </c>
      <c r="O77" s="2">
        <f t="shared" si="7"/>
        <v>262500</v>
      </c>
      <c r="P77" s="1">
        <f t="array" ref="P77">INDEX(_xlfn.ANCHORARRAY($B$5),MATCH(O77,$G$5:$G$64,1))+1</f>
        <v>60</v>
      </c>
      <c r="S77" s="2"/>
      <c r="T77" s="2"/>
      <c r="U77" s="2"/>
    </row>
    <row r="78" s="1" customFormat="1" spans="3:21">
      <c r="C78" s="2"/>
      <c r="D78" s="2"/>
      <c r="E78" s="2"/>
      <c r="F78" s="2"/>
      <c r="G78" s="2"/>
      <c r="L78" s="2"/>
      <c r="M78" s="2"/>
      <c r="N78" s="2">
        <v>36</v>
      </c>
      <c r="O78" s="2">
        <f t="shared" si="7"/>
        <v>270000</v>
      </c>
      <c r="P78" s="1">
        <f t="array" ref="P78">INDEX(_xlfn.ANCHORARRAY($B$5),MATCH(O78,$G$5:$G$64,1))+1</f>
        <v>60</v>
      </c>
      <c r="S78" s="2"/>
      <c r="T78" s="2"/>
      <c r="U78" s="2"/>
    </row>
    <row r="79" s="1" customFormat="1" spans="3:21">
      <c r="C79" s="2"/>
      <c r="D79" s="2"/>
      <c r="E79" s="2"/>
      <c r="F79" s="2"/>
      <c r="G79" s="2"/>
      <c r="L79" s="2"/>
      <c r="M79" s="2"/>
      <c r="N79" s="2"/>
      <c r="O79" s="2">
        <f t="shared" si="7"/>
        <v>0</v>
      </c>
      <c r="P79" s="1" t="e">
        <f t="array" ref="P79">INDEX(_xlfn.ANCHORARRAY($B$5),MATCH(O79,$G$5:$G$64,1))+1</f>
        <v>#N/A</v>
      </c>
      <c r="S79" s="2"/>
      <c r="T79" s="2"/>
      <c r="U79" s="2"/>
    </row>
    <row r="80" s="1" customFormat="1" spans="3:21">
      <c r="C80" s="2"/>
      <c r="D80" s="2"/>
      <c r="E80" s="2"/>
      <c r="F80" s="2"/>
      <c r="G80" s="2"/>
      <c r="L80" s="2"/>
      <c r="M80" s="2"/>
      <c r="N80" s="2"/>
      <c r="O80" s="2">
        <f t="shared" si="7"/>
        <v>0</v>
      </c>
      <c r="P80" s="1" t="e">
        <f t="array" ref="P80">INDEX(_xlfn.ANCHORARRAY($B$5),MATCH(O80,$G$5:$G$64,1))+1</f>
        <v>#N/A</v>
      </c>
      <c r="S80" s="2"/>
      <c r="T80" s="2"/>
      <c r="U80" s="2"/>
    </row>
    <row r="81" s="1" customFormat="1" spans="3:21">
      <c r="C81" s="2"/>
      <c r="D81" s="2"/>
      <c r="E81" s="2"/>
      <c r="F81" s="2"/>
      <c r="G81" s="2"/>
      <c r="L81" s="2"/>
      <c r="M81" s="2"/>
      <c r="N81" s="2"/>
      <c r="O81" s="2">
        <f t="shared" si="7"/>
        <v>0</v>
      </c>
      <c r="P81" s="1" t="e">
        <f t="array" ref="P81">INDEX(_xlfn.ANCHORARRAY($B$5),MATCH(O81,$G$5:$G$64,1))+1</f>
        <v>#N/A</v>
      </c>
      <c r="S81" s="2"/>
      <c r="T81" s="2"/>
      <c r="U81" s="2"/>
    </row>
    <row r="82" s="1" customFormat="1" spans="3:21">
      <c r="C82" s="2"/>
      <c r="D82" s="2"/>
      <c r="E82" s="2"/>
      <c r="F82" s="2"/>
      <c r="G82" s="2"/>
      <c r="L82" s="2"/>
      <c r="M82" s="2"/>
      <c r="N82" s="2"/>
      <c r="O82" s="2">
        <f t="shared" si="7"/>
        <v>0</v>
      </c>
      <c r="P82" s="1" t="e">
        <f t="array" ref="P82">INDEX(_xlfn.ANCHORARRAY($B$5),MATCH(O82,$G$5:$G$64,1))+1</f>
        <v>#N/A</v>
      </c>
      <c r="S82" s="2"/>
      <c r="T82" s="2"/>
      <c r="U82" s="2"/>
    </row>
    <row r="83" s="1" customFormat="1" spans="3:21">
      <c r="C83" s="2"/>
      <c r="D83" s="2"/>
      <c r="E83" s="2"/>
      <c r="F83" s="2"/>
      <c r="G83" s="2"/>
      <c r="L83" s="2"/>
      <c r="M83" s="2"/>
      <c r="N83" s="2"/>
      <c r="O83" s="2">
        <f t="shared" si="7"/>
        <v>0</v>
      </c>
      <c r="P83" s="1" t="e">
        <f t="array" ref="P83">INDEX(_xlfn.ANCHORARRAY($B$5),MATCH(O83,$G$5:$G$64,1))+1</f>
        <v>#N/A</v>
      </c>
      <c r="S83" s="2"/>
      <c r="T83" s="2"/>
      <c r="U83" s="2"/>
    </row>
    <row r="84" s="1" customFormat="1" spans="3:21">
      <c r="C84" s="2"/>
      <c r="D84" s="2"/>
      <c r="E84" s="2"/>
      <c r="F84" s="2"/>
      <c r="G84" s="2"/>
      <c r="L84" s="2"/>
      <c r="M84" s="2"/>
      <c r="N84" s="2"/>
      <c r="O84" s="2">
        <f t="shared" si="7"/>
        <v>0</v>
      </c>
      <c r="P84" s="1" t="e">
        <f t="array" ref="P84">INDEX(_xlfn.ANCHORARRAY($B$5),MATCH(O84,$G$5:$G$64,1))+1</f>
        <v>#N/A</v>
      </c>
      <c r="S84" s="2"/>
      <c r="T84" s="2"/>
      <c r="U84" s="2"/>
    </row>
    <row r="85" spans="3:21">
      <c r="O85" s="2">
        <f t="shared" si="7"/>
        <v>0</v>
      </c>
      <c r="P85" s="1" t="e">
        <f t="array" ref="P85">INDEX(_xlfn.ANCHORARRAY($B$5),MATCH(O85,$G$5:$G$64,1))+1</f>
        <v>#N/A</v>
      </c>
    </row>
    <row r="86" spans="3:21">
      <c r="O86" s="2">
        <f t="shared" si="7"/>
        <v>0</v>
      </c>
      <c r="P86" s="1" t="e">
        <f t="array" ref="P86">INDEX(_xlfn.ANCHORARRAY($B$5),MATCH(O86,$G$5:$G$64,1))+1</f>
        <v>#N/A</v>
      </c>
    </row>
    <row r="87" spans="3:21">
      <c r="O87" s="2">
        <f t="shared" si="7"/>
        <v>0</v>
      </c>
      <c r="P87" s="1" t="e">
        <f t="array" ref="P87">INDEX(_xlfn.ANCHORARRAY($B$5),MATCH(O87,$G$5:$G$64,1))+1</f>
        <v>#N/A</v>
      </c>
    </row>
    <row r="88" spans="3:21">
      <c r="O88" s="2">
        <f t="shared" si="7"/>
        <v>0</v>
      </c>
      <c r="P88" s="1" t="e">
        <f t="array" ref="P88">INDEX(_xlfn.ANCHORARRAY($B$5),MATCH(O88,$G$5:$G$64,1))+1</f>
        <v>#N/A</v>
      </c>
    </row>
    <row r="89" spans="3:21">
      <c r="O89" s="2">
        <f t="shared" si="7"/>
        <v>0</v>
      </c>
      <c r="P89" s="1" t="e">
        <f t="array" ref="P89">INDEX(_xlfn.ANCHORARRAY($B$5),MATCH(O89,$G$5:$G$64,1))+1</f>
        <v>#N/A</v>
      </c>
    </row>
    <row r="90" spans="3:21">
      <c r="O90" s="2">
        <f t="shared" si="7"/>
        <v>0</v>
      </c>
      <c r="P90" s="1" t="e">
        <f t="array" ref="P90">INDEX(_xlfn.ANCHORARRAY($B$5),MATCH(O90,$G$5:$G$64,1))+1</f>
        <v>#N/A</v>
      </c>
    </row>
    <row r="91" spans="3:21">
      <c r="O91" s="2">
        <f t="shared" si="7"/>
        <v>0</v>
      </c>
      <c r="P91" s="1" t="e">
        <f t="array" ref="P91">INDEX(_xlfn.ANCHORARRAY($B$5),MATCH(O91,$G$5:$G$64,1))+1</f>
        <v>#N/A</v>
      </c>
    </row>
    <row r="92" spans="3:21">
      <c r="O92" s="2">
        <f t="shared" si="7"/>
        <v>0</v>
      </c>
      <c r="P92" s="1" t="e">
        <f t="array" ref="P92">INDEX(_xlfn.ANCHORARRAY($B$5),MATCH(O92,$G$5:$G$64,1))+1</f>
        <v>#N/A</v>
      </c>
    </row>
    <row r="93" spans="3:21">
      <c r="O93" s="2">
        <f t="shared" si="7"/>
        <v>0</v>
      </c>
      <c r="P93" s="1" t="e">
        <f t="array" ref="P93">INDEX(_xlfn.ANCHORARRAY($B$5),MATCH(O93,$G$5:$G$64,1))+1</f>
        <v>#N/A</v>
      </c>
    </row>
    <row r="94" spans="3:21">
      <c r="O94" s="2">
        <f t="shared" si="7"/>
        <v>0</v>
      </c>
      <c r="P94" s="1" t="e">
        <f t="array" ref="P94">INDEX(_xlfn.ANCHORARRAY($B$5),MATCH(O94,$G$5:$G$64,1))+1</f>
        <v>#N/A</v>
      </c>
    </row>
    <row r="95" spans="3:21">
      <c r="O95" s="2">
        <f t="shared" si="7"/>
        <v>0</v>
      </c>
      <c r="P95" s="1" t="e">
        <f t="array" ref="P95">INDEX(_xlfn.ANCHORARRAY($B$5),MATCH(O95,$G$5:$G$64,1))+1</f>
        <v>#N/A</v>
      </c>
    </row>
    <row r="96" spans="3:21">
      <c r="O96" s="2">
        <f t="shared" si="7"/>
        <v>0</v>
      </c>
      <c r="P96" s="1" t="e">
        <f t="array" ref="P96">INDEX(_xlfn.ANCHORARRAY($B$5),MATCH(O96,$G$5:$G$64,1))+1</f>
        <v>#N/A</v>
      </c>
    </row>
    <row r="97" spans="15:16">
      <c r="O97" s="2">
        <f t="shared" si="7"/>
        <v>0</v>
      </c>
      <c r="P97" s="1" t="e">
        <f t="array" ref="P97">INDEX(_xlfn.ANCHORARRAY($B$5),MATCH(O97,$G$5:$G$64,1))+1</f>
        <v>#N/A</v>
      </c>
    </row>
    <row r="98" spans="15:16">
      <c r="O98" s="2">
        <f t="shared" si="7"/>
        <v>0</v>
      </c>
      <c r="P98" s="1" t="e">
        <f t="array" ref="P98">INDEX(_xlfn.ANCHORARRAY($B$5),MATCH(O98,$G$5:$G$64,1))+1</f>
        <v>#N/A</v>
      </c>
    </row>
    <row r="99" spans="15:16">
      <c r="O99" s="1"/>
    </row>
    <row r="100" spans="15:16">
      <c r="O100" s="1"/>
    </row>
    <row r="101" spans="15:16">
      <c r="O101" s="1"/>
    </row>
    <row r="102" spans="15:16">
      <c r="O102" s="1"/>
    </row>
    <row r="103" spans="15:16">
      <c r="O103" s="1"/>
    </row>
    <row r="104" spans="15:16">
      <c r="O104" s="1"/>
    </row>
    <row r="105" spans="15:16">
      <c r="O105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D82"/>
  <sheetViews>
    <sheetView workbookViewId="0">
      <selection activeCell="D44" sqref="D44"/>
    </sheetView>
  </sheetViews>
  <sheetFormatPr defaultColWidth="9" defaultRowHeight="13.5" outlineLevelCol="3"/>
  <sheetData>
    <row r="4" spans="4:4">
      <c r="D4">
        <v>200</v>
      </c>
    </row>
    <row r="5" spans="4:4">
      <c r="D5">
        <v>300</v>
      </c>
    </row>
    <row r="6" spans="4:4">
      <c r="D6">
        <v>500</v>
      </c>
    </row>
    <row r="7" spans="4:4">
      <c r="D7">
        <v>600</v>
      </c>
    </row>
    <row r="8" spans="4:4">
      <c r="D8">
        <v>1050</v>
      </c>
    </row>
    <row r="9" spans="4:4">
      <c r="D9">
        <v>1670</v>
      </c>
    </row>
    <row r="10" spans="4:4">
      <c r="D10">
        <v>2320</v>
      </c>
    </row>
    <row r="11" spans="4:4">
      <c r="D11">
        <v>3060</v>
      </c>
    </row>
    <row r="12" spans="4:4">
      <c r="D12">
        <v>3860</v>
      </c>
    </row>
    <row r="13" spans="4:4">
      <c r="D13">
        <v>4740</v>
      </c>
    </row>
    <row r="14" spans="4:4">
      <c r="D14">
        <v>5710</v>
      </c>
    </row>
    <row r="15" spans="4:4">
      <c r="D15">
        <v>6730</v>
      </c>
    </row>
    <row r="16" spans="4:4">
      <c r="D16">
        <v>7830</v>
      </c>
    </row>
    <row r="17" spans="4:4">
      <c r="D17">
        <v>9000</v>
      </c>
    </row>
    <row r="18" spans="4:4">
      <c r="D18">
        <v>10240</v>
      </c>
    </row>
    <row r="19" spans="4:4">
      <c r="D19">
        <v>11550</v>
      </c>
    </row>
    <row r="20" spans="4:4">
      <c r="D20">
        <v>12920</v>
      </c>
    </row>
    <row r="21" spans="4:4">
      <c r="D21">
        <v>14360</v>
      </c>
    </row>
    <row r="22" spans="4:4">
      <c r="D22">
        <v>15870</v>
      </c>
    </row>
    <row r="23" spans="4:4">
      <c r="D23">
        <v>16580</v>
      </c>
    </row>
    <row r="24" spans="4:4">
      <c r="D24">
        <v>16840</v>
      </c>
    </row>
    <row r="25" spans="4:4">
      <c r="D25">
        <v>17100</v>
      </c>
    </row>
    <row r="26" spans="4:4">
      <c r="D26">
        <v>17370</v>
      </c>
    </row>
    <row r="27" spans="4:4">
      <c r="D27">
        <v>17640</v>
      </c>
    </row>
    <row r="28" spans="4:4">
      <c r="D28">
        <v>17910</v>
      </c>
    </row>
    <row r="29" spans="4:4">
      <c r="D29">
        <v>18190</v>
      </c>
    </row>
    <row r="30" spans="4:4">
      <c r="D30">
        <v>18480</v>
      </c>
    </row>
    <row r="31" spans="4:4">
      <c r="D31">
        <v>18760</v>
      </c>
    </row>
    <row r="32" spans="4:4">
      <c r="D32">
        <v>19040</v>
      </c>
    </row>
    <row r="33" spans="4:4">
      <c r="D33">
        <v>19340</v>
      </c>
    </row>
    <row r="34" spans="4:4">
      <c r="D34">
        <v>19630</v>
      </c>
    </row>
    <row r="35" spans="4:4">
      <c r="D35">
        <v>19930</v>
      </c>
    </row>
    <row r="36" spans="4:4">
      <c r="D36">
        <v>20220</v>
      </c>
    </row>
    <row r="37" spans="4:4">
      <c r="D37">
        <v>20530</v>
      </c>
    </row>
    <row r="38" spans="4:4">
      <c r="D38">
        <v>20840</v>
      </c>
    </row>
    <row r="39" spans="4:4">
      <c r="D39">
        <v>21140</v>
      </c>
    </row>
    <row r="40" spans="4:4">
      <c r="D40">
        <v>21450</v>
      </c>
    </row>
    <row r="41" spans="4:4">
      <c r="D41">
        <v>21760</v>
      </c>
    </row>
    <row r="42" spans="4:4">
      <c r="D42">
        <v>22080</v>
      </c>
    </row>
    <row r="43" spans="4:4">
      <c r="D43">
        <v>22390</v>
      </c>
    </row>
    <row r="44" spans="4:4">
      <c r="D44">
        <v>25550</v>
      </c>
    </row>
    <row r="45" spans="4:4">
      <c r="D45">
        <v>29140</v>
      </c>
    </row>
    <row r="46" spans="4:4">
      <c r="D46">
        <v>32830</v>
      </c>
    </row>
    <row r="47" spans="4:4">
      <c r="D47">
        <v>36600</v>
      </c>
    </row>
    <row r="48" spans="4:4">
      <c r="D48">
        <v>40470</v>
      </c>
    </row>
    <row r="49" spans="4:4">
      <c r="D49">
        <v>44430</v>
      </c>
    </row>
    <row r="50" spans="4:4">
      <c r="D50">
        <v>48480</v>
      </c>
    </row>
    <row r="51" spans="4:4">
      <c r="D51">
        <v>52630</v>
      </c>
    </row>
    <row r="52" spans="4:4">
      <c r="D52">
        <v>56870</v>
      </c>
    </row>
    <row r="53" spans="4:4">
      <c r="D53">
        <v>61190</v>
      </c>
    </row>
    <row r="54" spans="4:4">
      <c r="D54">
        <v>65620</v>
      </c>
    </row>
    <row r="55" spans="4:4">
      <c r="D55">
        <v>70130</v>
      </c>
    </row>
    <row r="56" spans="4:4">
      <c r="D56">
        <v>74740</v>
      </c>
    </row>
    <row r="57" spans="4:4">
      <c r="D57">
        <v>79450</v>
      </c>
    </row>
    <row r="58" spans="4:4">
      <c r="D58">
        <v>84240</v>
      </c>
    </row>
    <row r="59" spans="4:4">
      <c r="D59">
        <v>89120</v>
      </c>
    </row>
    <row r="60" spans="4:4">
      <c r="D60">
        <v>94110</v>
      </c>
    </row>
    <row r="61" spans="4:4">
      <c r="D61">
        <v>99190</v>
      </c>
    </row>
    <row r="62" spans="4:4">
      <c r="D62">
        <v>104350</v>
      </c>
    </row>
    <row r="63" spans="4:4">
      <c r="D63">
        <v>106240</v>
      </c>
    </row>
    <row r="64" spans="4:4">
      <c r="D64">
        <v>111830</v>
      </c>
    </row>
    <row r="65" spans="4:4">
      <c r="D65">
        <v>117530</v>
      </c>
    </row>
    <row r="66" spans="4:4">
      <c r="D66">
        <v>123320</v>
      </c>
    </row>
    <row r="67" spans="4:4">
      <c r="D67">
        <v>129210</v>
      </c>
    </row>
    <row r="68" spans="4:4">
      <c r="D68">
        <v>135200</v>
      </c>
    </row>
    <row r="69" spans="4:4">
      <c r="D69">
        <v>141290</v>
      </c>
    </row>
    <row r="70" spans="4:4">
      <c r="D70">
        <v>147480</v>
      </c>
    </row>
    <row r="71" spans="4:4">
      <c r="D71">
        <v>153780</v>
      </c>
    </row>
    <row r="72" spans="4:4">
      <c r="D72">
        <v>160170</v>
      </c>
    </row>
    <row r="73" spans="4:4">
      <c r="D73">
        <v>179260</v>
      </c>
    </row>
    <row r="74" spans="4:4">
      <c r="D74">
        <v>199920</v>
      </c>
    </row>
    <row r="75" spans="4:4">
      <c r="D75">
        <v>220920</v>
      </c>
    </row>
    <row r="76" spans="4:4">
      <c r="D76">
        <v>242260</v>
      </c>
    </row>
    <row r="77" spans="4:4">
      <c r="D77">
        <v>263930</v>
      </c>
    </row>
    <row r="78" spans="4:4">
      <c r="D78">
        <v>285950</v>
      </c>
    </row>
    <row r="79" spans="4:4">
      <c r="D79">
        <v>308300</v>
      </c>
    </row>
    <row r="80" spans="4:4">
      <c r="D80">
        <v>331000</v>
      </c>
    </row>
    <row r="81" spans="4:4">
      <c r="D81">
        <v>354040</v>
      </c>
    </row>
    <row r="82" spans="4:4">
      <c r="D82">
        <v>377420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4" sqref="D44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草稿页-功能</vt:lpstr>
      <vt:lpstr>养成进度预估</vt:lpstr>
      <vt:lpstr>新手流程</vt:lpstr>
      <vt:lpstr>开启节奏和引导</vt:lpstr>
      <vt:lpstr>主角等级</vt:lpstr>
      <vt:lpstr>草稿页-Sheet3</vt:lpstr>
      <vt:lpstr>草稿页-2026.2.25特调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2023-05-12T11:15:00Z</dcterms:created>
  <dcterms:modified xsi:type="dcterms:W3CDTF">2026-06-01T03:59:54Z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CalculationRule">
    <vt:i4>0</vt:i4>
  </property>
  <property fmtid="{D5CDD505-2E9C-101B-9397-08002B2CF9AE}" pid="4" name="ICV">
    <vt:lpwstr>7C4634234A9D459F8776C8EA13A9CAC1_12</vt:lpwstr>
  </property>
</Properties>
</file>