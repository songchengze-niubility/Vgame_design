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943" activeTab="6"/>
  </bookViews>
  <sheets>
    <sheet name="前7天钻石抽卡券统计" sheetId="1" r:id="rId1"/>
    <sheet name="玩法钻石抽卡券统计" sheetId="2" r:id="rId2"/>
    <sheet name="道具定价" sheetId="3" r:id="rId3"/>
    <sheet name="角色、专武、旅券掉落池" sheetId="4" r:id="rId4"/>
    <sheet name="角色养成汇总" sheetId="5" r:id="rId5"/>
    <sheet name="角色升级" sheetId="6" r:id="rId6"/>
    <sheet name="角色升阶" sheetId="7" r:id="rId7"/>
    <sheet name="角色升星、角色抽卡" sheetId="8" r:id="rId8"/>
    <sheet name="专武升星、抽卡" sheetId="9" r:id="rId9"/>
    <sheet name="旅券" sheetId="10" r:id="rId10"/>
    <sheet name="专武" sheetId="11" r:id="rId11"/>
    <sheet name="角色星盘" sheetId="12" r:id="rId12"/>
    <sheet name="映射装备" sheetId="13" r:id="rId13"/>
    <sheet name="主角等级（从新手引导复制） " sheetId="14" r:id="rId14"/>
    <sheet name="炮台养成" sheetId="15" r:id="rId15"/>
    <sheet name="通行证" sheetId="16" r:id="rId16"/>
    <sheet name="公会数值" sheetId="17" r:id="rId17"/>
    <sheet name="配置页-通行证" sheetId="18" r:id="rId18"/>
    <sheet name="无限挑战" sheetId="19" r:id="rId19"/>
    <sheet name="配置页-无限挑战" sheetId="20" r:id="rId20"/>
    <sheet name="竞技场" sheetId="21" r:id="rId21"/>
    <sheet name="配置页-竞技场" sheetId="22" r:id="rId22"/>
    <sheet name="竞技场分层" sheetId="23" r:id="rId23"/>
    <sheet name="爬塔" sheetId="24" r:id="rId24"/>
    <sheet name="配置页-爬塔" sheetId="25" r:id="rId25"/>
    <sheet name="大秘境" sheetId="26" r:id="rId26"/>
    <sheet name="商店" sheetId="27" r:id="rId27"/>
    <sheet name="旅券副本" sheetId="28" r:id="rId28"/>
    <sheet name="共鸣装备" sheetId="29" r:id="rId29"/>
    <sheet name="讨论页-玩法定位和产出" sheetId="30" r:id="rId30"/>
    <sheet name="签到" sheetId="31" r:id="rId31"/>
    <sheet name="7日任务" sheetId="32" r:id="rId32"/>
    <sheet name="主线副本" sheetId="33" r:id="rId33"/>
    <sheet name="配置页-主线副本" sheetId="34" r:id="rId34"/>
    <sheet name="高难主线关卡" sheetId="35" r:id="rId35"/>
    <sheet name="高难关卡Drop引用&amp;Drop配置" sheetId="36" r:id="rId36"/>
    <sheet name="世界boss" sheetId="37" r:id="rId37"/>
    <sheet name="任务" sheetId="38" r:id="rId38"/>
    <sheet name="映射装备副本" sheetId="39" r:id="rId39"/>
    <sheet name="映射装备副本配置" sheetId="40" r:id="rId40"/>
    <sheet name="资源、装备副本" sheetId="41" r:id="rId41"/>
    <sheet name="肉鸽（废弃）" sheetId="42" r:id="rId42"/>
  </sheets>
  <definedNames>
    <definedName name="_xlnm._FilterDatabase" localSheetId="0" hidden="1">前7天钻石抽卡券统计!$A$23:$K$224</definedName>
    <definedName name="_xlnm._FilterDatabase" localSheetId="1" hidden="1">玩法钻石抽卡券统计!$A$19:$I$476</definedName>
    <definedName name="_xlnm._FilterDatabase" localSheetId="34" hidden="1">高难主线关卡!$A$7:$AB$22</definedName>
    <definedName name="_xlnm._FilterDatabase" localSheetId="35" hidden="1">'高难关卡Drop引用&amp;Drop配置'!$A$4:$Q$94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<sst xmlns="http://schemas.openxmlformats.org/spreadsheetml/2006/main" count="11613" uniqueCount="2749">
  <si>
    <t>前7天钻石与抽卡券投放统计</t>
  </si>
  <si>
    <t>口径：统计新手前7天可获得的钻石和抽卡券；抽卡券钻石等价按150钻石/张。</t>
  </si>
  <si>
    <t>进度假设：Day7普通主线4-15、高难2-4章、无限挑战30000分、爬塔40层、竞技场1600分、大秘境7层、通行证约7级。</t>
  </si>
  <si>
    <t>未纳入：商店兑换/购买消耗、竞技场赛季结算、公会随机宝箱频次、大秘境排行/积分奖励等缺少明确前7天次数的内容。</t>
  </si>
  <si>
    <t>玩法</t>
  </si>
  <si>
    <t>钻石</t>
  </si>
  <si>
    <t>角色抽卡券普通</t>
  </si>
  <si>
    <t>专武抽卡券普通</t>
  </si>
  <si>
    <t>角色抽卡券限时</t>
  </si>
  <si>
    <t>专武抽卡券限时</t>
  </si>
  <si>
    <t>抽卡券合计</t>
  </si>
  <si>
    <t>钻石等价合计</t>
  </si>
  <si>
    <t>付费额外等价</t>
  </si>
  <si>
    <t>备注</t>
  </si>
  <si>
    <t>7日任务</t>
  </si>
  <si>
    <t>主线副本</t>
  </si>
  <si>
    <t>任务</t>
  </si>
  <si>
    <t>大秘境</t>
  </si>
  <si>
    <t>无限挑战</t>
  </si>
  <si>
    <t>爬塔</t>
  </si>
  <si>
    <t>竞技场</t>
  </si>
  <si>
    <t>签到</t>
  </si>
  <si>
    <t>通行证</t>
  </si>
  <si>
    <t>高难主线</t>
  </si>
  <si>
    <t>免费口径合计</t>
  </si>
  <si>
    <t>口径/模块</t>
  </si>
  <si>
    <t>来源页签</t>
  </si>
  <si>
    <t>来源位置</t>
  </si>
  <si>
    <t>原始道具</t>
  </si>
  <si>
    <t>倍数/次数</t>
  </si>
  <si>
    <t>统计道具</t>
  </si>
  <si>
    <t>前7天数量</t>
  </si>
  <si>
    <t>钻石等价</t>
  </si>
  <si>
    <t>计入免费口径</t>
  </si>
  <si>
    <t>任务奖励</t>
  </si>
  <si>
    <t>H16/I16</t>
  </si>
  <si>
    <t>是</t>
  </si>
  <si>
    <t>Day1-Day7全部任务</t>
  </si>
  <si>
    <t>H25/I25</t>
  </si>
  <si>
    <t>H35/I35</t>
  </si>
  <si>
    <t>H45/I45</t>
  </si>
  <si>
    <t>H55/I55</t>
  </si>
  <si>
    <t>H65/I65</t>
  </si>
  <si>
    <t>H75/I75</t>
  </si>
  <si>
    <t>阶段奖励</t>
  </si>
  <si>
    <t>B91/C91</t>
  </si>
  <si>
    <t>按560积分可领取</t>
  </si>
  <si>
    <t>B92/C92</t>
  </si>
  <si>
    <t>B93/C93</t>
  </si>
  <si>
    <t>B94/C94</t>
  </si>
  <si>
    <t>B96/C96</t>
  </si>
  <si>
    <t>D91/E91</t>
  </si>
  <si>
    <t>D92/E92</t>
  </si>
  <si>
    <t>D93/E93</t>
  </si>
  <si>
    <t>D94/E94</t>
  </si>
  <si>
    <t>D96/E96</t>
  </si>
  <si>
    <t>首周可达一次性奖励</t>
  </si>
  <si>
    <t>AC10/AD10</t>
  </si>
  <si>
    <t>Day7到普通主线4-15</t>
  </si>
  <si>
    <t>AC11/AD11</t>
  </si>
  <si>
    <t>AC12/AD12</t>
  </si>
  <si>
    <t>AC13/AD13</t>
  </si>
  <si>
    <t>AC14/AD14</t>
  </si>
  <si>
    <t>AC15/AD15</t>
  </si>
  <si>
    <t>AC16/AD16</t>
  </si>
  <si>
    <t>AC17/AD17</t>
  </si>
  <si>
    <t>AC18/AD18</t>
  </si>
  <si>
    <t>AC19/AD19</t>
  </si>
  <si>
    <t>AC20/AD20</t>
  </si>
  <si>
    <t>AC21/AD21</t>
  </si>
  <si>
    <t>AC22/AD22</t>
  </si>
  <si>
    <t>AC23/AD23</t>
  </si>
  <si>
    <t>AC24/AD24</t>
  </si>
  <si>
    <t>AC25/AD25</t>
  </si>
  <si>
    <t>AC26/AD26</t>
  </si>
  <si>
    <t>AC27/AD27</t>
  </si>
  <si>
    <t>AC28/AD28</t>
  </si>
  <si>
    <t>AC29/AD29</t>
  </si>
  <si>
    <t>AC30/AD30</t>
  </si>
  <si>
    <t>AC6/AD6</t>
  </si>
  <si>
    <t>AC7/AD7</t>
  </si>
  <si>
    <t>AC8/AD8</t>
  </si>
  <si>
    <t>AC9/AD9</t>
  </si>
  <si>
    <t>AG12/AH12</t>
  </si>
  <si>
    <t>AG17/AH17</t>
  </si>
  <si>
    <t>AG18/AH18</t>
  </si>
  <si>
    <t>AG23/AH23</t>
  </si>
  <si>
    <t>AG24/AH24</t>
  </si>
  <si>
    <t>AG29/AH29</t>
  </si>
  <si>
    <t>AG30/AH30</t>
  </si>
  <si>
    <t>AG8/AH8</t>
  </si>
  <si>
    <t>D10/E10</t>
  </si>
  <si>
    <t>D11/E11</t>
  </si>
  <si>
    <t>D12/E12</t>
  </si>
  <si>
    <t>D13/E13</t>
  </si>
  <si>
    <t>D14/E14</t>
  </si>
  <si>
    <t>D15/E15</t>
  </si>
  <si>
    <t>D16/E16</t>
  </si>
  <si>
    <t>D17/E17</t>
  </si>
  <si>
    <t>D18/E18</t>
  </si>
  <si>
    <t>D19/E19</t>
  </si>
  <si>
    <t>D20/E20</t>
  </si>
  <si>
    <t>D21/E21</t>
  </si>
  <si>
    <t>D22/E22</t>
  </si>
  <si>
    <t>D23/E23</t>
  </si>
  <si>
    <t>D24/E24</t>
  </si>
  <si>
    <t>D25/E25</t>
  </si>
  <si>
    <t>D26/E26</t>
  </si>
  <si>
    <t>D27/E27</t>
  </si>
  <si>
    <t>D28/E28</t>
  </si>
  <si>
    <t>D29/E29</t>
  </si>
  <si>
    <t>D30/E30</t>
  </si>
  <si>
    <t>D31/E31</t>
  </si>
  <si>
    <t>D32/E32</t>
  </si>
  <si>
    <t>D33/E33</t>
  </si>
  <si>
    <t>D34/E34</t>
  </si>
  <si>
    <t>D35/E35</t>
  </si>
  <si>
    <t>D36/E36</t>
  </si>
  <si>
    <t>D37/E37</t>
  </si>
  <si>
    <t>D38/E38</t>
  </si>
  <si>
    <t>D39/E39</t>
  </si>
  <si>
    <t>D40/E40</t>
  </si>
  <si>
    <t>D41/E41</t>
  </si>
  <si>
    <t>D42/E42</t>
  </si>
  <si>
    <t>D43/E43</t>
  </si>
  <si>
    <t>D44/E44</t>
  </si>
  <si>
    <t>D45/E45</t>
  </si>
  <si>
    <t>D46/E46</t>
  </si>
  <si>
    <t>D47/E47</t>
  </si>
  <si>
    <t>D48/E48</t>
  </si>
  <si>
    <t>D49/E49</t>
  </si>
  <si>
    <t>D50/E50</t>
  </si>
  <si>
    <t>D51/E51</t>
  </si>
  <si>
    <t>D52/E52</t>
  </si>
  <si>
    <t>D53/E53</t>
  </si>
  <si>
    <t>D54/E54</t>
  </si>
  <si>
    <t>D55/E55</t>
  </si>
  <si>
    <t>D56/E56</t>
  </si>
  <si>
    <t>D57/E57</t>
  </si>
  <si>
    <t>D58/E58</t>
  </si>
  <si>
    <t>D59/E59</t>
  </si>
  <si>
    <t>D6/E6</t>
  </si>
  <si>
    <t>D60/E60</t>
  </si>
  <si>
    <t>D61/E61</t>
  </si>
  <si>
    <t>D62/E62</t>
  </si>
  <si>
    <t>D63/E63</t>
  </si>
  <si>
    <t>D64/E64</t>
  </si>
  <si>
    <t>D65/E65</t>
  </si>
  <si>
    <t>D7/E7</t>
  </si>
  <si>
    <t>D8/E8</t>
  </si>
  <si>
    <t>D9/E9</t>
  </si>
  <si>
    <t>N11/O11</t>
  </si>
  <si>
    <t>每周任务箱子</t>
  </si>
  <si>
    <t>首周完成一轮</t>
  </si>
  <si>
    <t>每日任务</t>
  </si>
  <si>
    <t>H7/I7</t>
  </si>
  <si>
    <t>每日任务奖励*7</t>
  </si>
  <si>
    <t>H9/I9</t>
  </si>
  <si>
    <t>阶段任务</t>
  </si>
  <si>
    <t>C42/D42</t>
  </si>
  <si>
    <t>按Day7推进到4-15</t>
  </si>
  <si>
    <t>C48/D48</t>
  </si>
  <si>
    <t>C56/D56</t>
  </si>
  <si>
    <t>C64/D64</t>
  </si>
  <si>
    <t>C65/D65</t>
  </si>
  <si>
    <t>F42/G42</t>
  </si>
  <si>
    <t>F43/G43</t>
  </si>
  <si>
    <t>F46/G46</t>
  </si>
  <si>
    <t>F48/G48</t>
  </si>
  <si>
    <t>F49/G49</t>
  </si>
  <si>
    <t>F50/G50</t>
  </si>
  <si>
    <t>F54/G54</t>
  </si>
  <si>
    <t>F56/G56</t>
  </si>
  <si>
    <t>F57/G57</t>
  </si>
  <si>
    <t>F58/G58</t>
  </si>
  <si>
    <t>F62/G62</t>
  </si>
  <si>
    <t>F64/G64</t>
  </si>
  <si>
    <t>F65/G65</t>
  </si>
  <si>
    <t>F66/G66</t>
  </si>
  <si>
    <t>F70/G70</t>
  </si>
  <si>
    <t>每周保底奖励</t>
  </si>
  <si>
    <t>M10/N10</t>
  </si>
  <si>
    <t>Day7目标7层</t>
  </si>
  <si>
    <t>M11/N11</t>
  </si>
  <si>
    <t>M12/N12</t>
  </si>
  <si>
    <t>M13/N13</t>
  </si>
  <si>
    <t>M14/N14</t>
  </si>
  <si>
    <t>M8/N8</t>
  </si>
  <si>
    <t>M9/N9</t>
  </si>
  <si>
    <t>O14/P14</t>
  </si>
  <si>
    <t>积分奖励</t>
  </si>
  <si>
    <t>配置页-无限挑战</t>
  </si>
  <si>
    <t>G15/I15</t>
  </si>
  <si>
    <t>Day7目标30000分</t>
  </si>
  <si>
    <t>G18/I18</t>
  </si>
  <si>
    <t>G24/I24</t>
  </si>
  <si>
    <t>G27/I27</t>
  </si>
  <si>
    <t>G33/I33</t>
  </si>
  <si>
    <t>G6/I6</t>
  </si>
  <si>
    <t>G9/I9</t>
  </si>
  <si>
    <t>通关奖励</t>
  </si>
  <si>
    <t>配置页-爬塔</t>
  </si>
  <si>
    <t>E11/G11</t>
  </si>
  <si>
    <t>Day7目标40层</t>
  </si>
  <si>
    <t>E16/G16</t>
  </si>
  <si>
    <t>E21/G21</t>
  </si>
  <si>
    <t>E26/G26</t>
  </si>
  <si>
    <t>E31/G31</t>
  </si>
  <si>
    <t>E36/G36</t>
  </si>
  <si>
    <t>E41/G41</t>
  </si>
  <si>
    <t>E6/G6</t>
  </si>
  <si>
    <t>首次达段奖励</t>
  </si>
  <si>
    <t>配置页-竞技场</t>
  </si>
  <si>
    <t>J14/L14</t>
  </si>
  <si>
    <t>Day7目标1600分；不含赛季结算</t>
  </si>
  <si>
    <t>J20/L20</t>
  </si>
  <si>
    <t>J26/L26</t>
  </si>
  <si>
    <t>J4/L4</t>
  </si>
  <si>
    <t>J8/L8</t>
  </si>
  <si>
    <t>累计签到7日</t>
  </si>
  <si>
    <t>H3/I3</t>
  </si>
  <si>
    <t>常规累计7日</t>
  </si>
  <si>
    <t>运营累计签到</t>
  </si>
  <si>
    <t>H10/I10</t>
  </si>
  <si>
    <t>运营累计1/3/7日；角色抽卡券按普通券归类</t>
  </si>
  <si>
    <t>付费奖励Lv1-7</t>
  </si>
  <si>
    <t>配置页-通行证</t>
  </si>
  <si>
    <t>L2/N2</t>
  </si>
  <si>
    <t>否</t>
  </si>
  <si>
    <t>可选付费额外，不并入免费合计</t>
  </si>
  <si>
    <t>首通奖励</t>
  </si>
  <si>
    <t>高难主线关卡</t>
  </si>
  <si>
    <t>AC10</t>
  </si>
  <si>
    <t>按Day7已通普通4-15，可挑战2-4章高难</t>
  </si>
  <si>
    <t>AC11</t>
  </si>
  <si>
    <t>AC12</t>
  </si>
  <si>
    <t>AC13</t>
  </si>
  <si>
    <t>AC14</t>
  </si>
  <si>
    <t>AC15</t>
  </si>
  <si>
    <t>AC16</t>
  </si>
  <si>
    <t>AC17</t>
  </si>
  <si>
    <t>AC18</t>
  </si>
  <si>
    <t>AC19</t>
  </si>
  <si>
    <t>AC20</t>
  </si>
  <si>
    <t>AC21</t>
  </si>
  <si>
    <t>AC22</t>
  </si>
  <si>
    <t>AC8</t>
  </si>
  <si>
    <t>AC9</t>
  </si>
  <si>
    <t>星级奖励</t>
  </si>
  <si>
    <t>按Day7已通普通4-15，可挑战并完成2-4章高难星级奖励</t>
  </si>
  <si>
    <t>AG9/AH9</t>
  </si>
  <si>
    <t>AI9/AJ9</t>
  </si>
  <si>
    <t>AG10/AH10</t>
  </si>
  <si>
    <t>AI10/AJ10</t>
  </si>
  <si>
    <t>AG11/AH11</t>
  </si>
  <si>
    <t>AI12/AJ12</t>
  </si>
  <si>
    <t>AG13/AH13</t>
  </si>
  <si>
    <t>AI13/AJ13</t>
  </si>
  <si>
    <t>AG14/AH14</t>
  </si>
  <si>
    <t>AG15/AH15</t>
  </si>
  <si>
    <t>AI15/AJ15</t>
  </si>
  <si>
    <t>AG16/AH16</t>
  </si>
  <si>
    <t>AI16/AJ16</t>
  </si>
  <si>
    <t>各玩法钻石与抽卡券投放统计</t>
  </si>
  <si>
    <t>口径：统计奖励投放；排除道具定价、养成消耗、商店购买/兑换消耗。通行证付费奖励单独保留在口径列。抽卡券钻石等价按道具定价150钻石/张。</t>
  </si>
  <si>
    <t/>
  </si>
  <si>
    <t>公会</t>
  </si>
  <si>
    <t>Boss挑战</t>
  </si>
  <si>
    <t>一次性Boss首通奖励</t>
  </si>
  <si>
    <t>合计</t>
  </si>
  <si>
    <t>数量</t>
  </si>
  <si>
    <t>普通通关奖励</t>
  </si>
  <si>
    <t>配置页-主线副本</t>
  </si>
  <si>
    <t>S10/U10</t>
  </si>
  <si>
    <t>S101/U101</t>
  </si>
  <si>
    <t>S105/U105</t>
  </si>
  <si>
    <t>S109/U109</t>
  </si>
  <si>
    <t>S113/U113</t>
  </si>
  <si>
    <t>S117/U117</t>
  </si>
  <si>
    <t>S121/U121</t>
  </si>
  <si>
    <t>S125/U125</t>
  </si>
  <si>
    <t>S129/U129</t>
  </si>
  <si>
    <t>S13/U13</t>
  </si>
  <si>
    <t>S133/U133</t>
  </si>
  <si>
    <t>S137/U137</t>
  </si>
  <si>
    <t>S141/U141</t>
  </si>
  <si>
    <t>S145/U145</t>
  </si>
  <si>
    <t>S149/U149</t>
  </si>
  <si>
    <t>S153/U153</t>
  </si>
  <si>
    <t>S157/U157</t>
  </si>
  <si>
    <t>S161/U161</t>
  </si>
  <si>
    <t>S165/U165</t>
  </si>
  <si>
    <t>S169/U169</t>
  </si>
  <si>
    <t>S17/U17</t>
  </si>
  <si>
    <t>S173/U173</t>
  </si>
  <si>
    <t>S177/U177</t>
  </si>
  <si>
    <t>S181/U181</t>
  </si>
  <si>
    <t>S185/U185</t>
  </si>
  <si>
    <t>S189/U189</t>
  </si>
  <si>
    <t>S193/U193</t>
  </si>
  <si>
    <t>S197/U197</t>
  </si>
  <si>
    <t>S201/U201</t>
  </si>
  <si>
    <t>S205/U205</t>
  </si>
  <si>
    <t>S209/U209</t>
  </si>
  <si>
    <t>S21/U21</t>
  </si>
  <si>
    <t>S213/U213</t>
  </si>
  <si>
    <t>S217/U217</t>
  </si>
  <si>
    <t>S221/U221</t>
  </si>
  <si>
    <t>S225/U225</t>
  </si>
  <si>
    <t>S25/U25</t>
  </si>
  <si>
    <t>S29/U29</t>
  </si>
  <si>
    <t>S33/U33</t>
  </si>
  <si>
    <t>S37/U37</t>
  </si>
  <si>
    <t>S4/U4</t>
  </si>
  <si>
    <t>S40/U40</t>
  </si>
  <si>
    <t>S43/U43</t>
  </si>
  <si>
    <t>S46/U46</t>
  </si>
  <si>
    <t>S49/U49</t>
  </si>
  <si>
    <t>S52/U52</t>
  </si>
  <si>
    <t>S55/U55</t>
  </si>
  <si>
    <t>S59/U59</t>
  </si>
  <si>
    <t>S63/U63</t>
  </si>
  <si>
    <t>S67/U67</t>
  </si>
  <si>
    <t>S7/U7</t>
  </si>
  <si>
    <t>S71/U71</t>
  </si>
  <si>
    <t>S75/U75</t>
  </si>
  <si>
    <t>S79/U79</t>
  </si>
  <si>
    <t>S82/U82</t>
  </si>
  <si>
    <t>S85/U85</t>
  </si>
  <si>
    <t>S88/U88</t>
  </si>
  <si>
    <t>S91/U91</t>
  </si>
  <si>
    <t>S94/U94</t>
  </si>
  <si>
    <t>S97/U97</t>
  </si>
  <si>
    <t>章节/节点奖励</t>
  </si>
  <si>
    <t>O16/Q16</t>
  </si>
  <si>
    <t>O19/Q19</t>
  </si>
  <si>
    <t>O22/Q22</t>
  </si>
  <si>
    <t>O24/Q24</t>
  </si>
  <si>
    <t>O25/Q25</t>
  </si>
  <si>
    <t>O28/Q28</t>
  </si>
  <si>
    <t>O31/Q31</t>
  </si>
  <si>
    <t>O34/Q34</t>
  </si>
  <si>
    <t>O36/Q36</t>
  </si>
  <si>
    <t>O37/Q37</t>
  </si>
  <si>
    <t>O40/Q40</t>
  </si>
  <si>
    <t>O43/Q43</t>
  </si>
  <si>
    <t>O46/Q46</t>
  </si>
  <si>
    <t>O49/Q49</t>
  </si>
  <si>
    <t>O51/Q51</t>
  </si>
  <si>
    <t>O52/Q52</t>
  </si>
  <si>
    <t>O54/Q54</t>
  </si>
  <si>
    <t>O55/Q55</t>
  </si>
  <si>
    <t>O58/Q58</t>
  </si>
  <si>
    <t>O61/Q61</t>
  </si>
  <si>
    <t>O64/Q64</t>
  </si>
  <si>
    <t>O67/Q67</t>
  </si>
  <si>
    <t>O69/Q69</t>
  </si>
  <si>
    <t>O70/Q70</t>
  </si>
  <si>
    <t>O72/Q72</t>
  </si>
  <si>
    <t>O73/Q73</t>
  </si>
  <si>
    <t>O76/Q76</t>
  </si>
  <si>
    <t>O79/Q79</t>
  </si>
  <si>
    <t>O82/Q82</t>
  </si>
  <si>
    <t>O85/Q85</t>
  </si>
  <si>
    <t>O87/Q87</t>
  </si>
  <si>
    <t>O88/Q88</t>
  </si>
  <si>
    <t>O90/Q90</t>
  </si>
  <si>
    <t>成就/阶段任务</t>
  </si>
  <si>
    <t>公会宝箱</t>
  </si>
  <si>
    <t>公会数值</t>
  </si>
  <si>
    <t>C60/D60</t>
  </si>
  <si>
    <t>F60/G60</t>
  </si>
  <si>
    <t>I59/J59</t>
  </si>
  <si>
    <t>I60/J60</t>
  </si>
  <si>
    <t>M15/N15</t>
  </si>
  <si>
    <t>M16/N16</t>
  </si>
  <si>
    <t>M17/N17</t>
  </si>
  <si>
    <t>M18/N18</t>
  </si>
  <si>
    <t>M19/N19</t>
  </si>
  <si>
    <t>M20/N20</t>
  </si>
  <si>
    <t>M21/N21</t>
  </si>
  <si>
    <t>M22/N22</t>
  </si>
  <si>
    <t>M23/N23</t>
  </si>
  <si>
    <t>M24/N24</t>
  </si>
  <si>
    <t>M25/N25</t>
  </si>
  <si>
    <t>M26/N26</t>
  </si>
  <si>
    <t>M27/N27</t>
  </si>
  <si>
    <t>M28/N28</t>
  </si>
  <si>
    <t>M29/N29</t>
  </si>
  <si>
    <t>M30/N30</t>
  </si>
  <si>
    <t>M31/N31</t>
  </si>
  <si>
    <t>M32/N32</t>
  </si>
  <si>
    <t>O15/P15</t>
  </si>
  <si>
    <t>O16/P16</t>
  </si>
  <si>
    <t>O17/P17</t>
  </si>
  <si>
    <t>O18/P18</t>
  </si>
  <si>
    <t>O19/P19</t>
  </si>
  <si>
    <t>O20/P20</t>
  </si>
  <si>
    <t>O21/P21</t>
  </si>
  <si>
    <t>O22/P22</t>
  </si>
  <si>
    <t>O23/P23</t>
  </si>
  <si>
    <t>O24/P24</t>
  </si>
  <si>
    <t>O25/P25</t>
  </si>
  <si>
    <t>O26/P26</t>
  </si>
  <si>
    <t>O27/P27</t>
  </si>
  <si>
    <t>O28/P28</t>
  </si>
  <si>
    <t>O29/P29</t>
  </si>
  <si>
    <t>O30/P30</t>
  </si>
  <si>
    <t>O31/P31</t>
  </si>
  <si>
    <t>O32/P32</t>
  </si>
  <si>
    <t>积分/排行奖励</t>
  </si>
  <si>
    <t>L44/M44</t>
  </si>
  <si>
    <t>L46/M46</t>
  </si>
  <si>
    <t>L47/M47</t>
  </si>
  <si>
    <t>L50/M50</t>
  </si>
  <si>
    <t>L51/M51</t>
  </si>
  <si>
    <t>L52/M52</t>
  </si>
  <si>
    <t>P43/Q43</t>
  </si>
  <si>
    <t>P44/Q44</t>
  </si>
  <si>
    <t>P45/Q45</t>
  </si>
  <si>
    <t>P47/Q47</t>
  </si>
  <si>
    <t>P50/Q50</t>
  </si>
  <si>
    <t>P52/Q52</t>
  </si>
  <si>
    <t>G102/I102</t>
  </si>
  <si>
    <t>G105/I105</t>
  </si>
  <si>
    <t>G108/I108</t>
  </si>
  <si>
    <t>G111/I111</t>
  </si>
  <si>
    <t>G114/I114</t>
  </si>
  <si>
    <t>G117/I117</t>
  </si>
  <si>
    <t>G120/I120</t>
  </si>
  <si>
    <t>G123/I123</t>
  </si>
  <si>
    <t>G126/I126</t>
  </si>
  <si>
    <t>G129/I129</t>
  </si>
  <si>
    <t>G132/I132</t>
  </si>
  <si>
    <t>G135/I135</t>
  </si>
  <si>
    <t>G138/I138</t>
  </si>
  <si>
    <t>G141/I141</t>
  </si>
  <si>
    <t>G144/I144</t>
  </si>
  <si>
    <t>G147/I147</t>
  </si>
  <si>
    <t>G150/I150</t>
  </si>
  <si>
    <t>G153/I153</t>
  </si>
  <si>
    <t>G156/I156</t>
  </si>
  <si>
    <t>G159/I159</t>
  </si>
  <si>
    <t>G162/I162</t>
  </si>
  <si>
    <t>G165/I165</t>
  </si>
  <si>
    <t>G168/I168</t>
  </si>
  <si>
    <t>G171/I171</t>
  </si>
  <si>
    <t>G174/I174</t>
  </si>
  <si>
    <t>G177/I177</t>
  </si>
  <si>
    <t>G180/I180</t>
  </si>
  <si>
    <t>G183/I183</t>
  </si>
  <si>
    <t>G186/I186</t>
  </si>
  <si>
    <t>G189/I189</t>
  </si>
  <si>
    <t>G192/I192</t>
  </si>
  <si>
    <t>G195/I195</t>
  </si>
  <si>
    <t>G198/I198</t>
  </si>
  <si>
    <t>G201/I201</t>
  </si>
  <si>
    <t>G204/I204</t>
  </si>
  <si>
    <t>G207/I207</t>
  </si>
  <si>
    <t>G210/I210</t>
  </si>
  <si>
    <t>G213/I213</t>
  </si>
  <si>
    <t>G216/I216</t>
  </si>
  <si>
    <t>G219/I219</t>
  </si>
  <si>
    <t>G222/I222</t>
  </si>
  <si>
    <t>G225/I225</t>
  </si>
  <si>
    <t>G228/I228</t>
  </si>
  <si>
    <t>G231/I231</t>
  </si>
  <si>
    <t>G234/I234</t>
  </si>
  <si>
    <t>G237/I237</t>
  </si>
  <si>
    <t>G240/I240</t>
  </si>
  <si>
    <t>G243/I243</t>
  </si>
  <si>
    <t>G246/I246</t>
  </si>
  <si>
    <t>G249/I249</t>
  </si>
  <si>
    <t>G252/I252</t>
  </si>
  <si>
    <t>G255/I255</t>
  </si>
  <si>
    <t>G258/I258</t>
  </si>
  <si>
    <t>G261/I261</t>
  </si>
  <si>
    <t>G264/I264</t>
  </si>
  <si>
    <t>G267/I267</t>
  </si>
  <si>
    <t>G270/I270</t>
  </si>
  <si>
    <t>G273/I273</t>
  </si>
  <si>
    <t>G276/I276</t>
  </si>
  <si>
    <t>G279/I279</t>
  </si>
  <si>
    <t>G282/I282</t>
  </si>
  <si>
    <t>G285/I285</t>
  </si>
  <si>
    <t>G288/I288</t>
  </si>
  <si>
    <t>G291/I291</t>
  </si>
  <si>
    <t>G294/I294</t>
  </si>
  <si>
    <t>G297/I297</t>
  </si>
  <si>
    <t>G300/I300</t>
  </si>
  <si>
    <t>G36/I36</t>
  </si>
  <si>
    <t>G42/I42</t>
  </si>
  <si>
    <t>G45/I45</t>
  </si>
  <si>
    <t>G51/I51</t>
  </si>
  <si>
    <t>G54/I54</t>
  </si>
  <si>
    <t>G57/I57</t>
  </si>
  <si>
    <t>G60/I60</t>
  </si>
  <si>
    <t>G63/I63</t>
  </si>
  <si>
    <t>G66/I66</t>
  </si>
  <si>
    <t>G69/I69</t>
  </si>
  <si>
    <t>G72/I72</t>
  </si>
  <si>
    <t>G78/I78</t>
  </si>
  <si>
    <t>G81/I81</t>
  </si>
  <si>
    <t>G84/I84</t>
  </si>
  <si>
    <t>G87/I87</t>
  </si>
  <si>
    <t>G90/I90</t>
  </si>
  <si>
    <t>G96/I96</t>
  </si>
  <si>
    <t>G99/I99</t>
  </si>
  <si>
    <t>E101/G101</t>
  </si>
  <si>
    <t>E46/G46</t>
  </si>
  <si>
    <t>E51/G51</t>
  </si>
  <si>
    <t>E56/G56</t>
  </si>
  <si>
    <t>E61/G61</t>
  </si>
  <si>
    <t>E66/G66</t>
  </si>
  <si>
    <t>E71/G71</t>
  </si>
  <si>
    <t>E76/G76</t>
  </si>
  <si>
    <t>E81/G81</t>
  </si>
  <si>
    <t>E86/G86</t>
  </si>
  <si>
    <t>E91/G91</t>
  </si>
  <si>
    <t>E96/G96</t>
  </si>
  <si>
    <t>每日胜场</t>
  </si>
  <si>
    <t>F6/H6</t>
  </si>
  <si>
    <t>F9/H9</t>
  </si>
  <si>
    <t>赛季结算</t>
  </si>
  <si>
    <t>N10/P10</t>
  </si>
  <si>
    <t>N12/P12</t>
  </si>
  <si>
    <t>N14/P14</t>
  </si>
  <si>
    <t>N16/P16</t>
  </si>
  <si>
    <t>N18/P18</t>
  </si>
  <si>
    <t>N2/P2</t>
  </si>
  <si>
    <t>N20/P20</t>
  </si>
  <si>
    <t>N22/P22</t>
  </si>
  <si>
    <t>N24/P24</t>
  </si>
  <si>
    <t>N26/P26</t>
  </si>
  <si>
    <t>N28/P28</t>
  </si>
  <si>
    <t>N30/P30</t>
  </si>
  <si>
    <t>N32/P32</t>
  </si>
  <si>
    <t>N34/P34</t>
  </si>
  <si>
    <t>N36/P36</t>
  </si>
  <si>
    <t>N38/P38</t>
  </si>
  <si>
    <t>N4/P4</t>
  </si>
  <si>
    <t>N40/P40</t>
  </si>
  <si>
    <t>N42/P42</t>
  </si>
  <si>
    <t>N44/P44</t>
  </si>
  <si>
    <t>N6/P6</t>
  </si>
  <si>
    <t>N8/P8</t>
  </si>
  <si>
    <t>首次达段</t>
  </si>
  <si>
    <t>J32/L32</t>
  </si>
  <si>
    <t>J38/L38</t>
  </si>
  <si>
    <t>J42/L42</t>
  </si>
  <si>
    <t>累计签到</t>
  </si>
  <si>
    <t>角色抽卡券按普通券归类</t>
  </si>
  <si>
    <t>H13/I13</t>
  </si>
  <si>
    <t>H4/I4</t>
  </si>
  <si>
    <t>H5/I5</t>
  </si>
  <si>
    <t>付费奖励</t>
  </si>
  <si>
    <t>L12/N12</t>
  </si>
  <si>
    <t>L13/N13</t>
  </si>
  <si>
    <t>L24/N24</t>
  </si>
  <si>
    <t>L25/N25</t>
  </si>
  <si>
    <t>L36/N36</t>
  </si>
  <si>
    <t>L37/N37</t>
  </si>
  <si>
    <t>L48/N48</t>
  </si>
  <si>
    <t>L49/N49</t>
  </si>
  <si>
    <t>L60/N60</t>
  </si>
  <si>
    <t>L61/N61</t>
  </si>
  <si>
    <t>L72/N72</t>
  </si>
  <si>
    <t>免费奖励</t>
  </si>
  <si>
    <t>H11/J11</t>
  </si>
  <si>
    <t>H21/J21</t>
  </si>
  <si>
    <t>H31/J31</t>
  </si>
  <si>
    <t>H41/J41</t>
  </si>
  <si>
    <t>H51/J51</t>
  </si>
  <si>
    <t>H61/J61</t>
  </si>
  <si>
    <t>首通钻石奖励</t>
  </si>
  <si>
    <t>世界boss</t>
  </si>
  <si>
    <t>一次性Boss首通（仅钻石/抽卡券口径）</t>
  </si>
  <si>
    <t>G10/H10</t>
  </si>
  <si>
    <t>G15/H15</t>
  </si>
  <si>
    <t>G20/H20</t>
  </si>
  <si>
    <t>G25/H25</t>
  </si>
  <si>
    <t>G30/H30</t>
  </si>
  <si>
    <t>G35/H35</t>
  </si>
  <si>
    <t>G40/H40</t>
  </si>
  <si>
    <t>G45/H45</t>
  </si>
  <si>
    <t>G50/H50</t>
  </si>
  <si>
    <t>G55/H55</t>
  </si>
  <si>
    <t>困难星级奖励：每章5/10/15星</t>
  </si>
  <si>
    <t>道具备注</t>
  </si>
  <si>
    <t>道具</t>
  </si>
  <si>
    <t>道具id</t>
  </si>
  <si>
    <t>道具定价(rmb)</t>
  </si>
  <si>
    <t>道具定价(钻石)</t>
  </si>
  <si>
    <t>外观道具</t>
  </si>
  <si>
    <t>无</t>
  </si>
  <si>
    <t>头像框</t>
  </si>
  <si>
    <t>头像</t>
  </si>
  <si>
    <t>时装</t>
  </si>
  <si>
    <t>通用资源</t>
  </si>
  <si>
    <t>体力</t>
  </si>
  <si>
    <t>体力回复6分钟/1点，一天240点</t>
  </si>
  <si>
    <t>金币</t>
  </si>
  <si>
    <t>玩家经验</t>
  </si>
  <si>
    <t>抽卡大代币</t>
  </si>
  <si>
    <t>抽卡小代币</t>
  </si>
  <si>
    <t>爬塔代币</t>
  </si>
  <si>
    <t>体力药</t>
  </si>
  <si>
    <t>竞技场代币</t>
  </si>
  <si>
    <t>公会个人代币</t>
  </si>
  <si>
    <t>公会集体代币</t>
  </si>
  <si>
    <t>角色升级升阶</t>
  </si>
  <si>
    <t>角色经验</t>
  </si>
  <si>
    <t>角色经验低500</t>
  </si>
  <si>
    <t>角色经验中2000</t>
  </si>
  <si>
    <t>角色经验高10000</t>
  </si>
  <si>
    <t>角色万能升阶材料</t>
  </si>
  <si>
    <t>可能根据职业
分成多个类型</t>
  </si>
  <si>
    <t>角色升阶材料低</t>
  </si>
  <si>
    <t>角色升阶材料中</t>
  </si>
  <si>
    <t>角色升阶材料高</t>
  </si>
  <si>
    <t>角色升阶材料低攻击</t>
  </si>
  <si>
    <t>角色升阶材料中攻击</t>
  </si>
  <si>
    <t>角色升阶材料高攻击</t>
  </si>
  <si>
    <t>角色升阶材料低防御</t>
  </si>
  <si>
    <t>角色升阶材料中防御</t>
  </si>
  <si>
    <t>角色升阶材料高防御</t>
  </si>
  <si>
    <t>角色升阶材料低辅助</t>
  </si>
  <si>
    <t>角色升阶材料中辅助</t>
  </si>
  <si>
    <t>角色升阶材料高辅助</t>
  </si>
  <si>
    <t>SSR角色</t>
  </si>
  <si>
    <t>SR角色</t>
  </si>
  <si>
    <t>R角色</t>
  </si>
  <si>
    <t>星盘</t>
  </si>
  <si>
    <t>星盘低级道具自选</t>
  </si>
  <si>
    <t>星盘中级道具自选</t>
  </si>
  <si>
    <t>星盘高级道具自选</t>
  </si>
  <si>
    <t>星盘顶级道具自选</t>
  </si>
  <si>
    <t>星盘低级道具</t>
  </si>
  <si>
    <t>星盘中级道具</t>
  </si>
  <si>
    <t>星盘高级道具</t>
  </si>
  <si>
    <t>星盘顶级道具</t>
  </si>
  <si>
    <t>星盘低级道具攻击1</t>
  </si>
  <si>
    <t>星盘中级道具攻击1</t>
  </si>
  <si>
    <t>星盘高级道具攻击1</t>
  </si>
  <si>
    <t>星盘顶级道具攻击1</t>
  </si>
  <si>
    <t>星盘低级道具攻击2</t>
  </si>
  <si>
    <t>星盘中级道具攻击2</t>
  </si>
  <si>
    <t>星盘高级道具攻击2</t>
  </si>
  <si>
    <t>星盘顶级道具攻击2</t>
  </si>
  <si>
    <t>星盘低级道具防御1</t>
  </si>
  <si>
    <t>星盘中级道具防御1</t>
  </si>
  <si>
    <t>星盘高级道具防御1</t>
  </si>
  <si>
    <t>星盘顶级道具防御1</t>
  </si>
  <si>
    <t>星盘低级道具防御2</t>
  </si>
  <si>
    <t>星盘中级道具防御2</t>
  </si>
  <si>
    <t>星盘高级道具防御2</t>
  </si>
  <si>
    <t>星盘顶级道具防御2</t>
  </si>
  <si>
    <t>星盘低级道具辅助1</t>
  </si>
  <si>
    <t>星盘中级道具辅助1</t>
  </si>
  <si>
    <t>星盘高级道具辅助1</t>
  </si>
  <si>
    <t>星盘顶级道具辅助1</t>
  </si>
  <si>
    <t>星盘低级道具辅助2</t>
  </si>
  <si>
    <t>星盘中级道具辅助2</t>
  </si>
  <si>
    <t>星盘高级道具辅助2</t>
  </si>
  <si>
    <t>星盘顶级道具辅助2</t>
  </si>
  <si>
    <t>额外星盘点</t>
  </si>
  <si>
    <t>专武</t>
  </si>
  <si>
    <t>专武经验</t>
  </si>
  <si>
    <t>专武经验低1000</t>
  </si>
  <si>
    <t>专武经验中4000</t>
  </si>
  <si>
    <t>专武经验高20000</t>
  </si>
  <si>
    <t>专武万能突破材料</t>
  </si>
  <si>
    <t>专武突破材料低</t>
  </si>
  <si>
    <t>专武突破材料中</t>
  </si>
  <si>
    <t>专武突破材料高</t>
  </si>
  <si>
    <t>专武突破材料低攻击</t>
  </si>
  <si>
    <t>专武突破材料中攻击</t>
  </si>
  <si>
    <t>专武突破材料高攻击</t>
  </si>
  <si>
    <t>专武突破材料低防御</t>
  </si>
  <si>
    <t>专武突破材料中防御</t>
  </si>
  <si>
    <t>专武突破材料高防御</t>
  </si>
  <si>
    <t>专武突破材料低辅助</t>
  </si>
  <si>
    <t>专武突破材料中辅助</t>
  </si>
  <si>
    <t>专武突破材料高辅助</t>
  </si>
  <si>
    <t>SSR专武</t>
  </si>
  <si>
    <t>SR专武</t>
  </si>
  <si>
    <t>R专武</t>
  </si>
  <si>
    <t>共鸣（已经废弃）</t>
  </si>
  <si>
    <t>装备经验</t>
  </si>
  <si>
    <t>SSR装备</t>
  </si>
  <si>
    <t>SSR装备随机</t>
  </si>
  <si>
    <t>SSR装备自选</t>
  </si>
  <si>
    <t>SR装备</t>
  </si>
  <si>
    <t>R装备</t>
  </si>
  <si>
    <t>SSR装备突破材料</t>
  </si>
  <si>
    <t>SR装备突破材料</t>
  </si>
  <si>
    <t>R装备突破材料</t>
  </si>
  <si>
    <t>收容物高级材料</t>
  </si>
  <si>
    <t>收容物低级材料</t>
  </si>
  <si>
    <t>旅券</t>
  </si>
  <si>
    <t>旅券经验</t>
  </si>
  <si>
    <t>红旅券</t>
  </si>
  <si>
    <t>金旅券</t>
  </si>
  <si>
    <t>紫旅券</t>
  </si>
  <si>
    <t>蓝旅券</t>
  </si>
  <si>
    <t>主角装备</t>
  </si>
  <si>
    <t>主角装备蓝色</t>
  </si>
  <si>
    <t>主角装备紫色</t>
  </si>
  <si>
    <t>主角装备金色</t>
  </si>
  <si>
    <t>主角装备红色</t>
  </si>
  <si>
    <t>蓝色装备打孔器</t>
  </si>
  <si>
    <t>紫色装备打孔器</t>
  </si>
  <si>
    <t>金色装备打孔器</t>
  </si>
  <si>
    <t>红色装备打孔器</t>
  </si>
  <si>
    <t>蓝色鉴定道具</t>
  </si>
  <si>
    <t>紫色鉴定道具</t>
  </si>
  <si>
    <t>金色鉴定道具</t>
  </si>
  <si>
    <t>红色鉴定道具</t>
  </si>
  <si>
    <t>1级宝石</t>
  </si>
  <si>
    <t>2级宝石</t>
  </si>
  <si>
    <t>3级宝石</t>
  </si>
  <si>
    <t>4级宝石</t>
  </si>
  <si>
    <t>5级宝石</t>
  </si>
  <si>
    <t>6级宝石</t>
  </si>
  <si>
    <t>7级宝石</t>
  </si>
  <si>
    <t>1级铭文</t>
  </si>
  <si>
    <t>2级铭文</t>
  </si>
  <si>
    <t>3级铭文</t>
  </si>
  <si>
    <t>主角装备经验</t>
  </si>
  <si>
    <t>史诗装备兑换材料</t>
  </si>
  <si>
    <t>传说装备兑换材料</t>
  </si>
  <si>
    <t>映射之匙</t>
  </si>
  <si>
    <t>PVP炮台</t>
  </si>
  <si>
    <t>S炮台</t>
  </si>
  <si>
    <t>A炮台</t>
  </si>
  <si>
    <t>B炮台</t>
  </si>
  <si>
    <t>炮台升级小材料</t>
  </si>
  <si>
    <t>炮台升级大材料</t>
  </si>
  <si>
    <t>角色掉落池</t>
  </si>
  <si>
    <t>专武掉落池</t>
  </si>
  <si>
    <t>映射装备掉落池</t>
  </si>
  <si>
    <t>旅券掉落池</t>
  </si>
  <si>
    <t>武将名称</t>
  </si>
  <si>
    <t>稀有度</t>
  </si>
  <si>
    <t>武将id</t>
  </si>
  <si>
    <t>映射装备id</t>
  </si>
  <si>
    <t>映射装备名称</t>
  </si>
  <si>
    <t>映射装备品质</t>
  </si>
  <si>
    <t>旅券id</t>
  </si>
  <si>
    <t>旅券套装id</t>
  </si>
  <si>
    <t>旅券名称</t>
  </si>
  <si>
    <t>旅券部位</t>
  </si>
  <si>
    <t>旅券品质</t>
  </si>
  <si>
    <t>塔拉夏</t>
  </si>
  <si>
    <t>S</t>
  </si>
  <si>
    <t>秩序崩解杖</t>
  </si>
  <si>
    <t>初级魂息喷射器</t>
  </si>
  <si>
    <t>蓝</t>
  </si>
  <si>
    <t>追逐天性</t>
  </si>
  <si>
    <t>陈单单</t>
  </si>
  <si>
    <t>热寂宣告者</t>
  </si>
  <si>
    <t>中级魂息喷射器</t>
  </si>
  <si>
    <t>紫</t>
  </si>
  <si>
    <t>莉莉娅</t>
  </si>
  <si>
    <t>永恒观测甲</t>
  </si>
  <si>
    <t>高级魂息喷射器</t>
  </si>
  <si>
    <t>金</t>
  </si>
  <si>
    <t>萨萨莉安</t>
  </si>
  <si>
    <t>纯净界域盾</t>
  </si>
  <si>
    <t>初级纳米逆变器</t>
  </si>
  <si>
    <t>伊戈尔</t>
  </si>
  <si>
    <t>命运纺锤</t>
  </si>
  <si>
    <t>中级纳米逆变器</t>
  </si>
  <si>
    <t>约瑟夫</t>
  </si>
  <si>
    <t>时光重逢契</t>
  </si>
  <si>
    <t>高级纳米逆变器</t>
  </si>
  <si>
    <t>夏提拉</t>
  </si>
  <si>
    <t>虚空裂界刃</t>
  </si>
  <si>
    <t>A</t>
  </si>
  <si>
    <t>初级风暴射线切割器</t>
  </si>
  <si>
    <t>雷诺</t>
  </si>
  <si>
    <t>永寂追猎弓</t>
  </si>
  <si>
    <t>中级风暴射线切割器</t>
  </si>
  <si>
    <t>瞳</t>
  </si>
  <si>
    <t>偏折棱光盾</t>
  </si>
  <si>
    <t>高级风暴射线切割器</t>
  </si>
  <si>
    <t>美第奇</t>
  </si>
  <si>
    <t>归航引路铠</t>
  </si>
  <si>
    <t>初级旋转机枪</t>
  </si>
  <si>
    <t>零号</t>
  </si>
  <si>
    <t>群星导引图</t>
  </si>
  <si>
    <t>中级旋转机枪</t>
  </si>
  <si>
    <t>薇莱特</t>
  </si>
  <si>
    <t>灵脉同调仪</t>
  </si>
  <si>
    <t>高级旋转机枪</t>
  </si>
  <si>
    <t>维达尔</t>
  </si>
  <si>
    <t>碎星直剑</t>
  </si>
  <si>
    <t>B</t>
  </si>
  <si>
    <t>初级聚变融炮</t>
  </si>
  <si>
    <t>德洛丽丝</t>
  </si>
  <si>
    <t>彗尾斩刀</t>
  </si>
  <si>
    <t>中级聚变融炮</t>
  </si>
  <si>
    <t>主角</t>
  </si>
  <si>
    <t>戍卫者壁垒</t>
  </si>
  <si>
    <t>高级聚变融炮</t>
  </si>
  <si>
    <t>追逐天性测试测试</t>
  </si>
  <si>
    <t>大暑</t>
  </si>
  <si>
    <t>不动岩心甲</t>
  </si>
  <si>
    <t>初级赤红脉冲手炮</t>
  </si>
  <si>
    <t>阿芭</t>
  </si>
  <si>
    <t>共鸣启明杖</t>
  </si>
  <si>
    <t>中级赤红脉冲手炮</t>
  </si>
  <si>
    <t>陈双双</t>
  </si>
  <si>
    <t>潮汐调和铃</t>
  </si>
  <si>
    <t>高级赤红脉冲手炮</t>
  </si>
  <si>
    <t>克莉丝汀</t>
  </si>
  <si>
    <t>初级圣光调和杖</t>
  </si>
  <si>
    <t>红</t>
  </si>
  <si>
    <t>阿莱克西娅</t>
  </si>
  <si>
    <t>中级圣光调和杖</t>
  </si>
  <si>
    <t>艾德琳</t>
  </si>
  <si>
    <t>高级圣光调和杖</t>
  </si>
  <si>
    <t>薇</t>
  </si>
  <si>
    <t>初级灾厄刻印权杖</t>
  </si>
  <si>
    <t>埃莉诺</t>
  </si>
  <si>
    <t>中级灾厄刻印权杖</t>
  </si>
  <si>
    <t>乔一</t>
  </si>
  <si>
    <t>高级灾厄刻印权杖</t>
  </si>
  <si>
    <t>塞拉菲娜</t>
  </si>
  <si>
    <t>初级虚空回响法杖</t>
  </si>
  <si>
    <t>翡冷翠郊野牧场</t>
  </si>
  <si>
    <t>桑塔</t>
  </si>
  <si>
    <t>中级虚空回响法杖</t>
  </si>
  <si>
    <t>卡斯帕</t>
  </si>
  <si>
    <t>高级虚空回响法杖</t>
  </si>
  <si>
    <t>梅梅</t>
  </si>
  <si>
    <t>初级隔热战术头盔</t>
  </si>
  <si>
    <t>马克</t>
  </si>
  <si>
    <t>中级隔热战术头盔</t>
  </si>
  <si>
    <t>卡薇</t>
  </si>
  <si>
    <t>高级隔热战术头盔</t>
  </si>
  <si>
    <t>凯兰</t>
  </si>
  <si>
    <t>初级聚合动力盔</t>
  </si>
  <si>
    <t>莫莉</t>
  </si>
  <si>
    <t>中级聚合动力盔</t>
  </si>
  <si>
    <t>桑尼</t>
  </si>
  <si>
    <t>高级聚合动力盔</t>
  </si>
  <si>
    <t>梅林</t>
  </si>
  <si>
    <t>初级共生头铠</t>
  </si>
  <si>
    <t>中级共生头铠</t>
  </si>
  <si>
    <t>高级共生头铠</t>
  </si>
  <si>
    <t>初级神经链接盔</t>
  </si>
  <si>
    <t>中级神经链接盔</t>
  </si>
  <si>
    <t>高级神经链接盔</t>
  </si>
  <si>
    <t>初级修士法帽</t>
  </si>
  <si>
    <t>中级修士法帽</t>
  </si>
  <si>
    <t>高级修士法帽</t>
  </si>
  <si>
    <t>初级祷言法帽</t>
  </si>
  <si>
    <t>中级祷言法帽</t>
  </si>
  <si>
    <t>高级祷言法帽</t>
  </si>
  <si>
    <t>初级动力装甲</t>
  </si>
  <si>
    <t>中级动力装甲</t>
  </si>
  <si>
    <t>高级动力装甲</t>
  </si>
  <si>
    <t>初级纳米外骨骼</t>
  </si>
  <si>
    <t>纯白审判</t>
  </si>
  <si>
    <t>中级纳米外骨骼</t>
  </si>
  <si>
    <t>高级纳米外骨骼</t>
  </si>
  <si>
    <t>初级突击生化服</t>
  </si>
  <si>
    <t>中级突击生化服</t>
  </si>
  <si>
    <t>高级突击生化服</t>
  </si>
  <si>
    <t>初级陆战动力盔甲</t>
  </si>
  <si>
    <t>中级陆战动力盔甲</t>
  </si>
  <si>
    <t>高级陆战动力盔甲</t>
  </si>
  <si>
    <t>初级苍龙法袍</t>
  </si>
  <si>
    <t>中级苍龙法袍</t>
  </si>
  <si>
    <t>高级苍龙法袍</t>
  </si>
  <si>
    <t>初级奥金暗影法袍</t>
  </si>
  <si>
    <t>中级奥金暗影法袍</t>
  </si>
  <si>
    <t>高级奥金暗影法袍</t>
  </si>
  <si>
    <t>初级重力操控护手</t>
  </si>
  <si>
    <t>中级重力操控护手</t>
  </si>
  <si>
    <t>高级重力操控护手</t>
  </si>
  <si>
    <t>初级神经织网手甲</t>
  </si>
  <si>
    <t>中级神经织网手甲</t>
  </si>
  <si>
    <t>高级神经织网手甲</t>
  </si>
  <si>
    <t>初级传感晶钛义体</t>
  </si>
  <si>
    <t>中级传感晶钛义体</t>
  </si>
  <si>
    <t>高级传感晶钛义体</t>
  </si>
  <si>
    <t>初级液压力场手甲</t>
  </si>
  <si>
    <t>使徒的渴盼</t>
  </si>
  <si>
    <t>中级液压力场手甲</t>
  </si>
  <si>
    <t>高级液压力场手甲</t>
  </si>
  <si>
    <t>初级圣祷言手套</t>
  </si>
  <si>
    <t>中级圣祷言手套</t>
  </si>
  <si>
    <t>高级圣祷言手套</t>
  </si>
  <si>
    <t>初级秘银神恩护手</t>
  </si>
  <si>
    <t>中级秘银神恩护手</t>
  </si>
  <si>
    <t>高级秘银神恩护手</t>
  </si>
  <si>
    <t>初级皮质弹药带</t>
  </si>
  <si>
    <t>中级皮质弹药带</t>
  </si>
  <si>
    <t>高级皮质弹药带</t>
  </si>
  <si>
    <t>初级旅行者腰带</t>
  </si>
  <si>
    <t>中级旅行者腰带</t>
  </si>
  <si>
    <t>高级旅行者腰带</t>
  </si>
  <si>
    <t>初级体征监测带</t>
  </si>
  <si>
    <t>中级体征监测带</t>
  </si>
  <si>
    <t>高级体征监测带</t>
  </si>
  <si>
    <t>初级压力调节带</t>
  </si>
  <si>
    <t>中级压力调节带</t>
  </si>
  <si>
    <t>高级压力调节带</t>
  </si>
  <si>
    <t>初级灵能增幅带</t>
  </si>
  <si>
    <t>中级灵能增幅带</t>
  </si>
  <si>
    <t>高级灵能增幅带</t>
  </si>
  <si>
    <t>初级流火之心</t>
  </si>
  <si>
    <t>蔷薇宣告</t>
  </si>
  <si>
    <t>中级流火之心</t>
  </si>
  <si>
    <t>高级流火之心</t>
  </si>
  <si>
    <t>初级潜行军靴</t>
  </si>
  <si>
    <t>中级潜行军靴</t>
  </si>
  <si>
    <t>高级潜行军靴</t>
  </si>
  <si>
    <t>初级匿踪之靴</t>
  </si>
  <si>
    <t>中级匿踪之靴</t>
  </si>
  <si>
    <t>高级匿踪之靴</t>
  </si>
  <si>
    <t>初级外骨骼力靴</t>
  </si>
  <si>
    <t>中级外骨骼力靴</t>
  </si>
  <si>
    <t>高级外骨骼力靴</t>
  </si>
  <si>
    <t>初级时序漫游者</t>
  </si>
  <si>
    <t>中级时序漫游者</t>
  </si>
  <si>
    <t>高级时序漫游者</t>
  </si>
  <si>
    <t>初级超维感知靴</t>
  </si>
  <si>
    <t>中级超维感知靴</t>
  </si>
  <si>
    <t>高级超维感知靴</t>
  </si>
  <si>
    <t>初级虚空跃迁靴</t>
  </si>
  <si>
    <t>中级虚空跃迁靴</t>
  </si>
  <si>
    <t>高级虚空跃迁靴</t>
  </si>
  <si>
    <t>初级力场飞行器</t>
  </si>
  <si>
    <t>中级力场飞行器</t>
  </si>
  <si>
    <t>高级力场飞行器</t>
  </si>
  <si>
    <t>初级纳米探测器</t>
  </si>
  <si>
    <t>南方群岛的浪潮</t>
  </si>
  <si>
    <t>中级纳米探测器</t>
  </si>
  <si>
    <t>高级纳米探测器</t>
  </si>
  <si>
    <t>初级量子浮游单元</t>
  </si>
  <si>
    <t>中级量子浮游单元</t>
  </si>
  <si>
    <t>高级量子浮游单元</t>
  </si>
  <si>
    <t>初级漂浮灵匣</t>
  </si>
  <si>
    <t>中级漂浮灵匣</t>
  </si>
  <si>
    <t>高级漂浮灵匣</t>
  </si>
  <si>
    <t>初级全息干扰仪</t>
  </si>
  <si>
    <t>中级全息干扰仪</t>
  </si>
  <si>
    <t>高级全息干扰仪</t>
  </si>
  <si>
    <t>初级蜂群无人机</t>
  </si>
  <si>
    <t>中级蜂群无人机</t>
  </si>
  <si>
    <t>高级蜂群无人机</t>
  </si>
  <si>
    <t>初级能量校准指环</t>
  </si>
  <si>
    <t>中级能量校准指环</t>
  </si>
  <si>
    <t>高级能量校准指环</t>
  </si>
  <si>
    <t>初级信号干扰手环</t>
  </si>
  <si>
    <t>中级信号干扰手环</t>
  </si>
  <si>
    <t>高级信号干扰手环</t>
  </si>
  <si>
    <t>初级圣痕魔导链</t>
  </si>
  <si>
    <t>中级圣痕魔导链</t>
  </si>
  <si>
    <t>高级圣痕魔导链</t>
  </si>
  <si>
    <t>初级神经介入戒指</t>
  </si>
  <si>
    <t>索尔斯特的晨光</t>
  </si>
  <si>
    <t>中级神经介入戒指</t>
  </si>
  <si>
    <t>高级神经介入戒指</t>
  </si>
  <si>
    <t>初级共生感知环</t>
  </si>
  <si>
    <t>中级共生感知环</t>
  </si>
  <si>
    <t>高级共生感知环</t>
  </si>
  <si>
    <t>初级魔焰契约指环</t>
  </si>
  <si>
    <t>中级魔焰契约指环</t>
  </si>
  <si>
    <t>高级魔焰契约指环</t>
  </si>
  <si>
    <t>暗物质时空炮</t>
  </si>
  <si>
    <t>轨道跃迁炮</t>
  </si>
  <si>
    <t>虚空裂隙激射炮</t>
  </si>
  <si>
    <t>零号脉冲枪</t>
  </si>
  <si>
    <t>天机动能枪</t>
  </si>
  <si>
    <t>不朽骸枪</t>
  </si>
  <si>
    <t>时痕圣音法杖</t>
  </si>
  <si>
    <t>永夜残响权杖</t>
  </si>
  <si>
    <t>悼亡者咒缚杖</t>
  </si>
  <si>
    <t>活体交感护盔</t>
  </si>
  <si>
    <t>同感幻觉终端</t>
  </si>
  <si>
    <t>末日支配帽</t>
  </si>
  <si>
    <t>灵能使徒法帽</t>
  </si>
  <si>
    <t>液态聚合盔甲</t>
  </si>
  <si>
    <t>重型殖装战甲</t>
  </si>
  <si>
    <t>英灵不朽战铠</t>
  </si>
  <si>
    <t>星之辉</t>
  </si>
  <si>
    <t>天罚灼痕法袍</t>
  </si>
  <si>
    <t>神经蔓生手甲</t>
  </si>
  <si>
    <t>微仿生晶体手甲</t>
  </si>
  <si>
    <t>混沌核心护手</t>
  </si>
  <si>
    <t>秘银神恩护手</t>
  </si>
  <si>
    <t>感官同步腰带</t>
  </si>
  <si>
    <t>生命序列腰带</t>
  </si>
  <si>
    <t>亡骸星链</t>
  </si>
  <si>
    <t>缚神锁链</t>
  </si>
  <si>
    <t>EMP脉冲战靴</t>
  </si>
  <si>
    <t>雷霆涡流战靴</t>
  </si>
  <si>
    <t>源晶悬行靴</t>
  </si>
  <si>
    <t>遗忘祷言靴</t>
  </si>
  <si>
    <t>虚空稳定锚</t>
  </si>
  <si>
    <t>图灵原型机</t>
  </si>
  <si>
    <t>光环阵列</t>
  </si>
  <si>
    <t>全知之眼</t>
  </si>
  <si>
    <t>记忆终端指环</t>
  </si>
  <si>
    <t>影像强化手环</t>
  </si>
  <si>
    <t>白银赞美诗</t>
  </si>
  <si>
    <t>不灭辉光坠</t>
  </si>
  <si>
    <t>边域回声</t>
  </si>
  <si>
    <t>赤子之心</t>
  </si>
  <si>
    <t>丰厚回报</t>
  </si>
  <si>
    <t>金羊毛储值计划</t>
  </si>
  <si>
    <t>铁十字的锋锐</t>
  </si>
  <si>
    <t>元能宣泄</t>
  </si>
  <si>
    <t>千湖未尽之旅</t>
  </si>
  <si>
    <t>风墟低语</t>
  </si>
  <si>
    <t>大祭司之镜</t>
  </si>
  <si>
    <t>神圣默颂</t>
  </si>
  <si>
    <t>且待众神垂怜</t>
  </si>
  <si>
    <t>废墟虫蜕</t>
  </si>
  <si>
    <t>无成本融资</t>
  </si>
  <si>
    <t>涌动的愤怒</t>
  </si>
  <si>
    <t>铁十字勋章</t>
  </si>
  <si>
    <t>易碎琉璃</t>
  </si>
  <si>
    <t>模块</t>
  </si>
  <si>
    <t>所需金币</t>
  </si>
  <si>
    <t>其他材料价值</t>
  </si>
  <si>
    <t>角色升级</t>
  </si>
  <si>
    <t>点体力</t>
  </si>
  <si>
    <t>=</t>
  </si>
  <si>
    <t>角色突破</t>
  </si>
  <si>
    <t>角色升星</t>
  </si>
  <si>
    <t>角色星盘</t>
  </si>
  <si>
    <t>单角色汇总</t>
  </si>
  <si>
    <t>主角装备铭文</t>
  </si>
  <si>
    <t>等级上限</t>
  </si>
  <si>
    <t>单角色总经验</t>
  </si>
  <si>
    <t>单角色总金币</t>
  </si>
  <si>
    <t>等级</t>
  </si>
  <si>
    <t>相对上级提升</t>
  </si>
  <si>
    <t>每级所需经验</t>
  </si>
  <si>
    <t>总经验</t>
  </si>
  <si>
    <t>每级所需金币</t>
  </si>
  <si>
    <t>总金币</t>
  </si>
  <si>
    <t>进度</t>
  </si>
  <si>
    <t>总坑深（钻石）</t>
  </si>
  <si>
    <t>突破等级</t>
  </si>
  <si>
    <t>突破次数</t>
  </si>
  <si>
    <t>消耗类型1</t>
  </si>
  <si>
    <t>消耗数量1</t>
  </si>
  <si>
    <t>消耗价值1</t>
  </si>
  <si>
    <t>消耗类型2</t>
  </si>
  <si>
    <t>消耗数量2</t>
  </si>
  <si>
    <t>消耗价值2</t>
  </si>
  <si>
    <t>消耗价值总</t>
  </si>
  <si>
    <t>基础概率</t>
  </si>
  <si>
    <t>实际概率</t>
  </si>
  <si>
    <t>首次抽到</t>
  </si>
  <si>
    <t>非首次抽到</t>
  </si>
  <si>
    <t>价值</t>
  </si>
  <si>
    <t>未抽满单抽数量</t>
  </si>
  <si>
    <t>单抽数量</t>
  </si>
  <si>
    <t>角色星级</t>
  </si>
  <si>
    <t>升到下一星级需要角色</t>
  </si>
  <si>
    <t>抽卡概率设定</t>
  </si>
  <si>
    <t>SSR</t>
  </si>
  <si>
    <t>SR</t>
  </si>
  <si>
    <t>R</t>
  </si>
  <si>
    <t>十连保底1个SR</t>
  </si>
  <si>
    <t>单抽定价</t>
  </si>
  <si>
    <t>单抽代币数量</t>
  </si>
  <si>
    <t>前期</t>
  </si>
  <si>
    <t>后期</t>
  </si>
  <si>
    <t>大后期</t>
  </si>
  <si>
    <t>保底次数</t>
  </si>
  <si>
    <t>期望次数</t>
  </si>
  <si>
    <t>SSR角色价值</t>
  </si>
  <si>
    <t>SR角色价值</t>
  </si>
  <si>
    <t>R角色价值</t>
  </si>
  <si>
    <t>SR/SSR10连概率</t>
  </si>
  <si>
    <t>抽卡次数</t>
  </si>
  <si>
    <t>概率</t>
  </si>
  <si>
    <t>不出概率</t>
  </si>
  <si>
    <t>抽卡额外货币规则</t>
  </si>
  <si>
    <t>抽到角色时，根据已经抽到的角色数量和角色品质给予一定的额外货币（可配置）</t>
  </si>
  <si>
    <t>该额外货币可以在抽卡商店兑换道具，主要兑换的内容是部分养成材料和抽卡道具（限量）</t>
  </si>
  <si>
    <t>SSR专武价值</t>
  </si>
  <si>
    <t>SR专武价值</t>
  </si>
  <si>
    <t>专武星级</t>
  </si>
  <si>
    <t>升到下一星级需要专武</t>
  </si>
  <si>
    <t>升到下一星级需要金币</t>
  </si>
  <si>
    <t>R专武价值</t>
  </si>
  <si>
    <t>1,</t>
  </si>
  <si>
    <t>装备总数</t>
  </si>
  <si>
    <t>每点经验所需金币</t>
  </si>
  <si>
    <t>提升系数</t>
  </si>
  <si>
    <t>单旅券总经验</t>
  </si>
  <si>
    <t>6旅券总经验</t>
  </si>
  <si>
    <t>单旅券总金币</t>
  </si>
  <si>
    <t>6旅券总金币</t>
  </si>
  <si>
    <t>单旅券总坑深（钻石）</t>
  </si>
  <si>
    <t>6旅券总坑深（钻石）</t>
  </si>
  <si>
    <t>品质</t>
  </si>
  <si>
    <t>品质系数</t>
  </si>
  <si>
    <t>分解得旅券经验</t>
  </si>
  <si>
    <t>经验</t>
  </si>
  <si>
    <t>额外道具</t>
  </si>
  <si>
    <t>SR每级所需经验</t>
  </si>
  <si>
    <t>R每级所需经验</t>
  </si>
  <si>
    <t>作为素材经验</t>
  </si>
  <si>
    <t>总点数</t>
  </si>
  <si>
    <t>免费点数</t>
  </si>
  <si>
    <t>额外点数</t>
  </si>
  <si>
    <t>等级限制</t>
  </si>
  <si>
    <t>外圈</t>
  </si>
  <si>
    <t>中圈</t>
  </si>
  <si>
    <t>内圈</t>
  </si>
  <si>
    <t>星盘点数</t>
  </si>
  <si>
    <t>限制等级</t>
  </si>
  <si>
    <t>材料1</t>
  </si>
  <si>
    <t>数量1</t>
  </si>
  <si>
    <t>材料2</t>
  </si>
  <si>
    <t>数量2</t>
  </si>
  <si>
    <t>材料3</t>
  </si>
  <si>
    <t>数量3</t>
  </si>
  <si>
    <t>材料4</t>
  </si>
  <si>
    <t>数量4</t>
  </si>
  <si>
    <t>金币美化</t>
  </si>
  <si>
    <t>价值(钻石)</t>
  </si>
  <si>
    <t>攻击</t>
  </si>
  <si>
    <t>防御</t>
  </si>
  <si>
    <t>辅助</t>
  </si>
  <si>
    <t>,</t>
  </si>
  <si>
    <t>;</t>
  </si>
  <si>
    <t>宝石合成</t>
  </si>
  <si>
    <t>合成所需数量</t>
  </si>
  <si>
    <t>——》</t>
  </si>
  <si>
    <t>1个5级宝石所需180个1级宝石</t>
  </si>
  <si>
    <t>装备升级</t>
  </si>
  <si>
    <t>装备件数</t>
  </si>
  <si>
    <t>史诗、传说</t>
  </si>
  <si>
    <t>普通</t>
  </si>
  <si>
    <t>稀有</t>
  </si>
  <si>
    <t>单件总经验</t>
  </si>
  <si>
    <t>单件总金币</t>
  </si>
  <si>
    <t>8件总经验</t>
  </si>
  <si>
    <t>8件总金币</t>
  </si>
  <si>
    <t>强化获得经验比例</t>
  </si>
  <si>
    <t>经验：金币比例</t>
  </si>
  <si>
    <t>1比1</t>
  </si>
  <si>
    <t>分解可得装备经验</t>
  </si>
  <si>
    <t>星级</t>
  </si>
  <si>
    <t>暂定额外材料</t>
  </si>
  <si>
    <t>史诗兑换材料</t>
  </si>
  <si>
    <t>史诗</t>
  </si>
  <si>
    <t>传说兑换材料</t>
  </si>
  <si>
    <t>传说</t>
  </si>
  <si>
    <t>主角等级上限</t>
  </si>
  <si>
    <t>经验产出</t>
  </si>
  <si>
    <t>每级成长</t>
  </si>
  <si>
    <t>升级需要经验</t>
  </si>
  <si>
    <t>升级返还体力</t>
  </si>
  <si>
    <t>所需总经验</t>
  </si>
  <si>
    <t>实际所需总经验</t>
  </si>
  <si>
    <t>对应主线章节</t>
  </si>
  <si>
    <t>对应主线关卡</t>
  </si>
  <si>
    <t>主线章节</t>
  </si>
  <si>
    <t>章节关卡数</t>
  </si>
  <si>
    <t>主角等级预计</t>
  </si>
  <si>
    <t>对应天数</t>
  </si>
  <si>
    <t>来源</t>
  </si>
  <si>
    <t>每日产出</t>
  </si>
  <si>
    <t>核算经验</t>
  </si>
  <si>
    <t>自然回复</t>
  </si>
  <si>
    <t>购买体力1次</t>
  </si>
  <si>
    <t>购买体力2次</t>
  </si>
  <si>
    <t>购买体力3次</t>
  </si>
  <si>
    <t>购买体力4次</t>
  </si>
  <si>
    <t>购买体力5次</t>
  </si>
  <si>
    <t>购买体力6次</t>
  </si>
  <si>
    <t>购买体力7次</t>
  </si>
  <si>
    <t>购买体力8次</t>
  </si>
  <si>
    <t>小R</t>
  </si>
  <si>
    <t>中R</t>
  </si>
  <si>
    <t>大R</t>
  </si>
  <si>
    <t>天数</t>
  </si>
  <si>
    <t>所需经验</t>
  </si>
  <si>
    <t>每天经验</t>
  </si>
  <si>
    <t>实际等级</t>
  </si>
  <si>
    <t>炮台养成测算</t>
  </si>
  <si>
    <t>默认按 1S+1A+1B 的混编阵容测算。这个页签先假设目标炮台本体已经获得，只测材料成长速度；如果首赛季需要先用代币补本体，实际进度通常会比表内慢半档到一档。</t>
  </si>
  <si>
    <t>一、炮台养成规则</t>
  </si>
  <si>
    <t>二、竞技场资源口径</t>
  </si>
  <si>
    <t>目标上阵阵容</t>
  </si>
  <si>
    <t>1S+1A+1B</t>
  </si>
  <si>
    <t>竞技场基础毕业口径</t>
  </si>
  <si>
    <t>非炮台赛季限购成本</t>
  </si>
  <si>
    <t>默认会先买满</t>
  </si>
  <si>
    <t>S 等级上限</t>
  </si>
  <si>
    <t>大节点在 10升11 / 20升21 / 30升31 / 40升41</t>
  </si>
  <si>
    <t>赛季限购小材料</t>
  </si>
  <si>
    <t>直接计入当赛季成长</t>
  </si>
  <si>
    <t>A 等级上限</t>
  </si>
  <si>
    <t>大节点在 10升11 / 20升21 / 30升31</t>
  </si>
  <si>
    <t>赛季限购大材料</t>
  </si>
  <si>
    <t>B 等级上限</t>
  </si>
  <si>
    <t>大节点在 10升11 / 20升21</t>
  </si>
  <si>
    <t>炮台赛季限购成本</t>
  </si>
  <si>
    <t>小材料包 + 大材料包</t>
  </si>
  <si>
    <t>升级顺序</t>
  </si>
  <si>
    <t>按档位均衡推进</t>
  </si>
  <si>
    <t>先把 3 个炮台都推到 10/20/30，再把 S/A 推到 40，最后补 S 到50</t>
  </si>
  <si>
    <t>不限购大材料单价</t>
  </si>
  <si>
    <t>剩余代币默认优先买它</t>
  </si>
  <si>
    <t>小材料曲线基础值</t>
  </si>
  <si>
    <t>公式：ROUND(基础值 + (目标等级-1)^指数 * 系数,0)</t>
  </si>
  <si>
    <t>不限购小材料/代币</t>
  </si>
  <si>
    <t>买完大材料后再换小材料</t>
  </si>
  <si>
    <t>小材料曲线系数</t>
  </si>
  <si>
    <t>前期压力更低</t>
  </si>
  <si>
    <t>小材料钻石价值</t>
  </si>
  <si>
    <t>从道具定价页读取</t>
  </si>
  <si>
    <t>小材料曲线指数</t>
  </si>
  <si>
    <t>保证每级消耗都不一样</t>
  </si>
  <si>
    <t>大材料钻石价值</t>
  </si>
  <si>
    <t>三、逐级小材料曲线</t>
  </si>
  <si>
    <t>四、坑深汇总</t>
  </si>
  <si>
    <t>目标等级</t>
  </si>
  <si>
    <t>单级小材料</t>
  </si>
  <si>
    <t>累计小材料</t>
  </si>
  <si>
    <t>S大材料</t>
  </si>
  <si>
    <t>A大材料</t>
  </si>
  <si>
    <t>B大材料</t>
  </si>
  <si>
    <t>说明</t>
  </si>
  <si>
    <t>对象</t>
  </si>
  <si>
    <t>小材料</t>
  </si>
  <si>
    <t>大材料</t>
  </si>
  <si>
    <t>钻石价值</t>
  </si>
  <si>
    <t>最终技能等级</t>
  </si>
  <si>
    <t>仅提升基础属性</t>
  </si>
  <si>
    <t>50级上限，4个技能节点</t>
  </si>
  <si>
    <t>28,</t>
  </si>
  <si>
    <t>40级上限，3个技能节点</t>
  </si>
  <si>
    <t>;31,</t>
  </si>
  <si>
    <t>30级上限，2个技能节点</t>
  </si>
  <si>
    <t>混编总计</t>
  </si>
  <si>
    <t>"1S+1A+1B"</t>
  </si>
  <si>
    <t>"S5 / A4 / B3"</t>
  </si>
  <si>
    <t>竞技场基础毕业目标</t>
  </si>
  <si>
    <t>3S顶配参考</t>
  </si>
  <si>
    <t>"50/50/50"</t>
  </si>
  <si>
    <t>"S5 / S5 / S5"</t>
  </si>
  <si>
    <t>如果长期层差不够，更适合用它做终局</t>
  </si>
  <si>
    <t>S技能+1 / A技能+1 / B技能+1</t>
  </si>
  <si>
    <t>S技能+1 / A技能+1</t>
  </si>
  <si>
    <t>S技能+1</t>
  </si>
  <si>
    <t>五、推荐升级路径</t>
  </si>
  <si>
    <t>六、结合竞技场产出的玩家进度</t>
  </si>
  <si>
    <t>步骤</t>
  </si>
  <si>
    <t>档位</t>
  </si>
  <si>
    <t>达成等级</t>
  </si>
  <si>
    <t>单步小材料</t>
  </si>
  <si>
    <t>单步大材料</t>
  </si>
  <si>
    <t>累计大材料</t>
  </si>
  <si>
    <t>进度标签</t>
  </si>
  <si>
    <t>玩家类型</t>
  </si>
  <si>
    <t>目标段位</t>
  </si>
  <si>
    <t>胜场</t>
  </si>
  <si>
    <t>负场</t>
  </si>
  <si>
    <t>稳态赛季代币</t>
  </si>
  <si>
    <t>首赛季代币</t>
  </si>
  <si>
    <t>稳态赛季小材料</t>
  </si>
  <si>
    <t>稳态赛季大材料</t>
  </si>
  <si>
    <t>首赛季小材料</t>
  </si>
  <si>
    <t>首赛季大材料</t>
  </si>
  <si>
    <t>第1赛季进度</t>
  </si>
  <si>
    <t>第2赛季进度</t>
  </si>
  <si>
    <t>第3赛季进度</t>
  </si>
  <si>
    <t>第4赛季进度</t>
  </si>
  <si>
    <t>满成所需赛季数</t>
  </si>
  <si>
    <t>本体判断</t>
  </si>
  <si>
    <t>起始</t>
  </si>
  <si>
    <t>-</t>
  </si>
  <si>
    <t>S1/A1/B1</t>
  </si>
  <si>
    <t>首达奖励已经送 3 个 B 炮台，首赛季剩余代币通常还能再补 1A+1B。</t>
  </si>
  <si>
    <t>1-10档</t>
  </si>
  <si>
    <t>S2/A1/B1</t>
  </si>
  <si>
    <t>首达奖励已经送 3 个 B 炮台，首赛季代币结余通常已经能补齐 1S+1A+1B。</t>
  </si>
  <si>
    <t>S3/A1/B1</t>
  </si>
  <si>
    <t>首达奖励已经送 1A+3B，本体压力主要转移到 S 炮台获取上。</t>
  </si>
  <si>
    <t>S4/A1/B1</t>
  </si>
  <si>
    <t>首达奖励已经送 1S+3A+3B，首赛季资源已经明显超过基础阵容需求。</t>
  </si>
  <si>
    <t>S5/A1/B1</t>
  </si>
  <si>
    <t>S6/A1/B1</t>
  </si>
  <si>
    <t>S7/A1/B1</t>
  </si>
  <si>
    <t>S8/A1/B1</t>
  </si>
  <si>
    <t>S9/A1/B1</t>
  </si>
  <si>
    <t>S10/A1/B1</t>
  </si>
  <si>
    <t>S10/A2/B1</t>
  </si>
  <si>
    <t>S10/A3/B1</t>
  </si>
  <si>
    <t>S10/A4/B1</t>
  </si>
  <si>
    <t>S10/A5/B1</t>
  </si>
  <si>
    <t>S10/A6/B1</t>
  </si>
  <si>
    <t>S10/A7/B1</t>
  </si>
  <si>
    <t>S10/A8/B1</t>
  </si>
  <si>
    <t>S10/A9/B1</t>
  </si>
  <si>
    <t>S10/A10/B1</t>
  </si>
  <si>
    <t>S10/A10/B2</t>
  </si>
  <si>
    <t>S10/A10/B3</t>
  </si>
  <si>
    <t>S10/A10/B4</t>
  </si>
  <si>
    <t>S10/A10/B5</t>
  </si>
  <si>
    <t>S10/A10/B6</t>
  </si>
  <si>
    <t>S10/A10/B7</t>
  </si>
  <si>
    <t>S10/A10/B8</t>
  </si>
  <si>
    <t>S10/A10/B9</t>
  </si>
  <si>
    <t>S10/A10/B10</t>
  </si>
  <si>
    <t>11-20档</t>
  </si>
  <si>
    <t>S11/A10/B10</t>
  </si>
  <si>
    <t>S12/A10/B10</t>
  </si>
  <si>
    <t>S13/A10/B10</t>
  </si>
  <si>
    <t>S14/A10/B10</t>
  </si>
  <si>
    <t>S15/A10/B10</t>
  </si>
  <si>
    <t>S16/A10/B10</t>
  </si>
  <si>
    <t>S17/A10/B10</t>
  </si>
  <si>
    <t>S18/A10/B10</t>
  </si>
  <si>
    <t>S19/A10/B10</t>
  </si>
  <si>
    <t>S20/A10/B10</t>
  </si>
  <si>
    <t>S20/A11/B10</t>
  </si>
  <si>
    <t>S20/A12/B10</t>
  </si>
  <si>
    <t>S20/A13/B10</t>
  </si>
  <si>
    <t>S20/A14/B10</t>
  </si>
  <si>
    <t>S20/A15/B10</t>
  </si>
  <si>
    <t>S20/A16/B10</t>
  </si>
  <si>
    <t>S20/A17/B10</t>
  </si>
  <si>
    <t>S20/A18/B10</t>
  </si>
  <si>
    <t>S20/A19/B10</t>
  </si>
  <si>
    <t>S20/A20/B10</t>
  </si>
  <si>
    <t>S20/A20/B11</t>
  </si>
  <si>
    <t>S20/A20/B12</t>
  </si>
  <si>
    <t>S20/A20/B13</t>
  </si>
  <si>
    <t>S20/A20/B14</t>
  </si>
  <si>
    <t>S20/A20/B15</t>
  </si>
  <si>
    <t>S20/A20/B16</t>
  </si>
  <si>
    <t>S20/A20/B17</t>
  </si>
  <si>
    <t>S20/A20/B18</t>
  </si>
  <si>
    <t>S20/A20/B19</t>
  </si>
  <si>
    <t>S20/A20/B20</t>
  </si>
  <si>
    <t>21-30档</t>
  </si>
  <si>
    <t>S21/A20/B20</t>
  </si>
  <si>
    <t>S22/A20/B20</t>
  </si>
  <si>
    <t>S23/A20/B20</t>
  </si>
  <si>
    <t>S24/A20/B20</t>
  </si>
  <si>
    <t>S25/A20/B20</t>
  </si>
  <si>
    <t>S26/A20/B20</t>
  </si>
  <si>
    <t>S27/A20/B20</t>
  </si>
  <si>
    <t>S28/A20/B20</t>
  </si>
  <si>
    <t>S29/A20/B20</t>
  </si>
  <si>
    <t>S30/A20/B20</t>
  </si>
  <si>
    <t>S30/A21/B20</t>
  </si>
  <si>
    <t>S30/A22/B20</t>
  </si>
  <si>
    <t>S30/A23/B20</t>
  </si>
  <si>
    <t>S30/A24/B20</t>
  </si>
  <si>
    <t>S30/A25/B20</t>
  </si>
  <si>
    <t>S30/A26/B20</t>
  </si>
  <si>
    <t>S30/A27/B20</t>
  </si>
  <si>
    <t>S30/A28/B20</t>
  </si>
  <si>
    <t>S30/A29/B20</t>
  </si>
  <si>
    <t>S30/A30/B20</t>
  </si>
  <si>
    <t>S30/A30/B21</t>
  </si>
  <si>
    <t>S30/A30/B22</t>
  </si>
  <si>
    <t>S30/A30/B23</t>
  </si>
  <si>
    <t>S30/A30/B24</t>
  </si>
  <si>
    <t>S30/A30/B25</t>
  </si>
  <si>
    <t>S30/A30/B26</t>
  </si>
  <si>
    <t>S30/A30/B27</t>
  </si>
  <si>
    <t>S30/A30/B28</t>
  </si>
  <si>
    <t>S30/A30/B29</t>
  </si>
  <si>
    <t>S30/A30/B30</t>
  </si>
  <si>
    <t>31-40档</t>
  </si>
  <si>
    <t>S31/A30/B30</t>
  </si>
  <si>
    <t>S32/A30/B30</t>
  </si>
  <si>
    <t>S33/A30/B30</t>
  </si>
  <si>
    <t>S34/A30/B30</t>
  </si>
  <si>
    <t>S35/A30/B30</t>
  </si>
  <si>
    <t>S36/A30/B30</t>
  </si>
  <si>
    <t>S37/A30/B30</t>
  </si>
  <si>
    <t>S38/A30/B30</t>
  </si>
  <si>
    <t>S39/A30/B30</t>
  </si>
  <si>
    <t>S40/A30/B30</t>
  </si>
  <si>
    <t>S40/A31/B30</t>
  </si>
  <si>
    <t>S40/A32/B30</t>
  </si>
  <si>
    <t>S40/A33/B30</t>
  </si>
  <si>
    <t>S40/A34/B30</t>
  </si>
  <si>
    <t>S40/A35/B30</t>
  </si>
  <si>
    <t>S40/A36/B30</t>
  </si>
  <si>
    <t>S40/A37/B30</t>
  </si>
  <si>
    <t>S40/A38/B30</t>
  </si>
  <si>
    <t>S40/A39/B30</t>
  </si>
  <si>
    <t>S40/A40/B30</t>
  </si>
  <si>
    <t>41-50档</t>
  </si>
  <si>
    <t>S41/A40/B30</t>
  </si>
  <si>
    <t>S42/A40/B30</t>
  </si>
  <si>
    <t>S43/A40/B30</t>
  </si>
  <si>
    <t>S44/A40/B30</t>
  </si>
  <si>
    <t>S45/A40/B30</t>
  </si>
  <si>
    <t>S46/A40/B30</t>
  </si>
  <si>
    <t>S47/A40/B30</t>
  </si>
  <si>
    <t>S48/A40/B30</t>
  </si>
  <si>
    <t>S49/A40/B30</t>
  </si>
  <si>
    <t>S50/A40/B30</t>
  </si>
  <si>
    <t>七、结论提示</t>
  </si>
  <si>
    <t>1. 这版按品质区分等级上限：S50 / A40 / B30，且只在指定的跨级点使用大材料。</t>
  </si>
  <si>
    <t>2. 小材料改成了逐级递增曲线，前半段故意做得更轻，以强化前期成长反馈。</t>
  </si>
  <si>
    <t>3. 按当前竞技场产出，1S+1A+1B 的混编毕业线大致变成：免费 2 赛季，小R 2 赛季，中R 2 赛季，大R 首赛季。</t>
  </si>
  <si>
    <t>4. 如果你希望长期层差更强，建议把 1S+1A+1B 作为基础毕业线，再把 3S 当成真正的长期终局。</t>
  </si>
  <si>
    <t>通行证数值概述</t>
  </si>
  <si>
    <t>普通版定价</t>
  </si>
  <si>
    <t>rmb</t>
  </si>
  <si>
    <t>开启周数</t>
  </si>
  <si>
    <t>开启天数</t>
  </si>
  <si>
    <t>活跃向、高性价比付费</t>
  </si>
  <si>
    <t>高级版定价</t>
  </si>
  <si>
    <t>瞄准的玩家为核心中小R</t>
  </si>
  <si>
    <t>数值设计上综合性价比应最高</t>
  </si>
  <si>
    <t>升级所需积分</t>
  </si>
  <si>
    <t>每周积分上限</t>
  </si>
  <si>
    <t>核心性价比仅次于月卡</t>
  </si>
  <si>
    <t>综合性价比</t>
  </si>
  <si>
    <t>核心性价比</t>
  </si>
  <si>
    <t>高级额外奖励性价比</t>
  </si>
  <si>
    <t>理论最高等级</t>
  </si>
  <si>
    <t>普通通行证一次性奖励</t>
  </si>
  <si>
    <t>680钻石</t>
  </si>
  <si>
    <t>总价值</t>
  </si>
  <si>
    <t>核心奖励价值</t>
  </si>
  <si>
    <t>免费</t>
  </si>
  <si>
    <t>付费</t>
  </si>
  <si>
    <t>高级通行证一次性奖励</t>
  </si>
  <si>
    <t>奖励</t>
  </si>
  <si>
    <t>奖励数量</t>
  </si>
  <si>
    <t>奖励价值</t>
  </si>
  <si>
    <t>奖励2</t>
  </si>
  <si>
    <t>奖励数量2</t>
  </si>
  <si>
    <t>奖励价值2</t>
  </si>
  <si>
    <t>付费倍率</t>
  </si>
  <si>
    <t>每日任务积分</t>
  </si>
  <si>
    <t>任务分类</t>
  </si>
  <si>
    <t>任务类型</t>
  </si>
  <si>
    <t>任务类型数值</t>
  </si>
  <si>
    <t>任务积分奖励</t>
  </si>
  <si>
    <t>周常</t>
  </si>
  <si>
    <t>当期</t>
  </si>
  <si>
    <t>公会数值（功能结构草案）</t>
  </si>
  <si>
    <t>功能/规则</t>
  </si>
  <si>
    <t>核心数值项</t>
  </si>
  <si>
    <t>资源/权限说明</t>
  </si>
  <si>
    <t>公会等级与人数上限</t>
  </si>
  <si>
    <t>公会经验由全体成员贡献值累计；公会升级后提升人数上限，构成长线成长目标</t>
  </si>
  <si>
    <t>公会等级、每级经验需求、每级人数上限、升级周期、贡献值转经验比例</t>
  </si>
  <si>
    <t>贡献值来源：公会个人任务、个人派遣</t>
  </si>
  <si>
    <t>公会贡献值与集体代币</t>
  </si>
  <si>
    <t>成员获得贡献值时，公会同步获得集体代币；集体代币仅会长/副会长可使用，用于公会建设</t>
  </si>
  <si>
    <t>贡献值获取效率、集体代币转化比例、每日获取上限、建设消耗额度</t>
  </si>
  <si>
    <t>个人资源与公会资源分离；集体代币不直接分配给个人</t>
  </si>
  <si>
    <t>公会任务</t>
  </si>
  <si>
    <t>每日完成，分为捐献任务和活跃任务，两类任务共同承担日常活跃与基础产出</t>
  </si>
  <si>
    <t>每日任务数量、任务档位、捐献需求、活跃要求、贡献值奖励、个人代币奖励</t>
  </si>
  <si>
    <t>个人获得个人代币与贡献值；公会获得经验/集体代币</t>
  </si>
  <si>
    <t>公会派遣</t>
  </si>
  <si>
    <t>每日派遣，任务难度越高奖励越好，对武将品质、战力或职业要求越高</t>
  </si>
  <si>
    <t>每日派遣次数、难度档位、刷新规则、武将条件、派遣时长、奖励区间</t>
  </si>
  <si>
    <t>主要产出：贡献值、个人代币、其他养成材料</t>
  </si>
  <si>
    <t>公会心愿墙</t>
  </si>
  <si>
    <t>玩家发布武将碎片心愿，其他成员捐献后获得奖励</t>
  </si>
  <si>
    <t>每日发布次数、心愿持续时间、可求助碎片数、单次捐赠量、每日捐赠次数、捐赠奖励</t>
  </si>
  <si>
    <t>发布方获得碎片；捐赠方获得个人代币，可补充少量贡献值</t>
  </si>
  <si>
    <t>公会建设</t>
  </si>
  <si>
    <t>会长/副会长消耗集体代币进行建设，推动公会成长或解锁功能</t>
  </si>
  <si>
    <t>建设项目类型、建设等级、单次消耗、每日/每周投入上限、建设收益</t>
  </si>
  <si>
    <t>需与公会等级、成员活跃、长期留存挂钩</t>
  </si>
  <si>
    <t>本页先整理公会系统的功能数值框架，具体数值、成长曲线和奖励额度待后续补充。</t>
  </si>
  <si>
    <t>建议初始值（可直接拆配置）</t>
  </si>
  <si>
    <t>以下数值为第一版建议值，用于搭建公会经济闭环；建议后续结合DAU、活跃率、社交转化率再校准。</t>
  </si>
  <si>
    <t>基础规则</t>
  </si>
  <si>
    <t>项目</t>
  </si>
  <si>
    <t>建议值</t>
  </si>
  <si>
    <t>贡献值：公会经验</t>
  </si>
  <si>
    <t>1</t>
  </si>
  <si>
    <t>用于驱动公会等级成长</t>
  </si>
  <si>
    <t>贡献值：集体代币</t>
  </si>
  <si>
    <t>按向下取整结算</t>
  </si>
  <si>
    <t>贡献值：个人代币</t>
  </si>
  <si>
    <t>0.5</t>
  </si>
  <si>
    <t>每日贡献上限</t>
  </si>
  <si>
    <t>1000</t>
  </si>
  <si>
    <t>公会派遣每日上限次数</t>
  </si>
  <si>
    <t>3</t>
  </si>
  <si>
    <t>集体代币使用权限</t>
  </si>
  <si>
    <t>会长/副会长</t>
  </si>
  <si>
    <t>仅管理职位可消耗，用于公会建设</t>
  </si>
  <si>
    <t>普通成员仅能查看建设进度</t>
  </si>
  <si>
    <t>个人代币用途</t>
  </si>
  <si>
    <t>公会商店/个人兑换</t>
  </si>
  <si>
    <t>通过任务、派遣、心愿捐赠获得</t>
  </si>
  <si>
    <t>不与集体代币混用</t>
  </si>
  <si>
    <t>公会等级</t>
  </si>
  <si>
    <t>升级所需经验</t>
  </si>
  <si>
    <t>累计经验</t>
  </si>
  <si>
    <t>人数上限</t>
  </si>
  <si>
    <t>解锁内容</t>
  </si>
  <si>
    <t>拉满天数</t>
  </si>
  <si>
    <t>暂无</t>
  </si>
  <si>
    <t>公会任务（每日）</t>
  </si>
  <si>
    <t>max贡献值</t>
  </si>
  <si>
    <t>任务档位</t>
  </si>
  <si>
    <t>完成条件</t>
  </si>
  <si>
    <t>个人代币</t>
  </si>
  <si>
    <t>贡献值</t>
  </si>
  <si>
    <t>折算集体代币</t>
  </si>
  <si>
    <t>每日次数</t>
  </si>
  <si>
    <t>捐献任务</t>
  </si>
  <si>
    <t>小额捐献</t>
  </si>
  <si>
    <t>捐献金币10000</t>
  </si>
  <si>
    <t>低门槛保底</t>
  </si>
  <si>
    <t>高额捐献</t>
  </si>
  <si>
    <t>捐献钻石30</t>
  </si>
  <si>
    <t>高活跃玩家使用</t>
  </si>
  <si>
    <t>活跃任务</t>
  </si>
  <si>
    <t>基础活跃</t>
  </si>
  <si>
    <t>完成1次公会派遣</t>
  </si>
  <si>
    <t>引导进入派遣玩法</t>
  </si>
  <si>
    <t>协作活跃</t>
  </si>
  <si>
    <t>完成2次心愿捐赠</t>
  </si>
  <si>
    <t>强化成员互助</t>
  </si>
  <si>
    <t>深度活跃</t>
  </si>
  <si>
    <t>当日个人活跃达到100</t>
  </si>
  <si>
    <t>作为每日终档</t>
  </si>
  <si>
    <t>难度</t>
  </si>
  <si>
    <t>派遣时长(h)</t>
  </si>
  <si>
    <t>刷新概率</t>
  </si>
  <si>
    <t>武将要求1</t>
  </si>
  <si>
    <t>武将要求2</t>
  </si>
  <si>
    <t>武将要求3</t>
  </si>
  <si>
    <t>任意1名武将</t>
  </si>
  <si>
    <t>精良</t>
  </si>
  <si>
    <t>2名武将；至少1名A品质</t>
  </si>
  <si>
    <t>2名武将；至少1名S品质</t>
  </si>
  <si>
    <t>3名武将；至少2名S品质</t>
  </si>
  <si>
    <t>派遣刷新规则</t>
  </si>
  <si>
    <t>每日0点刷新全部任务；每日免费刷新1次</t>
  </si>
  <si>
    <t>公会派遣奖励</t>
  </si>
  <si>
    <t>从以下额外奖励中随机1个</t>
  </si>
  <si>
    <t>额外奖励1</t>
  </si>
  <si>
    <t>额外奖励1数量</t>
  </si>
  <si>
    <t>额外奖励1价值</t>
  </si>
  <si>
    <t>额外奖励2</t>
  </si>
  <si>
    <t>额外奖励2数量</t>
  </si>
  <si>
    <t>额外奖励2价值</t>
  </si>
  <si>
    <t>额外奖励3</t>
  </si>
  <si>
    <t>额外奖励3数量</t>
  </si>
  <si>
    <t>奖励/产出</t>
  </si>
  <si>
    <t>限制</t>
  </si>
  <si>
    <t>每日发布次数</t>
  </si>
  <si>
    <t>发布心愿不奖励个人代币</t>
  </si>
  <si>
    <t>每日最多发布1条</t>
  </si>
  <si>
    <t>避免刷屏</t>
  </si>
  <si>
    <t>心愿持续时间</t>
  </si>
  <si>
    <t>24小时</t>
  </si>
  <si>
    <t>到期自动失效</t>
  </si>
  <si>
    <t>可手动取消1次</t>
  </si>
  <si>
    <t>与每日刷新同步</t>
  </si>
  <si>
    <t>可求助碎片数</t>
  </si>
  <si>
    <t>S品质2片 / A品质5片</t>
  </si>
  <si>
    <t>发布方获得被捐赠碎片</t>
  </si>
  <si>
    <t>仅可求助已拥有武将碎片</t>
  </si>
  <si>
    <t>防止越级获取</t>
  </si>
  <si>
    <t>单次捐赠量</t>
  </si>
  <si>
    <t>捐赠方获得个人代币100</t>
  </si>
  <si>
    <t>单条心愿每人最多捐赠2次</t>
  </si>
  <si>
    <t>鼓励多人参与</t>
  </si>
  <si>
    <t>每日捐赠次数</t>
  </si>
  <si>
    <t>公会商店</t>
  </si>
  <si>
    <t>商品id</t>
  </si>
  <si>
    <t>商品</t>
  </si>
  <si>
    <t>商品数量</t>
  </si>
  <si>
    <t>商品价值</t>
  </si>
  <si>
    <t>使用货币</t>
  </si>
  <si>
    <t>货币数量</t>
  </si>
  <si>
    <t>货币价值</t>
  </si>
  <si>
    <t>实际折扣</t>
  </si>
  <si>
    <t>限购类型</t>
  </si>
  <si>
    <t>限购数量</t>
  </si>
  <si>
    <t>每周限购</t>
  </si>
  <si>
    <t>不限购</t>
  </si>
  <si>
    <t>所有建筑先默认开启</t>
  </si>
  <si>
    <t>角色经验低</t>
  </si>
  <si>
    <t>角色经验中</t>
  </si>
  <si>
    <t>角色经验高</t>
  </si>
  <si>
    <t>角色升阶材料低攻</t>
  </si>
  <si>
    <t>角色升阶材料低防</t>
  </si>
  <si>
    <t>角色升阶材料低辅</t>
  </si>
  <si>
    <t>角色升阶材料中攻</t>
  </si>
  <si>
    <t>角色升阶材料中防</t>
  </si>
  <si>
    <t>角色升阶材料中辅</t>
  </si>
  <si>
    <t>角色升阶材料高攻</t>
  </si>
  <si>
    <t>角色升阶材料高防</t>
  </si>
  <si>
    <t>角色升阶材料高辅</t>
  </si>
  <si>
    <t>映射装备经验</t>
  </si>
  <si>
    <t>收容物经验</t>
  </si>
  <si>
    <t>专武突破材料低攻</t>
  </si>
  <si>
    <t>专武突破材料低防</t>
  </si>
  <si>
    <t>专武突破材料低辅</t>
  </si>
  <si>
    <t>专武突破材料中攻</t>
  </si>
  <si>
    <t>专武突破材料中防</t>
  </si>
  <si>
    <t>专武突破材料中辅</t>
  </si>
  <si>
    <t>专武突破材料高攻</t>
  </si>
  <si>
    <t>专武突破材料高防</t>
  </si>
  <si>
    <t>专武突破材料高辅</t>
  </si>
  <si>
    <t>映射装备紫色</t>
  </si>
  <si>
    <t>映射装备金色</t>
  </si>
  <si>
    <t>星盘低级道具攻1</t>
  </si>
  <si>
    <t>星盘低级道具攻2</t>
  </si>
  <si>
    <t>星盘低级道具防1</t>
  </si>
  <si>
    <t>星盘低级道具防2</t>
  </si>
  <si>
    <t>星盘低级道具辅1</t>
  </si>
  <si>
    <t>星盘低级道具辅2</t>
  </si>
  <si>
    <t>星盘中级道具攻1</t>
  </si>
  <si>
    <t>星盘中级道具攻2</t>
  </si>
  <si>
    <t>星盘中级道具防1</t>
  </si>
  <si>
    <t>星盘中级道具防2</t>
  </si>
  <si>
    <t>星盘中级道具辅1</t>
  </si>
  <si>
    <t>星盘中级道具辅2</t>
  </si>
  <si>
    <t>星盘高级道具攻1</t>
  </si>
  <si>
    <t>星盘高级道具攻2</t>
  </si>
  <si>
    <t>星盘高级道具防1</t>
  </si>
  <si>
    <t>星盘高级道具防2</t>
  </si>
  <si>
    <t>星盘高级道具辅1</t>
  </si>
  <si>
    <t>星盘高级道具辅2</t>
  </si>
  <si>
    <t>星盘顶级道具攻1</t>
  </si>
  <si>
    <t>星盘顶级道具攻2</t>
  </si>
  <si>
    <t>星盘顶级道具防1</t>
  </si>
  <si>
    <t>星盘顶级道具防2</t>
  </si>
  <si>
    <t>星盘顶级道具辅1</t>
  </si>
  <si>
    <t>星盘顶级道具辅2</t>
  </si>
  <si>
    <t>无限挑战数值概述</t>
  </si>
  <si>
    <t>跑酷游戏的经典玩法，无限关卡</t>
  </si>
  <si>
    <t>数值点</t>
  </si>
  <si>
    <t>具体得分规则</t>
  </si>
  <si>
    <t>周任务奖励</t>
  </si>
  <si>
    <t>排名奖励</t>
  </si>
  <si>
    <t>生涯奖励</t>
  </si>
  <si>
    <t>——见Vgame基本战斗框架</t>
  </si>
  <si>
    <t>每3个波次，依次分类为小怪、精英和BOSS</t>
  </si>
  <si>
    <t>波次分类</t>
  </si>
  <si>
    <t>波次基础分</t>
  </si>
  <si>
    <t>波次额外分</t>
  </si>
  <si>
    <t>波次总分</t>
  </si>
  <si>
    <t>普通关</t>
  </si>
  <si>
    <t>精英关</t>
  </si>
  <si>
    <t>boss关</t>
  </si>
  <si>
    <t>怪物分类</t>
  </si>
  <si>
    <t>怪物分数系数</t>
  </si>
  <si>
    <t>小怪</t>
  </si>
  <si>
    <t>精英</t>
  </si>
  <si>
    <t>分数计算</t>
  </si>
  <si>
    <t>小怪、精英关需要根据配置的小怪、精英数量决定具体决定每只小怪和精英的分数</t>
  </si>
  <si>
    <t>小怪数</t>
  </si>
  <si>
    <t>精英数</t>
  </si>
  <si>
    <t>单位得分</t>
  </si>
  <si>
    <t>小怪分</t>
  </si>
  <si>
    <t>精英分</t>
  </si>
  <si>
    <t>boss关只有boss扣血会获得得分，根据扣血百分比计算</t>
  </si>
  <si>
    <t>例如打掉boss50%的血，就会获得50%*500=250分</t>
  </si>
  <si>
    <t>通过时间评级以及对应增加之间规则</t>
  </si>
  <si>
    <t>通过时间</t>
  </si>
  <si>
    <t>奖励时间</t>
  </si>
  <si>
    <t>90s内</t>
  </si>
  <si>
    <t>90-120s</t>
  </si>
  <si>
    <t>120-150s</t>
  </si>
  <si>
    <t>150-180s</t>
  </si>
  <si>
    <t>180s以上</t>
  </si>
  <si>
    <t>每周任务数量</t>
  </si>
  <si>
    <t>任务值</t>
  </si>
  <si>
    <t>无限挑战累计挑战X次</t>
  </si>
  <si>
    <t>无限挑战累计通过X波</t>
  </si>
  <si>
    <t>无限挑战累计通过X分</t>
  </si>
  <si>
    <t>暂无排名奖励</t>
  </si>
  <si>
    <t>排行奖励</t>
  </si>
  <si>
    <t>排名</t>
  </si>
  <si>
    <t>排名奖励1</t>
  </si>
  <si>
    <t>排名奖励2</t>
  </si>
  <si>
    <t>设计思路</t>
  </si>
  <si>
    <t>得分</t>
  </si>
  <si>
    <t>生涯奖励1</t>
  </si>
  <si>
    <t>价值1</t>
  </si>
  <si>
    <t>生涯奖励2</t>
  </si>
  <si>
    <t>价值2</t>
  </si>
  <si>
    <t>价值总</t>
  </si>
  <si>
    <t>每9关一个大循环</t>
  </si>
  <si>
    <t>每关都有普通奖励</t>
  </si>
  <si>
    <t>每3关一个小节点奖励</t>
  </si>
  <si>
    <t>每9关一个大节点奖励</t>
  </si>
  <si>
    <t>99关是最后一个大节点，之后的奖励为之前的20%</t>
  </si>
  <si>
    <t>每个循环之间的数值需要递增</t>
  </si>
  <si>
    <t>数值设计思路</t>
  </si>
  <si>
    <t>竞技场奖励通常要同时解决 5 个问题：</t>
  </si>
  <si>
    <t>单场胜利奖励</t>
  </si>
  <si>
    <t>赛季累计胜利奖励</t>
  </si>
  <si>
    <t>鼓励每天打：让玩家愿意持续参与</t>
  </si>
  <si>
    <t>排名奖励（前X名）</t>
  </si>
  <si>
    <t>鼓励赛季追进度：让玩家有中期目标</t>
  </si>
  <si>
    <t>赛季段位奖励</t>
  </si>
  <si>
    <t>鼓励冲榜：给头部玩家竞争空间</t>
  </si>
  <si>
    <t>生涯首次到达段位奖励</t>
  </si>
  <si>
    <t>鼓励冲段：让中高活跃玩家有成长反馈</t>
  </si>
  <si>
    <t>商店奖励</t>
  </si>
  <si>
    <t>控制经济产出：不能把高价值资源全堆进竞技场</t>
  </si>
  <si>
    <t>所以这 6 类奖励分别承担：</t>
  </si>
  <si>
    <t>单场胜利奖励：日常参与</t>
  </si>
  <si>
    <t>赛季累计胜利奖励：中期留存</t>
  </si>
  <si>
    <t>排名奖励：头部竞争</t>
  </si>
  <si>
    <t>赛季段位奖励：赛季结算荣誉</t>
  </si>
  <si>
    <t>生涯首次到达段位奖励：长期成长里程碑</t>
  </si>
  <si>
    <t>商店奖励：可控消耗与长线养成</t>
  </si>
  <si>
    <t>具体数值设计</t>
  </si>
  <si>
    <t>1.基础数值</t>
  </si>
  <si>
    <t>每日刷新次数</t>
  </si>
  <si>
    <t>消耗体力次数</t>
  </si>
  <si>
    <t>购买次数</t>
  </si>
  <si>
    <t>购买价格</t>
  </si>
  <si>
    <t>赛季天数</t>
  </si>
  <si>
    <t>初始分数</t>
  </si>
  <si>
    <t>分数计算规则</t>
  </si>
  <si>
    <t>胜者的新积分=胜者的原积分+1 / (1 + 10 ^ ((两者原分数差) / 400))*55，四舍五入</t>
  </si>
  <si>
    <t>负者的新积分=负者的原积分-1 / (1 + 10 ^ ((两者原分数差) / 400))*20，四舍五入</t>
  </si>
  <si>
    <t>2.单场胜利、失败奖励</t>
  </si>
  <si>
    <t>胜利奖励</t>
  </si>
  <si>
    <t>奖励1</t>
  </si>
  <si>
    <t>失败奖励奖励</t>
  </si>
  <si>
    <t>3.段位积分以及奖励</t>
  </si>
  <si>
    <t>段位名称</t>
  </si>
  <si>
    <t>最小积分</t>
  </si>
  <si>
    <t>首次到达奖励1</t>
  </si>
  <si>
    <t>首次到达奖励数量2</t>
  </si>
  <si>
    <t>首次到达奖励2</t>
  </si>
  <si>
    <t>赛季结算奖励1</t>
  </si>
  <si>
    <t>赛季结算数量1</t>
  </si>
  <si>
    <t>赛季结算奖励2</t>
  </si>
  <si>
    <t>赛季结算数量2</t>
  </si>
  <si>
    <t>青铜Ⅲ</t>
  </si>
  <si>
    <t>青铜Ⅱ</t>
  </si>
  <si>
    <t>青铜Ⅰ</t>
  </si>
  <si>
    <t>白银Ⅲ</t>
  </si>
  <si>
    <t>白银Ⅱ</t>
  </si>
  <si>
    <t>白银Ⅰ</t>
  </si>
  <si>
    <t>黄金Ⅲ</t>
  </si>
  <si>
    <t>黄金Ⅱ</t>
  </si>
  <si>
    <t>黄金Ⅰ</t>
  </si>
  <si>
    <t>铂金Ⅲ</t>
  </si>
  <si>
    <t>铂金Ⅱ</t>
  </si>
  <si>
    <t>铂金Ⅰ</t>
  </si>
  <si>
    <t>翡翠Ⅲ</t>
  </si>
  <si>
    <t>翡翠Ⅱ</t>
  </si>
  <si>
    <t>翡翠Ⅰ</t>
  </si>
  <si>
    <t>钻石Ⅲ</t>
  </si>
  <si>
    <t>钻石Ⅱ</t>
  </si>
  <si>
    <t>钻石Ⅰ</t>
  </si>
  <si>
    <t>大师Ⅲ</t>
  </si>
  <si>
    <t>大师Ⅱ</t>
  </si>
  <si>
    <t>大师Ⅰ</t>
  </si>
  <si>
    <t>殿堂Ⅰ</t>
  </si>
  <si>
    <t>殿堂Ⅱ</t>
  </si>
  <si>
    <t>殿堂Ⅲ</t>
  </si>
  <si>
    <t>4.排名奖励（前X名）</t>
  </si>
  <si>
    <t>5.商店奖励</t>
  </si>
  <si>
    <t>竞技场商店</t>
  </si>
  <si>
    <t>购买限制</t>
  </si>
  <si>
    <t>赛季限购</t>
  </si>
  <si>
    <t>终生限购</t>
  </si>
  <si>
    <t>6.赛季累胜奖励</t>
  </si>
  <si>
    <t>奖励数量1</t>
  </si>
  <si>
    <t>赛季累胜</t>
  </si>
  <si>
    <t>首次到达奖励</t>
  </si>
  <si>
    <t>赛季结算奖励</t>
  </si>
  <si>
    <t>商店配置</t>
  </si>
  <si>
    <t>19,</t>
  </si>
  <si>
    <t>BuyLimit_FourteenDay</t>
  </si>
  <si>
    <t>BuyLimit_Ever</t>
  </si>
  <si>
    <t>BuyLimit_None</t>
  </si>
  <si>
    <t>竞技场分层模型与建议版</t>
  </si>
  <si>
    <t>基于现有竞技场页、主角等级页，以及当前初始积分 1000 和积分计算规则的 14 天赛季测算；用于压实免费/小R/中R/大R段位区间，并给出建议积分规则与累胜节点。</t>
  </si>
  <si>
    <t>一、核心口径</t>
  </si>
  <si>
    <t>二、建议积分规则</t>
  </si>
  <si>
    <t>直接取自竞技场页</t>
  </si>
  <si>
    <t>段位区间</t>
  </si>
  <si>
    <t>积分范围</t>
  </si>
  <si>
    <t>胜利积分</t>
  </si>
  <si>
    <t>失败积分</t>
  </si>
  <si>
    <t>设计意图</t>
  </si>
  <si>
    <t>免费日场次</t>
  </si>
  <si>
    <t>3 次免费 + 2 次体力</t>
  </si>
  <si>
    <t>青铜Ⅱ~黄金Ⅰ</t>
  </si>
  <si>
    <t>1000-1700</t>
  </si>
  <si>
    <t>保证免费活跃玩家 14 天能稳定进黄金段</t>
  </si>
  <si>
    <t>小R额外购买</t>
  </si>
  <si>
    <t>建议口径</t>
  </si>
  <si>
    <t>铂金Ⅲ~钻石Ⅰ</t>
  </si>
  <si>
    <t>1800-2600</t>
  </si>
  <si>
    <t>压实小R与中R的差异，避免免费玩家过快穿段</t>
  </si>
  <si>
    <t>中R额外购买</t>
  </si>
  <si>
    <t>大师Ⅲ~传说</t>
  </si>
  <si>
    <t>2700-3000+</t>
  </si>
  <si>
    <t>给大R冲榜空间，但不让传说过于泛滥</t>
  </si>
  <si>
    <t>大R额外购买</t>
  </si>
  <si>
    <t>竞技场代币价值(钻)</t>
  </si>
  <si>
    <t>锚点不改</t>
  </si>
  <si>
    <t>炮台升级小材料价值(钻)</t>
  </si>
  <si>
    <t>炮台升级大材料价值(钻)</t>
  </si>
  <si>
    <t>免费日经验</t>
  </si>
  <si>
    <t>自然体力 + 日常</t>
  </si>
  <si>
    <t>小R日经验</t>
  </si>
  <si>
    <t>主角等级页口径</t>
  </si>
  <si>
    <t>中R日经验</t>
  </si>
  <si>
    <t>大R日经验</t>
  </si>
  <si>
    <t>三、14 天赛季玩家分层模型</t>
  </si>
  <si>
    <t>日经验</t>
  </si>
  <si>
    <t>14天总经验</t>
  </si>
  <si>
    <t>14天主角等级</t>
  </si>
  <si>
    <t>队伍状态锚点</t>
  </si>
  <si>
    <t>日场次</t>
  </si>
  <si>
    <t>赛季总场次</t>
  </si>
  <si>
    <t>胜率假设</t>
  </si>
  <si>
    <t>预计胜场</t>
  </si>
  <si>
    <t>预计负场</t>
  </si>
  <si>
    <t>建议积分区间</t>
  </si>
  <si>
    <t>建议结算段位</t>
  </si>
  <si>
    <t>5角色；角色均级48；专武均级45；旅券均级3；映射均级44</t>
  </si>
  <si>
    <t>1450-1560</t>
  </si>
  <si>
    <t>主要落点黄金Ⅲ；区间大致在白银Ⅰ到黄金Ⅱ之间浮动</t>
  </si>
  <si>
    <t>5角色；角色均级49；专武均级47；旅券均级4；映射均级46</t>
  </si>
  <si>
    <t>1710-1810</t>
  </si>
  <si>
    <t>主要落点黄金Ⅰ；顺风或对局质量较高时可摸到铂金Ⅲ</t>
  </si>
  <si>
    <t>5角色；角色均级50；专武均级49；旅券均级4；映射均级48</t>
  </si>
  <si>
    <t>2020-2120</t>
  </si>
  <si>
    <t>主要落点铂金Ⅰ；顺风可到翡翠Ⅲ，资源差开始稳定转化为竞技场分数</t>
  </si>
  <si>
    <t>5角色；角色均级54；专武均级53；突破4；映射均级52</t>
  </si>
  <si>
    <t>2720-2920</t>
  </si>
  <si>
    <t>主要落点大师Ⅱ；强势号可上大师Ⅰ，顶配大R可摸传说边缘</t>
  </si>
  <si>
    <t>四、按当前竞技场页计算的 14 天赛季奖励预期</t>
  </si>
  <si>
    <t>累胜代币</t>
  </si>
  <si>
    <t>累胜小材料</t>
  </si>
  <si>
    <t>单场代币</t>
  </si>
  <si>
    <t>单场小材料</t>
  </si>
  <si>
    <t>结算钻石</t>
  </si>
  <si>
    <t>结算代币</t>
  </si>
  <si>
    <t>赛季总代币</t>
  </si>
  <si>
    <t>赛季总小材料</t>
  </si>
  <si>
    <t>总价值(钻)</t>
  </si>
  <si>
    <t>五、建议改值：保留单场奖励和赛季结算，拉长累胜节点</t>
  </si>
  <si>
    <t>单件价值(钻)</t>
  </si>
  <si>
    <t>节点价值(钻)</t>
  </si>
  <si>
    <t>设计目标</t>
  </si>
  <si>
    <t>建议累胜可达节点</t>
  </si>
  <si>
    <t>解释</t>
  </si>
  <si>
    <t>首日或次日即可触达，强化前期反馈</t>
  </si>
  <si>
    <t>36 胜</t>
  </si>
  <si>
    <t>前 20 胜反馈更密，赛季稳定能吃到免费终点</t>
  </si>
  <si>
    <t>保留原首周早期的稳定日常反馈</t>
  </si>
  <si>
    <t>48 胜</t>
  </si>
  <si>
    <t>小R能稳定多吃 1 档中段节点，层差更清晰</t>
  </si>
  <si>
    <t>补一个轻目标，避免 10 胜后反馈断档</t>
  </si>
  <si>
    <t>60 胜</t>
  </si>
  <si>
    <t>中R赛季尾还能继续追 1 档，成长感更顺</t>
  </si>
  <si>
    <t>延续现有 20 胜节点的认知</t>
  </si>
  <si>
    <t>78 胜</t>
  </si>
  <si>
    <t>大R需要完整投入赛季，才能稳定拿到最终节点</t>
  </si>
  <si>
    <t>免费活跃玩家第一周可稳定达到</t>
  </si>
  <si>
    <t>免费玩家赛季稳定终点</t>
  </si>
  <si>
    <t>小R稳定可达，形成与免费玩家的层差</t>
  </si>
  <si>
    <t>中R稳定可达，赛季中后段仍有追进度目标</t>
  </si>
  <si>
    <t>仅大R稳定覆盖，作为赛季末头部目标</t>
  </si>
  <si>
    <t>六、落地建议</t>
  </si>
  <si>
    <t>1. 先补积分规则，再讨论段位线；不建议在缺积分模型的情况下直接谈某段位奖励是否过高。</t>
  </si>
  <si>
    <t>2. 累胜奖励前段已加密，目的是让免费和小R都能更早感知反馈，而不是把所有价值都压在赛季结算。</t>
  </si>
  <si>
    <t>3. 当前竞技场对通用成长的差距拉开不明显，更多价值锁在炮台体系，这个定位可以保留。</t>
  </si>
  <si>
    <t>4. 若后续希望竞技场更偏荣誉玩法，可继续降低通用资源周限购，强化炮台/外观/荣誉奖励占比。</t>
  </si>
  <si>
    <t>5. 本页不改原竞技场页，先作为建议版审阅；确认后再回填正式竞技场页。</t>
  </si>
  <si>
    <t>系统、数值概述</t>
  </si>
  <si>
    <t>目的在于周期性的数值验证</t>
  </si>
  <si>
    <t>高层塔，开放较早，分为前期固定关卡和后期周期关卡，爬塔特定层数后，周期更换关卡</t>
  </si>
  <si>
    <t>周本、核心验证之一，主要为DPS验证</t>
  </si>
  <si>
    <t>每周重置部分关卡</t>
  </si>
  <si>
    <t>核心奖励给一些</t>
  </si>
  <si>
    <t>1.关卡难度</t>
  </si>
  <si>
    <t>2.关卡奖励</t>
  </si>
  <si>
    <t>每周层数奖励</t>
  </si>
  <si>
    <t>3.商店</t>
  </si>
  <si>
    <t>数值如下</t>
  </si>
  <si>
    <t>总层数</t>
  </si>
  <si>
    <t>层数</t>
  </si>
  <si>
    <t>首通奖励1</t>
  </si>
  <si>
    <t>首通奖励1价值</t>
  </si>
  <si>
    <t>首通奖励2</t>
  </si>
  <si>
    <t>奖励道具1</t>
  </si>
  <si>
    <t>代币总</t>
  </si>
  <si>
    <t>双周奖励1</t>
  </si>
  <si>
    <t>双周奖励数量1</t>
  </si>
  <si>
    <t>下降层数</t>
  </si>
  <si>
    <t>商店</t>
  </si>
  <si>
    <t>长期追求</t>
  </si>
  <si>
    <t>解锁类型</t>
  </si>
  <si>
    <t>解锁值</t>
  </si>
  <si>
    <t>爬塔历史最高达到X层</t>
  </si>
  <si>
    <t>金色旅券自选一套</t>
  </si>
  <si>
    <t>活跃追求</t>
  </si>
  <si>
    <t>每期限购</t>
  </si>
  <si>
    <t>总消耗</t>
  </si>
  <si>
    <t>核心消耗</t>
  </si>
  <si>
    <t>27,</t>
  </si>
  <si>
    <t>大秘境总层数</t>
  </si>
  <si>
    <t>层数奖励1</t>
  </si>
  <si>
    <t>层数数量1</t>
  </si>
  <si>
    <t>层数奖励2</t>
  </si>
  <si>
    <t>层数数量2</t>
  </si>
  <si>
    <t>积分算法</t>
  </si>
  <si>
    <t>所需时间（s）</t>
  </si>
  <si>
    <t>上升层数</t>
  </si>
  <si>
    <t>每周积分奖励</t>
  </si>
  <si>
    <t>赛季积分奖励</t>
  </si>
  <si>
    <t>档位奖励1</t>
  </si>
  <si>
    <t>档位奖励2</t>
  </si>
  <si>
    <t>档位奖励3</t>
  </si>
  <si>
    <t>档位1分数</t>
  </si>
  <si>
    <t>档位2分数</t>
  </si>
  <si>
    <t>档位3分数</t>
  </si>
  <si>
    <t>每秒加分</t>
  </si>
  <si>
    <t>万能星盘点</t>
  </si>
  <si>
    <t>专武代币</t>
  </si>
  <si>
    <t>抽卡券</t>
  </si>
  <si>
    <t>抽卡大代币商店</t>
  </si>
  <si>
    <t>购买数量</t>
  </si>
  <si>
    <t>购买折扣</t>
  </si>
  <si>
    <t>复刻卡池</t>
  </si>
  <si>
    <t>暂不投放</t>
  </si>
  <si>
    <t>每月限购</t>
  </si>
  <si>
    <t>抽卡小代币商店</t>
  </si>
  <si>
    <t>映射装备商店</t>
  </si>
  <si>
    <t>##</t>
  </si>
  <si>
    <t>专武商店</t>
  </si>
  <si>
    <t>暂不开启</t>
  </si>
  <si>
    <t>S专武</t>
  </si>
  <si>
    <t>专武商店代币</t>
  </si>
  <si>
    <t>A专武</t>
  </si>
  <si>
    <t>B专武</t>
  </si>
  <si>
    <t>S专武万能材料</t>
  </si>
  <si>
    <t>A专武万能材料</t>
  </si>
  <si>
    <t>B专武万能材料</t>
  </si>
  <si>
    <t>杂货商店</t>
  </si>
  <si>
    <t>每日限购</t>
  </si>
  <si>
    <t>旅券副本</t>
  </si>
  <si>
    <t>邮票本1首通</t>
  </si>
  <si>
    <t>邮票本2首通</t>
  </si>
  <si>
    <t>邮票本3首通</t>
  </si>
  <si>
    <t>邮票本4首通</t>
  </si>
  <si>
    <t>终焉裁判之刃</t>
  </si>
  <si>
    <t>东部跨区商队</t>
  </si>
  <si>
    <t>古代废墟幻影</t>
  </si>
  <si>
    <t>浮浪码头游轮</t>
  </si>
  <si>
    <t>消耗体力</t>
  </si>
  <si>
    <t>开放等级</t>
  </si>
  <si>
    <t>掉落旅券总数</t>
  </si>
  <si>
    <t>蓝色概率</t>
  </si>
  <si>
    <t>紫色概率</t>
  </si>
  <si>
    <t>金色概率</t>
  </si>
  <si>
    <t>红色概率</t>
  </si>
  <si>
    <t>蓝色期望件数</t>
  </si>
  <si>
    <t>紫色概率件数</t>
  </si>
  <si>
    <t>金色概率件数</t>
  </si>
  <si>
    <t>红色概率件数</t>
  </si>
  <si>
    <t>蓝色期望价值</t>
  </si>
  <si>
    <t>紫色概率价值</t>
  </si>
  <si>
    <t>金色概率价值</t>
  </si>
  <si>
    <t>红色概率价值</t>
  </si>
  <si>
    <t>首通奖励3</t>
  </si>
  <si>
    <t>首通奖励4</t>
  </si>
  <si>
    <t>首通奖励4数值</t>
  </si>
  <si>
    <t>蓝色旅券1号位</t>
  </si>
  <si>
    <t>蓝色旅券2号位</t>
  </si>
  <si>
    <t>蓝色旅券3号位</t>
  </si>
  <si>
    <t>邮票经验</t>
  </si>
  <si>
    <t>蓝色旅券4号位</t>
  </si>
  <si>
    <t>蓝色旅券5号位</t>
  </si>
  <si>
    <t>蓝色旅券6号位</t>
  </si>
  <si>
    <t>紫色旅券1号位</t>
  </si>
  <si>
    <t>紫色旅券2号位</t>
  </si>
  <si>
    <t>紫色旅券3号位</t>
  </si>
  <si>
    <t>紫色旅券4号位</t>
  </si>
  <si>
    <t>紫色旅券5号位</t>
  </si>
  <si>
    <t>紫色旅券6号位</t>
  </si>
  <si>
    <t>金色旅券1号位</t>
  </si>
  <si>
    <t>金色旅券2号位</t>
  </si>
  <si>
    <t>金色旅券3号位</t>
  </si>
  <si>
    <t>金色旅券4号位</t>
  </si>
  <si>
    <t>金色旅券5号位</t>
  </si>
  <si>
    <t>金色旅券6号位</t>
  </si>
  <si>
    <t>红色旅券1号位</t>
  </si>
  <si>
    <t>红色旅券2号位</t>
  </si>
  <si>
    <t>红色旅券3号位</t>
  </si>
  <si>
    <t>红色旅券4号位</t>
  </si>
  <si>
    <t>红色旅券5号位</t>
  </si>
  <si>
    <t>红色旅券6号位</t>
  </si>
  <si>
    <t>,-1;</t>
  </si>
  <si>
    <t>,-1</t>
  </si>
  <si>
    <t>邮票本1</t>
  </si>
  <si>
    <t>永冬的铁十字</t>
  </si>
  <si>
    <t>兄弟会头奖彩券</t>
  </si>
  <si>
    <t>邮票本2</t>
  </si>
  <si>
    <t>教廷辉光</t>
  </si>
  <si>
    <t>艾尔及亚狂风</t>
  </si>
  <si>
    <t>邮票本3</t>
  </si>
  <si>
    <t>邮票本4</t>
  </si>
  <si>
    <t>萨尔纳加琉璃盏</t>
  </si>
  <si>
    <t>单装备总经验</t>
  </si>
  <si>
    <t>4装备总经验</t>
  </si>
  <si>
    <t>单装备总金币</t>
  </si>
  <si>
    <t>4装备总金币</t>
  </si>
  <si>
    <t>初始递增比例</t>
  </si>
  <si>
    <t>每级减少比例</t>
  </si>
  <si>
    <t>最小递增比例</t>
  </si>
  <si>
    <t>单装备总坑深（钻石）</t>
  </si>
  <si>
    <t>4装备总坑深（钻石）</t>
  </si>
  <si>
    <t>同品质装备突破材料/同名装备</t>
  </si>
  <si>
    <t>4件</t>
  </si>
  <si>
    <t>分解获得经验</t>
  </si>
  <si>
    <t>分解材料</t>
  </si>
  <si>
    <t>分解材料数量</t>
  </si>
  <si>
    <t>分解材料价值</t>
  </si>
  <si>
    <t>玩法定位</t>
  </si>
  <si>
    <t>玩法预计开启时间</t>
  </si>
  <si>
    <t>预计产出</t>
  </si>
  <si>
    <t>一次性产出</t>
  </si>
  <si>
    <t>主线</t>
  </si>
  <si>
    <t>游戏主轴、承载游戏引导和表现</t>
  </si>
  <si>
    <t>默认开启</t>
  </si>
  <si>
    <t>经验、角色专武突破材料、角色星盘材料</t>
  </si>
  <si>
    <t>钻石、抽卡券、前期养成材料（金币经验等）、特殊产出</t>
  </si>
  <si>
    <t>资源副本</t>
  </si>
  <si>
    <t>普通玩法，目前有金币、经验和专武经验</t>
  </si>
  <si>
    <t>第1天前期，随主线</t>
  </si>
  <si>
    <t>金币、经验和专武经验</t>
  </si>
  <si>
    <t>钻石或养成材料</t>
  </si>
  <si>
    <t>周本（或者双周本），前期核心数值dps验证</t>
  </si>
  <si>
    <t>第1天中期</t>
  </si>
  <si>
    <t>钻石、养成材料、稀有养成材料、成就性奖励（不含装备、收容物）</t>
  </si>
  <si>
    <t>钻石、前期一次性资源</t>
  </si>
  <si>
    <t>BOSS挑战</t>
  </si>
  <si>
    <t>一次性挑战、数值验证</t>
  </si>
  <si>
    <t>第1天中后期</t>
  </si>
  <si>
    <t>钻石、抽卡券、养成资源、稀有养成材料、映射装备、收容物</t>
  </si>
  <si>
    <t>映射装备副本</t>
  </si>
  <si>
    <t>类似dnf深渊，高频高爽，数值验证较缓</t>
  </si>
  <si>
    <t>第1天后期</t>
  </si>
  <si>
    <t>映射装备、映射装备经验、映射装备代币、宝石、铭文</t>
  </si>
  <si>
    <t>钻石、映射装备、铭文、宝石</t>
  </si>
  <si>
    <t>收容物副本</t>
  </si>
  <si>
    <t>组队玩法，单体boss，强社交</t>
  </si>
  <si>
    <t>第2天中期</t>
  </si>
  <si>
    <t>收容物、收容物经验</t>
  </si>
  <si>
    <t>综合数值验证，续航需求高</t>
  </si>
  <si>
    <t>第2天后期</t>
  </si>
  <si>
    <t>钻石、养成材料、稀有养成材料、宝石、成就性奖励</t>
  </si>
  <si>
    <t>钻石、稀有养成材料、宝石</t>
  </si>
  <si>
    <t>单体boss打桩</t>
  </si>
  <si>
    <t>第3天</t>
  </si>
  <si>
    <t>常规材料、偏收容物</t>
  </si>
  <si>
    <t>多环境核心验证，box练度要求较高</t>
  </si>
  <si>
    <t>第4-5天</t>
  </si>
  <si>
    <t>收容物+映射装备、宝石、铭文</t>
  </si>
  <si>
    <t>7日签到设计</t>
  </si>
  <si>
    <t>累计签到次数</t>
  </si>
  <si>
    <t>道具ID1</t>
  </si>
  <si>
    <t>道具ID2</t>
  </si>
  <si>
    <t>日合计价值</t>
  </si>
  <si>
    <t>设计目的</t>
  </si>
  <si>
    <t>角色抽卡券</t>
  </si>
  <si>
    <t>萨萨里安</t>
  </si>
  <si>
    <t>生涯累计签到</t>
  </si>
  <si>
    <t>奖励价值1</t>
  </si>
  <si>
    <t>映射装备红色</t>
  </si>
  <si>
    <t>A角色自选</t>
  </si>
  <si>
    <t>关键汇总</t>
  </si>
  <si>
    <t>直接钻石投放</t>
  </si>
  <si>
    <t>S角色随机</t>
  </si>
  <si>
    <t>角色抽卡券数量</t>
  </si>
  <si>
    <t>专武抽卡券数量</t>
  </si>
  <si>
    <t>普通抽卡券总数</t>
  </si>
  <si>
    <t>钻石+抽卡券等价</t>
  </si>
  <si>
    <t>只统计钻石和抽卡券，不含养成材料</t>
  </si>
  <si>
    <t>全奖励钻石等价</t>
  </si>
  <si>
    <t>含金币、经验、体力药等全部奖励</t>
  </si>
  <si>
    <t>Vgame 7日任务系统设计（玩法引导放宽版-每日10任务）</t>
  </si>
  <si>
    <t>用点数阶段奖励引导新玩家体验已开放玩法；主线和角色/主角等级作为成长锚点，不做满进度硬卡。</t>
  </si>
  <si>
    <t>等级依据</t>
  </si>
  <si>
    <t>引用《Vgame新手引导以及开启节奏.xlsx》/主角等级/天数等级表；主角等级任务低于表内每日目标。</t>
  </si>
  <si>
    <t>任务结构</t>
  </si>
  <si>
    <t>每天10条任务，共70条；每条任务10点，满点700点。</t>
  </si>
  <si>
    <t>设计调整</t>
  </si>
  <si>
    <t>保留现有56条任务不变，每天新增2条邮票/映射装备副本相关任务；邮票相关任务从Day3开始出现。</t>
  </si>
  <si>
    <t>玩法覆盖</t>
  </si>
  <si>
    <t>除主线外覆盖抽卡、资源副本、扫荡、每日/每周任务、映射装备、映射装备副本层数、无限挑战、能效、专武、竞技场、Boss挑战、爬塔、邮票副本层数。</t>
  </si>
  <si>
    <t>阶段规则</t>
  </si>
  <si>
    <t>阶段奖励按每日完成后的累计点数设置：100/200/300/400/500/600/700。</t>
  </si>
  <si>
    <t>配置定位</t>
  </si>
  <si>
    <t>当前只作为经济框架设计页，不直接改Config/GameConfig/Datas配置表。</t>
  </si>
  <si>
    <t>任务明细（每天以分隔行区分，每条任务10点）</t>
  </si>
  <si>
    <t>Day</t>
  </si>
  <si>
    <t>任务序号</t>
  </si>
  <si>
    <t>开放等级参考</t>
  </si>
  <si>
    <t>任务内容</t>
  </si>
  <si>
    <t>目标类型</t>
  </si>
  <si>
    <t>目标参数</t>
  </si>
  <si>
    <t>点数类型</t>
  </si>
  <si>
    <t>点数</t>
  </si>
  <si>
    <t>Day1</t>
  </si>
  <si>
    <t>Lv22</t>
  </si>
  <si>
    <t>竞技场挑战3次</t>
  </si>
  <si>
    <t>Target_TTT_Arena_Challenge_Times</t>
  </si>
  <si>
    <t>0,3</t>
  </si>
  <si>
    <t>7日任务点数</t>
  </si>
  <si>
    <t>首日打开活动入口</t>
  </si>
  <si>
    <t>玩家等级达到22</t>
  </si>
  <si>
    <t>Target_TTT_RoleLevel</t>
  </si>
  <si>
    <t>22,1</t>
  </si>
  <si>
    <t>低于Day1等级表目标Lv22，作为宽松等级锚点</t>
  </si>
  <si>
    <t>通关主线1-10</t>
  </si>
  <si>
    <t>Target_TTT_pass_Level</t>
  </si>
  <si>
    <t>100110,1</t>
  </si>
  <si>
    <t>Day1完成第一章，主线推进感更明确</t>
  </si>
  <si>
    <t>任意卡池累计抽卡10次</t>
  </si>
  <si>
    <t>Target_TTT_DrawCard_AnyGachaTimes</t>
  </si>
  <si>
    <t>0,10</t>
  </si>
  <si>
    <t>承接新手十连与角色获取</t>
  </si>
  <si>
    <t>5名角色达到20级</t>
  </si>
  <si>
    <t>Target_TTT_HeroLevel</t>
  </si>
  <si>
    <t>20,5</t>
  </si>
  <si>
    <t>角色等级任务回调，要求首日核心队基础成型</t>
  </si>
  <si>
    <t>2名角色投入3个能效点</t>
  </si>
  <si>
    <t>Target_TTT_UseEnegyPoint_SomeRole</t>
  </si>
  <si>
    <t>3,2</t>
  </si>
  <si>
    <t>引导扫荡与体力消耗</t>
  </si>
  <si>
    <t>完成无限挑战累计达到5000分</t>
  </si>
  <si>
    <t>Target_TTT_InfiniteChallenge_Score</t>
  </si>
  <si>
    <t>0,5000</t>
  </si>
  <si>
    <t>专武经验高10000</t>
  </si>
  <si>
    <t>建立每日活跃习惯</t>
  </si>
  <si>
    <t>4件映射装备达到15级</t>
  </si>
  <si>
    <t>Target_TTT_SpecialEquipmentLevelUp_Num</t>
  </si>
  <si>
    <t>15,4</t>
  </si>
  <si>
    <t>Day1后段引导映射装备</t>
  </si>
  <si>
    <t>通关映射装备副本第3层</t>
  </si>
  <si>
    <t>250031,1</t>
  </si>
  <si>
    <t>新增映射装备副本层数引导</t>
  </si>
  <si>
    <t>累计消耗200点储能</t>
  </si>
  <si>
    <t>Target_TTT_Item_Consume</t>
  </si>
  <si>
    <t>新增映射装备副本前期层数目标</t>
  </si>
  <si>
    <t>Day2</t>
  </si>
  <si>
    <t>Lv27</t>
  </si>
  <si>
    <t>玩家等级达到27</t>
  </si>
  <si>
    <t>27,1</t>
  </si>
  <si>
    <t>低于Day2等级表目标Lv27，避免卡满当天等级</t>
  </si>
  <si>
    <t>通关主线2-5</t>
  </si>
  <si>
    <t>100205,1</t>
  </si>
  <si>
    <t>Day2推进到第二章前段</t>
  </si>
  <si>
    <t>5名角色达到30级</t>
  </si>
  <si>
    <t>30,5</t>
  </si>
  <si>
    <t>角色等级任务回调，补齐核心队人数</t>
  </si>
  <si>
    <t>8件映射装备达到20级</t>
  </si>
  <si>
    <t>20,8</t>
  </si>
  <si>
    <t>引导能效，不要求过深</t>
  </si>
  <si>
    <t>完成无限挑战累计达到9000分</t>
  </si>
  <si>
    <t>0,9000</t>
  </si>
  <si>
    <t>引导无限挑战</t>
  </si>
  <si>
    <t>加入公会</t>
  </si>
  <si>
    <t>NeedsNew_Target_TTT_Guild_Join</t>
  </si>
  <si>
    <t>0,1</t>
  </si>
  <si>
    <t>映射装备升级目标放宽</t>
  </si>
  <si>
    <t>竞技场挑战6次</t>
  </si>
  <si>
    <t>0,6</t>
  </si>
  <si>
    <t>专武开启后首个养成目标</t>
  </si>
  <si>
    <t>累计消耗500点储能</t>
  </si>
  <si>
    <t>3,500</t>
  </si>
  <si>
    <t>补足Day2第8条，延续日常活跃</t>
  </si>
  <si>
    <t>通关映射装备副本第5层</t>
  </si>
  <si>
    <t>250051,1</t>
  </si>
  <si>
    <t>新增映射装备副本层数推进</t>
  </si>
  <si>
    <t>通关爬塔普通层10层</t>
  </si>
  <si>
    <t>Target_TTT_Tower_MaxPassLayer</t>
  </si>
  <si>
    <t>新增映射装备副本Day2收束目标</t>
  </si>
  <si>
    <t>Day3</t>
  </si>
  <si>
    <t>Lv31</t>
  </si>
  <si>
    <t>玩家等级达到31</t>
  </si>
  <si>
    <t>31,1</t>
  </si>
  <si>
    <t>低于Day3等级表目标Lv31，保留成长方向但放宽</t>
  </si>
  <si>
    <t>通关主线2-15</t>
  </si>
  <si>
    <t>100215,1</t>
  </si>
  <si>
    <t>Day3完成第二章，较当前2-10上调</t>
  </si>
  <si>
    <t>任意Boss挑战通关难度1</t>
  </si>
  <si>
    <t>NeedsNew_Target_TTT_BossChallenge_AnyBossDifficulty</t>
  </si>
  <si>
    <t>引导竞技场参与</t>
  </si>
  <si>
    <t>完成无限挑战累计达到12000分</t>
  </si>
  <si>
    <t>0,12000</t>
  </si>
  <si>
    <t>Lv30后引导BOSS挑战</t>
  </si>
  <si>
    <t>通关爬塔普通层15层</t>
  </si>
  <si>
    <t>0,15</t>
  </si>
  <si>
    <t>引导爬塔玩法</t>
  </si>
  <si>
    <t>通关映射装备副本第7层</t>
  </si>
  <si>
    <t>250071,1</t>
  </si>
  <si>
    <t>引导专武资源副本</t>
  </si>
  <si>
    <t>通关1次困难副本</t>
  </si>
  <si>
    <t>Target_TTT_Type_LevelClearNum</t>
  </si>
  <si>
    <t>37,1</t>
  </si>
  <si>
    <t>引导周常循环</t>
  </si>
  <si>
    <t>累计消耗750点储能</t>
  </si>
  <si>
    <t>3,750</t>
  </si>
  <si>
    <t>补足Day3第8条，引导持续消耗体力</t>
  </si>
  <si>
    <t>通关任意邮票副本第2层</t>
  </si>
  <si>
    <t>NeedsNew_Target_TTT_TravelDungeon_MaxPassLayer</t>
  </si>
  <si>
    <t>0,2</t>
  </si>
  <si>
    <t>邮票相关任务Day3开始出现</t>
  </si>
  <si>
    <t>获得6个旅券</t>
  </si>
  <si>
    <t>NeedsNew_Target_TTT_StrategyCard_Acquire</t>
  </si>
  <si>
    <t>新增邮票养成深度</t>
  </si>
  <si>
    <t>Day4</t>
  </si>
  <si>
    <t>Lv33</t>
  </si>
  <si>
    <t>玩家等级达到33</t>
  </si>
  <si>
    <t>33,1</t>
  </si>
  <si>
    <t>低于Day4等级表目标Lv33，作为中期宽松锚点</t>
  </si>
  <si>
    <t>通关主线3-5</t>
  </si>
  <si>
    <t>100305,1</t>
  </si>
  <si>
    <t>Day4进入第三章前段</t>
  </si>
  <si>
    <t>竞技场段位达到白银Ⅱ</t>
  </si>
  <si>
    <t>NeedsNew_Target_TTT_Arena_RankScore</t>
  </si>
  <si>
    <t>1300,1</t>
  </si>
  <si>
    <t>补充金币资源玩法</t>
  </si>
  <si>
    <t>完成无限挑战累计达到18000分</t>
  </si>
  <si>
    <t>0,18000</t>
  </si>
  <si>
    <t>深化无限挑战</t>
  </si>
  <si>
    <t>5名角色达到40级</t>
  </si>
  <si>
    <t>40,5</t>
  </si>
  <si>
    <t>角色等级任务回调，推动双核心成长</t>
  </si>
  <si>
    <t>通关爬塔普通层20层</t>
  </si>
  <si>
    <t>0,20</t>
  </si>
  <si>
    <t>专武中段目标放宽</t>
  </si>
  <si>
    <t>8件映射装备达到25级</t>
  </si>
  <si>
    <t>25,8</t>
  </si>
  <si>
    <t>映射装备进阶</t>
  </si>
  <si>
    <t>6个旅券升到1级</t>
  </si>
  <si>
    <t>Target_TTT_StrategyCard_Upgrade_Lv</t>
  </si>
  <si>
    <t>1,6</t>
  </si>
  <si>
    <t>周常中段验收</t>
  </si>
  <si>
    <t>通关映射装备副本第9层</t>
  </si>
  <si>
    <t>250091,1</t>
  </si>
  <si>
    <t>新增映射装备副本中期层数目标</t>
  </si>
  <si>
    <t>通关任意邮票副本第3层</t>
  </si>
  <si>
    <t>新增邮票副本层数推进</t>
  </si>
  <si>
    <t>Day5</t>
  </si>
  <si>
    <t>Lv35</t>
  </si>
  <si>
    <t>玩家等级达到35</t>
  </si>
  <si>
    <t>35,1</t>
  </si>
  <si>
    <t>低于Day5等级表目标Lv35，保留节奏感</t>
  </si>
  <si>
    <t>通关主线3-15</t>
  </si>
  <si>
    <t>100315,1</t>
  </si>
  <si>
    <t>Day5完成第三章，形成阶段收束</t>
  </si>
  <si>
    <t>完成无限挑战累计达到21000分</t>
  </si>
  <si>
    <t>0,21000</t>
  </si>
  <si>
    <t>旅券开放后的首批刷本</t>
  </si>
  <si>
    <t>6个旅券升到2级</t>
  </si>
  <si>
    <t>2,6</t>
  </si>
  <si>
    <t>旅券强化目标放宽</t>
  </si>
  <si>
    <t>任意Boss挑战通关难度3</t>
  </si>
  <si>
    <t>补充映射装备副本玩法</t>
  </si>
  <si>
    <t>通关爬塔普通层25层</t>
  </si>
  <si>
    <t>0,25</t>
  </si>
  <si>
    <t>爬塔持续参与</t>
  </si>
  <si>
    <t>竞技场段位达到白银Ⅰ</t>
  </si>
  <si>
    <t>1400,1</t>
  </si>
  <si>
    <t>强化日活连续性</t>
  </si>
  <si>
    <t>累计消耗1000点储能</t>
  </si>
  <si>
    <t>3,1000</t>
  </si>
  <si>
    <t>补足Day5第8条，强化旅券副本参与</t>
  </si>
  <si>
    <t>通关映射装备副本第11层</t>
  </si>
  <si>
    <t>250111,1</t>
  </si>
  <si>
    <t>新增邮票副本中期层数目标</t>
  </si>
  <si>
    <t>通关任意邮票副本第4层</t>
  </si>
  <si>
    <t>0,4</t>
  </si>
  <si>
    <t>新增邮票养成中期目标</t>
  </si>
  <si>
    <t>Day6</t>
  </si>
  <si>
    <t>Lv37</t>
  </si>
  <si>
    <t>玩家等级达到37</t>
  </si>
  <si>
    <t>低于Day6等级表目标Lv37，避免强卡</t>
  </si>
  <si>
    <t>通关主线4-5</t>
  </si>
  <si>
    <t>100405,1</t>
  </si>
  <si>
    <t>Day6进入第四章前段</t>
  </si>
  <si>
    <t>6个旅券升到3级</t>
  </si>
  <si>
    <t>3,6</t>
  </si>
  <si>
    <t>竞技场持续参与</t>
  </si>
  <si>
    <t>竞技场段位达到黄金Ⅲ</t>
  </si>
  <si>
    <t>1500,1</t>
  </si>
  <si>
    <t>Day6强化竞技场段位目标</t>
  </si>
  <si>
    <t>完成无限挑战累计达到24000分</t>
  </si>
  <si>
    <t>0,24000</t>
  </si>
  <si>
    <t>强化旅券刷本习惯</t>
  </si>
  <si>
    <t>通关爬塔普通层30层</t>
  </si>
  <si>
    <t>0,30</t>
  </si>
  <si>
    <t>专武目标比30级更宽松</t>
  </si>
  <si>
    <t>任意Boss挑战通关难度4</t>
  </si>
  <si>
    <t>引导Boss挑战中段进度</t>
  </si>
  <si>
    <t>累计消耗1200点储能</t>
  </si>
  <si>
    <t>3,1200</t>
  </si>
  <si>
    <t>补足Day6第8条，推动旅券养成</t>
  </si>
  <si>
    <t>通关映射装备副本第13层</t>
  </si>
  <si>
    <t>250131,1</t>
  </si>
  <si>
    <t>新增映射装备副本后期层数目标</t>
  </si>
  <si>
    <t>通关任意邮票副本第5层</t>
  </si>
  <si>
    <t>0,5</t>
  </si>
  <si>
    <t>新增邮票副本后期层数目标</t>
  </si>
  <si>
    <t>Day7</t>
  </si>
  <si>
    <t>Lv38</t>
  </si>
  <si>
    <t>玩家等级达到38</t>
  </si>
  <si>
    <t>38,1</t>
  </si>
  <si>
    <t>低于Day7等级表目标Lv38，作为首周毕业前锚点</t>
  </si>
  <si>
    <t>通关主线4-15</t>
  </si>
  <si>
    <t>100415,1</t>
  </si>
  <si>
    <t>Day7推进到第四章中段，不强卡4-15</t>
  </si>
  <si>
    <t>竞技场段位达到黄金Ⅱ</t>
  </si>
  <si>
    <t>1600,1</t>
  </si>
  <si>
    <t>角色等级任务回调，首周验收三名核心角色</t>
  </si>
  <si>
    <t>任意Boss挑战通关难度5</t>
  </si>
  <si>
    <t>首周Boss挑战深度目标</t>
  </si>
  <si>
    <t>完成无限挑战累计达到30000分</t>
  </si>
  <si>
    <t>0,30000</t>
  </si>
  <si>
    <t>完成周循环闭环</t>
  </si>
  <si>
    <t>通关爬塔普通层40层</t>
  </si>
  <si>
    <t>0,40</t>
  </si>
  <si>
    <t>爬塔目标放宽</t>
  </si>
  <si>
    <t>12个旅券升到5级</t>
  </si>
  <si>
    <t>3,12</t>
  </si>
  <si>
    <t>首周抽卡循环验收</t>
  </si>
  <si>
    <t>累计消耗1500点储能</t>
  </si>
  <si>
    <t>3,1500</t>
  </si>
  <si>
    <t>首周体力投入验收</t>
  </si>
  <si>
    <t>通关映射装备副本第15层</t>
  </si>
  <si>
    <t>250151,1</t>
  </si>
  <si>
    <t>新增映射装备副本Day7收束目标</t>
  </si>
  <si>
    <t>通关任意邮票副本第6层</t>
  </si>
  <si>
    <t>新增邮票副本Day7收束目标</t>
  </si>
  <si>
    <t>任务数量校验</t>
  </si>
  <si>
    <t>任务点数校验</t>
  </si>
  <si>
    <t>任务奖励价值</t>
  </si>
  <si>
    <t>点数阶段奖励</t>
  </si>
  <si>
    <t>道具类型</t>
  </si>
  <si>
    <t>所需点数</t>
  </si>
  <si>
    <t>定位</t>
  </si>
  <si>
    <t>拉塔夏</t>
  </si>
  <si>
    <t>拉塔夏专武</t>
  </si>
  <si>
    <t>阶段奖励价值</t>
  </si>
  <si>
    <t>预算汇总（任务奖励 + 阶段奖励）</t>
  </si>
  <si>
    <t>资源类型</t>
  </si>
  <si>
    <t>总投放数量</t>
  </si>
  <si>
    <t>阶段奖励核心投放，节点奖励保持纯粹。</t>
  </si>
  <si>
    <t>阶段奖励核心投放，专武开放后集中给。</t>
  </si>
  <si>
    <t>阶段奖励核心投放，搭配抽卡券形成节点爽感。</t>
  </si>
  <si>
    <t>不再放入阶段奖励，仅保留任务内小额反馈。</t>
  </si>
  <si>
    <t>不再放入阶段奖励。</t>
  </si>
  <si>
    <t>目标区间：约18000-20000钻石等价；点数阶段奖励仅投放抽卡券和钻石。</t>
  </si>
  <si>
    <t>总价值校验</t>
  </si>
  <si>
    <t>应约等于预算汇总合计</t>
  </si>
  <si>
    <t>Target gaps</t>
  </si>
  <si>
    <t>NeedsNew_*仍保留原有标记；本次将映射装备副本/邮票副本改为层数目标，需要新增MaxPassLayer类TargetType。</t>
  </si>
  <si>
    <t>主线副本关卡奖励</t>
  </si>
  <si>
    <t>主线副本星级奖励</t>
  </si>
  <si>
    <t>主线副本章节进度奖励</t>
  </si>
  <si>
    <t>奖励说明：分为首通奖励（一次性领取）、常规奖励（可以重复挑战获取）和特殊奖励（在一些特殊节点的奖励，作为额外标注方便阅读）</t>
  </si>
  <si>
    <t>奖励说明：每次通过主线关卡最多获得3星，累计到一定星星数量即可领取星级奖励</t>
  </si>
  <si>
    <t>奖励说明：每章通关进度达到20%/40%/60%/80%/100%时领取一次，以钻石和抽卡券为主。</t>
  </si>
  <si>
    <t>章节</t>
  </si>
  <si>
    <t>关卡</t>
  </si>
  <si>
    <t>体力消耗</t>
  </si>
  <si>
    <t>首通奖励1数量</t>
  </si>
  <si>
    <t>首通奖励2数量</t>
  </si>
  <si>
    <t>首通奖励3数量</t>
  </si>
  <si>
    <t>首通奖励4数量</t>
  </si>
  <si>
    <t>特殊奖励</t>
  </si>
  <si>
    <t>特殊奖励数量</t>
  </si>
  <si>
    <t>常规奖励1</t>
  </si>
  <si>
    <t>常规奖励1数量</t>
  </si>
  <si>
    <t>常规奖励2</t>
  </si>
  <si>
    <t>常规奖励2数量下限</t>
  </si>
  <si>
    <t>常规奖励2数量上限</t>
  </si>
  <si>
    <t>常规奖励2概率</t>
  </si>
  <si>
    <t>常规奖励2价值</t>
  </si>
  <si>
    <t>玩家经验总</t>
  </si>
  <si>
    <t>奖励3</t>
  </si>
  <si>
    <t>需通关关卡</t>
  </si>
  <si>
    <t>第0章进度20%奖励</t>
  </si>
  <si>
    <t>第0章进度40%奖励</t>
  </si>
  <si>
    <t>角色女主</t>
  </si>
  <si>
    <t>第0章进度60%奖励</t>
  </si>
  <si>
    <t>攻1</t>
  </si>
  <si>
    <t>第0章进度80%奖励</t>
  </si>
  <si>
    <t>攻2</t>
  </si>
  <si>
    <t>第0章进度100%奖励</t>
  </si>
  <si>
    <t>防1</t>
  </si>
  <si>
    <t>第1章进度20%奖励</t>
  </si>
  <si>
    <t>防2</t>
  </si>
  <si>
    <t>第1章进度40%奖励</t>
  </si>
  <si>
    <t>辅1</t>
  </si>
  <si>
    <t>第1章进度60%奖励</t>
  </si>
  <si>
    <t>辅2</t>
  </si>
  <si>
    <t>第1章进度80%奖励</t>
  </si>
  <si>
    <t>攻</t>
  </si>
  <si>
    <t>第1章进度100%奖励</t>
  </si>
  <si>
    <t>防</t>
  </si>
  <si>
    <t>第2章进度20%奖励</t>
  </si>
  <si>
    <t>辅</t>
  </si>
  <si>
    <t>第2章进度40%奖励</t>
  </si>
  <si>
    <t>第2章进度60%奖励</t>
  </si>
  <si>
    <t>第2章进度80%奖励</t>
  </si>
  <si>
    <t>第2章进度100%奖励</t>
  </si>
  <si>
    <t>第3章进度20%奖励</t>
  </si>
  <si>
    <t>第3章进度40%奖励</t>
  </si>
  <si>
    <t>第3章进度60%奖励</t>
  </si>
  <si>
    <t>第3章进度80%奖励</t>
  </si>
  <si>
    <t>第3章进度100%奖励</t>
  </si>
  <si>
    <t>第4章进度20%奖励</t>
  </si>
  <si>
    <t>第4章进度40%奖励</t>
  </si>
  <si>
    <t>第4章进度60%奖励</t>
  </si>
  <si>
    <t>第4章进度80%奖励</t>
  </si>
  <si>
    <t>第4章进度100%奖励</t>
  </si>
  <si>
    <t>蓝色映射装备头盔*1</t>
  </si>
  <si>
    <t>映射装备经验*2000</t>
  </si>
  <si>
    <t>主线奖励常规奖励配置</t>
  </si>
  <si>
    <t>主线首通奖励配置</t>
  </si>
  <si>
    <t>主线星级奖励配置</t>
  </si>
  <si>
    <t>主线高难星级奖励配置</t>
  </si>
  <si>
    <t>3级红宝石</t>
  </si>
  <si>
    <t>3级蓝宝石</t>
  </si>
  <si>
    <t>3级黄宝石</t>
  </si>
  <si>
    <t>3级绿宝石</t>
  </si>
  <si>
    <t>3级紫宝石</t>
  </si>
  <si>
    <t>3级橙宝石</t>
  </si>
  <si>
    <t>随机金色装备</t>
  </si>
  <si>
    <t>每章增加挑战次数</t>
  </si>
  <si>
    <t>困难副本星级奖励</t>
  </si>
  <si>
    <t>单关每日最多次数</t>
  </si>
  <si>
    <t>奖励说明：从第2章开始，每章5个困难副本，每关最多3星；每章按5/10/15星领取。</t>
  </si>
  <si>
    <t>口径：星级奖励主要承接一次性追求，宝石长线仍以首通/常规掉落为主。</t>
  </si>
  <si>
    <t>每日最多次数上限</t>
  </si>
  <si>
    <t>关卡ID建议</t>
  </si>
  <si>
    <t>开放条件</t>
  </si>
  <si>
    <t>固定宝石</t>
  </si>
  <si>
    <t>宝石类型</t>
  </si>
  <si>
    <t>属性</t>
  </si>
  <si>
    <t>掉落数量</t>
  </si>
  <si>
    <t>L1概率</t>
  </si>
  <si>
    <t>L2概率</t>
  </si>
  <si>
    <t>L3概率</t>
  </si>
  <si>
    <t>L4概率</t>
  </si>
  <si>
    <t>等级权重串</t>
  </si>
  <si>
    <t>L1宝石ID</t>
  </si>
  <si>
    <t>L2宝石ID</t>
  </si>
  <si>
    <t>L3宝石ID</t>
  </si>
  <si>
    <t>L4宝石ID</t>
  </si>
  <si>
    <t>首通奖励等级</t>
  </si>
  <si>
    <t>首通奖励数量</t>
  </si>
  <si>
    <t>常规L1当量</t>
  </si>
  <si>
    <t>首通L1当量</t>
  </si>
  <si>
    <t>常规折算价值(钻石)</t>
  </si>
  <si>
    <t>每日5次折算价值</t>
  </si>
  <si>
    <t>体力价值(钻石)</t>
  </si>
  <si>
    <t>常规奖励溢价率</t>
  </si>
  <si>
    <t>首通折算价值(钻石)</t>
  </si>
  <si>
    <t>通关普通主线2-1</t>
  </si>
  <si>
    <t>红宝石</t>
  </si>
  <si>
    <t>L1:500;L2:500</t>
  </si>
  <si>
    <t>通关普通主线2-2</t>
  </si>
  <si>
    <t>蓝宝石</t>
  </si>
  <si>
    <t>通关普通主线2-3</t>
  </si>
  <si>
    <t>黄宝石</t>
  </si>
  <si>
    <t>通关普通主线2-4</t>
  </si>
  <si>
    <t>绿宝石</t>
  </si>
  <si>
    <t>生命</t>
  </si>
  <si>
    <t>通关普通主线2-5</t>
  </si>
  <si>
    <t>紫宝石</t>
  </si>
  <si>
    <t>技能冷却等级</t>
  </si>
  <si>
    <t>通关普通主线3-1</t>
  </si>
  <si>
    <t>橙宝石</t>
  </si>
  <si>
    <t>能量回复等级</t>
  </si>
  <si>
    <t>通关普通主线3-2</t>
  </si>
  <si>
    <t>L1:400;L2:600</t>
  </si>
  <si>
    <t>通关普通主线3-3</t>
  </si>
  <si>
    <t>通关普通主线3-4</t>
  </si>
  <si>
    <t>通关普通主线3-5</t>
  </si>
  <si>
    <t>青宝石</t>
  </si>
  <si>
    <t>暴击等级</t>
  </si>
  <si>
    <t>L1:433;L2:567</t>
  </si>
  <si>
    <t>通关普通主线4-1</t>
  </si>
  <si>
    <t>L1:300;L2:700</t>
  </si>
  <si>
    <t>通关普通主线4-2</t>
  </si>
  <si>
    <t>通关普通主线4-3</t>
  </si>
  <si>
    <t>通关普通主线4-4</t>
  </si>
  <si>
    <t>通关普通主线4-5</t>
  </si>
  <si>
    <t>白宝石</t>
  </si>
  <si>
    <t>暴击伤害等级</t>
  </si>
  <si>
    <t>##var</t>
  </si>
  <si>
    <t>ID</t>
  </si>
  <si>
    <t>DropId</t>
  </si>
  <si>
    <t>DropName</t>
  </si>
  <si>
    <t>DropId2</t>
  </si>
  <si>
    <t>DropType</t>
  </si>
  <si>
    <t>DropMinNum</t>
  </si>
  <si>
    <t>DropMaxNum</t>
  </si>
  <si>
    <t>DropItem_id</t>
  </si>
  <si>
    <t>DropItemNumMin</t>
  </si>
  <si>
    <t>DropItemNumMax</t>
  </si>
  <si>
    <t>DropWeight</t>
  </si>
  <si>
    <t>ShowItemID</t>
  </si>
  <si>
    <t>IsValid</t>
  </si>
  <si>
    <t>DropId引用</t>
  </si>
  <si>
    <t>##type</t>
  </si>
  <si>
    <t>int</t>
  </si>
  <si>
    <t>int?</t>
  </si>
  <si>
    <t>string?</t>
  </si>
  <si>
    <t>droptype</t>
  </si>
  <si>
    <t>(array#sep=;),int</t>
  </si>
  <si>
    <t>bool</t>
  </si>
  <si>
    <t>首通钻石DropId</t>
  </si>
  <si>
    <t>首通宝石DropId</t>
  </si>
  <si>
    <t>常规宝石DropId</t>
  </si>
  <si>
    <t>首通宝石</t>
  </si>
  <si>
    <t>常规宝石</t>
  </si>
  <si>
    <t>##group</t>
  </si>
  <si>
    <t>s</t>
  </si>
  <si>
    <t>表ID</t>
  </si>
  <si>
    <t>掉落ID</t>
  </si>
  <si>
    <t>备注说明</t>
  </si>
  <si>
    <t>掉落名</t>
  </si>
  <si>
    <t>2级掉落ID</t>
  </si>
  <si>
    <t>掉落类型</t>
  </si>
  <si>
    <t>掉落数量最小值</t>
  </si>
  <si>
    <t>掉落数量最大值</t>
  </si>
  <si>
    <t>道具掉落数量最小值</t>
  </si>
  <si>
    <t>道具掉落数量最大值</t>
  </si>
  <si>
    <t>权重</t>
  </si>
  <si>
    <t>掉落预览道具ID</t>
  </si>
  <si>
    <t>当前行是否有效</t>
  </si>
  <si>
    <t>fixed_</t>
  </si>
  <si>
    <t>random</t>
  </si>
  <si>
    <t>左侧A-Q为Drop_dungeon导表格式；右侧S-AA为关卡DropId引用，三类奖励分别为首通钻石、首通宝石、常规宝石。</t>
  </si>
  <si>
    <t>世界boss / Boss挑战奖励设计（一次性首通）</t>
  </si>
  <si>
    <t>口径：5个Boss为并行挑战，每个Boss独立拥有10个难度，全部为一次性首通奖励。保留钻石/抽卡券，新增额外星盘点、指定套装红旅券、指定红色映射装备。</t>
  </si>
  <si>
    <t>总钻石</t>
  </si>
  <si>
    <t>角色普通券</t>
  </si>
  <si>
    <t>专武普通券</t>
  </si>
  <si>
    <t>角色限时券</t>
  </si>
  <si>
    <t>专武限时券</t>
  </si>
  <si>
    <t>红色映射装备</t>
  </si>
  <si>
    <t>稀有资源等价</t>
  </si>
  <si>
    <t>综合钻石等价</t>
  </si>
  <si>
    <t>Boss编号</t>
  </si>
  <si>
    <t>Boss名称</t>
  </si>
  <si>
    <t>奖励道具2</t>
  </si>
  <si>
    <t>奖励道具3</t>
  </si>
  <si>
    <t>价值3</t>
  </si>
  <si>
    <t>奖励道具4</t>
  </si>
  <si>
    <t>价值4</t>
  </si>
  <si>
    <t>设计说明</t>
  </si>
  <si>
    <t>boss1</t>
  </si>
  <si>
    <t>基础首通钻石奖励</t>
  </si>
  <si>
    <t>难度里程碑抽卡券；额外星盘点</t>
  </si>
  <si>
    <t>红旅券：追逐天性部位1-2</t>
  </si>
  <si>
    <t>红旅券：追逐天性部位3-4</t>
  </si>
  <si>
    <t>红旅券：追逐天性部位5-6（60023,60024）</t>
  </si>
  <si>
    <t>红色映射装备：暗物质时空炮（80154）</t>
  </si>
  <si>
    <t>boss2</t>
  </si>
  <si>
    <t>红旅券：翡冷翠郊野牧场部位1-2（60043,60044）</t>
  </si>
  <si>
    <t>红旅券：翡冷翠郊野牧场部位3-4（60045,60046）</t>
  </si>
  <si>
    <t>难度里程碑抽卡券；红旅券：翡冷翠郊野牧场部位5-6（60047,60048）</t>
  </si>
  <si>
    <t>红色映射装备：液态聚合盔甲（80167）</t>
  </si>
  <si>
    <t>boss3</t>
  </si>
  <si>
    <t>红旅券：纯白审判部位1-2（60067,60068）</t>
  </si>
  <si>
    <t>红旅券：纯白审判部位3-4（60069,60070）</t>
  </si>
  <si>
    <t>难度里程碑抽卡券；红旅券：纯白审判部位5-6（60071,60072）</t>
  </si>
  <si>
    <t>红色映射装备：神经蔓生手甲（80171）</t>
  </si>
  <si>
    <t>boss4</t>
  </si>
  <si>
    <t>红旅券：使徒的渴盼部位1-2（60091,60092）</t>
  </si>
  <si>
    <t>红旅券：使徒的渴盼部位3-4（60093,60094）</t>
  </si>
  <si>
    <t>难度里程碑抽卡券；红旅券：使徒的渴盼部位5-6（60095,60096）</t>
  </si>
  <si>
    <t>红色映射装备：EMP脉冲战靴（80179）</t>
  </si>
  <si>
    <t>boss5</t>
  </si>
  <si>
    <t>红旅券：蔷薇宣告部位1-2（60115,60116）</t>
  </si>
  <si>
    <t>红旅券：蔷薇宣告部位3-4（60117,60118）</t>
  </si>
  <si>
    <t>难度里程碑抽卡券；红旅券：蔷薇宣告部位5-6（60119,60120）</t>
  </si>
  <si>
    <t>红色映射装备：全知之眼（80186）</t>
  </si>
  <si>
    <t>需要的任务类型</t>
  </si>
  <si>
    <t>每日任务箱子</t>
  </si>
  <si>
    <t>积分</t>
  </si>
  <si>
    <t>掉落道具1</t>
  </si>
  <si>
    <t>掉落道具2</t>
  </si>
  <si>
    <t>掉落道具3</t>
  </si>
  <si>
    <t>每日任务类型</t>
  </si>
  <si>
    <t>每日任务数值</t>
  </si>
  <si>
    <t>映射装备</t>
  </si>
  <si>
    <t>映射装备副本挑战X次</t>
  </si>
  <si>
    <t>主角经验</t>
  </si>
  <si>
    <t>周积分</t>
  </si>
  <si>
    <t>每日登录</t>
  </si>
  <si>
    <t>日积分</t>
  </si>
  <si>
    <t>分解X件映射装备</t>
  </si>
  <si>
    <t>资源副本挑战X次</t>
  </si>
  <si>
    <t>升级X件映射装备</t>
  </si>
  <si>
    <t>累计消耗体力X点</t>
  </si>
  <si>
    <t>爬塔挑战X次</t>
  </si>
  <si>
    <t>爬塔通关X次</t>
  </si>
  <si>
    <t>提升X次角色等级</t>
  </si>
  <si>
    <t>爬塔最高通关X层</t>
  </si>
  <si>
    <t>提升X次收容物等级</t>
  </si>
  <si>
    <t>大秘境挑战X次</t>
  </si>
  <si>
    <t>大秘境通关X次</t>
  </si>
  <si>
    <t>旅券副本挑战X次</t>
  </si>
  <si>
    <t>大秘境最高通关X层</t>
  </si>
  <si>
    <t>困难副本挑战X次</t>
  </si>
  <si>
    <t>竞技场挑战X次</t>
  </si>
  <si>
    <t>每周任务</t>
  </si>
  <si>
    <t>总积分</t>
  </si>
  <si>
    <t>竞技场累计胜利X次</t>
  </si>
  <si>
    <t>竞技场段位达到X（ArenaRank段位id）</t>
  </si>
  <si>
    <t>掉落价值3</t>
  </si>
  <si>
    <t>每周任务类型</t>
  </si>
  <si>
    <t>无限挑战挑战X次</t>
  </si>
  <si>
    <t>累计登录X次</t>
  </si>
  <si>
    <t>每周积分</t>
  </si>
  <si>
    <t>无限挑战累计X分</t>
  </si>
  <si>
    <t>无限挑战最高X分</t>
  </si>
  <si>
    <t>旅券升级X次</t>
  </si>
  <si>
    <t>旅券分解X个</t>
  </si>
  <si>
    <t>拥有X个Y级的旅券</t>
  </si>
  <si>
    <t>累计消灭X个敌人</t>
  </si>
  <si>
    <t>资源副本挑战X次(Target_TTT_Type_LevelClearNum目前好像只支持配一个类型的，可能需要拓展下)</t>
  </si>
  <si>
    <t>消耗金币X个</t>
  </si>
  <si>
    <t>阶段</t>
  </si>
  <si>
    <t>里程碑奖励</t>
  </si>
  <si>
    <t>1（阶段1废弃）</t>
  </si>
  <si>
    <t>关卡扫荡X次</t>
  </si>
  <si>
    <t>通关主线1-5</t>
  </si>
  <si>
    <t>玩家等级达到10</t>
  </si>
  <si>
    <t>3名角色达到20级</t>
  </si>
  <si>
    <t>上阵4名角色</t>
  </si>
  <si>
    <t>1名角色获得能效点3次</t>
  </si>
  <si>
    <t>通关主线2-10</t>
  </si>
  <si>
    <t>一套蓝色映射装备</t>
  </si>
  <si>
    <t>玩家等级达到15</t>
  </si>
  <si>
    <t>2名角色获得能效点3次</t>
  </si>
  <si>
    <t>无限挑战累计获得3000分</t>
  </si>
  <si>
    <t>获得8件映射装备</t>
  </si>
  <si>
    <t>通关主线3-10</t>
  </si>
  <si>
    <t>随机紫色映射装备</t>
  </si>
  <si>
    <t>玩家等级达到20</t>
  </si>
  <si>
    <t>2名角色达到30级</t>
  </si>
  <si>
    <t>1名角色获得能效点6次</t>
  </si>
  <si>
    <t>无限挑战累计获得6000分</t>
  </si>
  <si>
    <t>8件映射装备达到10级</t>
  </si>
  <si>
    <t>通关主线4-10</t>
  </si>
  <si>
    <t>玩家等级达到25</t>
  </si>
  <si>
    <t>随机金色映射装备</t>
  </si>
  <si>
    <t>4名角色达到30级</t>
  </si>
  <si>
    <t>3名角色获得能效点6次</t>
  </si>
  <si>
    <t>无限挑战累计获得9000分</t>
  </si>
  <si>
    <t>主角装备副本</t>
  </si>
  <si>
    <t>每日免费次数</t>
  </si>
  <si>
    <t>兑换门票体力</t>
  </si>
  <si>
    <t>门票存放上限</t>
  </si>
  <si>
    <t>掉落装备总数</t>
  </si>
  <si>
    <t>装备等级下限</t>
  </si>
  <si>
    <t>装备等级上限</t>
  </si>
  <si>
    <t>宝石掉落总数</t>
  </si>
  <si>
    <t>1级宝石概率</t>
  </si>
  <si>
    <t>2级宝石概率</t>
  </si>
  <si>
    <t>3级宝石概率</t>
  </si>
  <si>
    <t>1级宝石价值</t>
  </si>
  <si>
    <t>2级宝石价值</t>
  </si>
  <si>
    <t>3级宝石价值</t>
  </si>
  <si>
    <t>经验数量</t>
  </si>
  <si>
    <t>经验价值</t>
  </si>
  <si>
    <t>体力价值</t>
  </si>
  <si>
    <t>映射之钥</t>
  </si>
  <si>
    <t>随机蓝色映射装备</t>
  </si>
  <si>
    <t>随机红色映射装备</t>
  </si>
  <si>
    <t>3,</t>
  </si>
  <si>
    <t>Blue</t>
  </si>
  <si>
    <t>Purple</t>
  </si>
  <si>
    <t>Orange</t>
  </si>
  <si>
    <t>Red</t>
  </si>
  <si>
    <t>1点体力</t>
  </si>
  <si>
    <t>4钻石</t>
  </si>
  <si>
    <t>所有资源副本首通均给</t>
  </si>
  <si>
    <t>钻</t>
  </si>
  <si>
    <t>先做9级，再根据具体需求选要哪几档</t>
  </si>
  <si>
    <t>金币副本</t>
  </si>
  <si>
    <t>首通金币</t>
  </si>
  <si>
    <t>武将经验副本</t>
  </si>
  <si>
    <t>首通经验</t>
  </si>
  <si>
    <t>玩家经验1</t>
  </si>
  <si>
    <t>数量1下限</t>
  </si>
  <si>
    <t>数量1上限</t>
  </si>
  <si>
    <t>玩家经验2</t>
  </si>
  <si>
    <t>数量2下限</t>
  </si>
  <si>
    <t>数量2上限</t>
  </si>
  <si>
    <t>玩家经验3</t>
  </si>
  <si>
    <t>数量3下限</t>
  </si>
  <si>
    <t>数量3上限</t>
  </si>
  <si>
    <t>首通奖励数值</t>
  </si>
  <si>
    <t>专武经验副本</t>
  </si>
  <si>
    <t>专武经验低</t>
  </si>
  <si>
    <t>专武经验中</t>
  </si>
  <si>
    <t>专武经验高</t>
  </si>
  <si>
    <t>肉鸽在12月底版本不入版本</t>
  </si>
  <si>
    <t>收容物的投放暂时搁置在资源副本中</t>
  </si>
  <si>
    <t>后续设计的一些思考：</t>
  </si>
  <si>
    <t>从设计目的出发，为什么要做rogue，提高游戏活跃度，承载中后期玩法重复带来的疲软，拓展游戏的可玩性</t>
  </si>
  <si>
    <t>设计原型：《球比伦战纪》，类吸血鬼的单局成长体验，反馈和爽感明显</t>
  </si>
  <si>
    <t>不带任何养成进入，吸血鬼like纯单机模型，玩家选择角色,buff，扩充编队，角色升级，组成最终build</t>
  </si>
  <si>
    <t>√</t>
  </si>
  <si>
    <t>优点：单局体验循环良好，玩法好玩，设计自由度大</t>
  </si>
  <si>
    <t>缺点：设计难度高，玩家复玩意愿低，不太适合和日常、周常奖励挂钩</t>
  </si>
  <si>
    <t>局外养成全带入，玩家自由编队，选择buff均和配队挂钩，类似《星铁》模拟宇宙，可从中优化，结合配队的引导和后期玩家box追求，根据难度和积分进行排名，周期性发放奖励</t>
  </si>
  <si>
    <t>优点：可作为配队box验证，玩家后期追求之一，并且可以结合奖励投放，灵活设计成日常和周常</t>
  </si>
  <si>
    <t>缺点：可玩性不如单机模型</t>
  </si>
  <si>
    <t>局外养成半带入，类似《明日方舟》集成战略，玩家中途选择角色加入，该选择的角色和局外挂钩</t>
  </si>
  <si>
    <t>优点：单局随机性大，可玩性高，同时也可以和局外养成挂钩，局内设计也可以和配队挂钩</t>
  </si>
  <si>
    <t>缺点：较难引导，维度较广，玩家上手到精通的难度高，build和养成双重维度验证压力大，但可以通过数值和设计规避</t>
  </si>
  <si>
    <t>仅带入付费内容，包括角色升星和专武升星，其余类似吸血鬼like</t>
  </si>
  <si>
    <t>优点：可以拉开付费差距，利好大R，刺激付费</t>
  </si>
  <si>
    <t>缺点：设计难度高，玩家上下限差距大，单局体验难控制</t>
  </si>
  <si>
    <t>思考如上</t>
  </si>
  <si>
    <t>现在需要实现的目标是，不带入养成的情况下，降肝，并且做好玩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</si>
</sst>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 "/>
    <numFmt numFmtId="178" formatCode="0.0"/>
    <numFmt numFmtId="179" formatCode="0.000_ "/>
    <numFmt numFmtId="180" formatCode="0.000%"/>
  </numFmts>
  <fonts count="7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6"/>
      <color theme="1"/>
      <name val="微软雅黑"/>
      <charset val="134"/>
    </font>
    <font>
      <sz val="10"/>
      <color theme="1"/>
      <name val="微软雅黑"/>
      <charset val="134"/>
    </font>
    <font>
      <sz val="9"/>
      <color rgb="FF000000"/>
      <name val="Calibri"/>
      <charset val="134"/>
    </font>
    <font>
      <sz val="12"/>
      <name val="微软雅黑"/>
      <charset val="134"/>
    </font>
    <font>
      <b/>
      <sz val="11"/>
      <color theme="0"/>
      <name val="微软雅黑"/>
      <charset val="134"/>
    </font>
    <font>
      <sz val="10"/>
      <color rgb="FF000000"/>
      <name val="微软雅黑"/>
      <charset val="134"/>
    </font>
    <font>
      <sz val="10"/>
      <color rgb="FF373C43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1F2329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rgb="FFF54A45"/>
      <name val="宋体"/>
      <charset val="134"/>
      <scheme val="minor"/>
    </font>
    <font>
      <sz val="11"/>
      <color rgb="FFD83931"/>
      <name val="宋体"/>
      <charset val="134"/>
      <scheme val="minor"/>
    </font>
    <font>
      <b/>
      <sz val="15"/>
      <color rgb="FFFFFFFF"/>
      <name val="Arial"/>
      <charset val="134"/>
    </font>
    <font>
      <sz val="11"/>
      <color rgb="FF1F2937"/>
      <name val="Arial"/>
      <charset val="134"/>
    </font>
    <font>
      <b/>
      <sz val="11"/>
      <color rgb="FF1F2937"/>
      <name val="Arial"/>
      <charset val="134"/>
    </font>
    <font>
      <b/>
      <sz val="11"/>
      <color rgb="FFFFFFFF"/>
      <name val="Arial"/>
      <charset val="134"/>
    </font>
    <font>
      <sz val="11"/>
      <color rgb="FF1F2937"/>
      <name val="宋体"/>
      <charset val="134"/>
    </font>
    <font>
      <b/>
      <sz val="11"/>
      <color rgb="FFFFFFFF"/>
      <name val="Microsoft YaHei"/>
      <charset val="134"/>
    </font>
    <font>
      <b/>
      <sz val="12"/>
      <color rgb="FFFFFFFF"/>
      <name val="Microsoft YaHei"/>
      <charset val="134"/>
    </font>
    <font>
      <b/>
      <sz val="11"/>
      <color rgb="FF1F4E78"/>
      <name val="Microsoft YaHei"/>
      <charset val="134"/>
    </font>
    <font>
      <sz val="11"/>
      <name val="Microsoft YaHei"/>
      <charset val="134"/>
    </font>
    <font>
      <sz val="11"/>
      <color rgb="FF000000"/>
      <name val="Microsoft YaHei"/>
      <charset val="134"/>
    </font>
    <font>
      <sz val="11"/>
      <color rgb="FF666666"/>
      <name val="Microsoft YaHei"/>
      <charset val="134"/>
    </font>
    <font>
      <b/>
      <sz val="10"/>
      <color theme="1"/>
      <name val="宋体"/>
      <charset val="134"/>
      <scheme val="minor"/>
    </font>
    <font>
      <sz val="11"/>
      <name val="微软雅黑"/>
      <charset val="134"/>
    </font>
    <font>
      <sz val="11"/>
      <color rgb="FF1F2329"/>
      <name val="微软雅黑"/>
      <charset val="134"/>
    </font>
    <font>
      <sz val="9.75"/>
      <color rgb="FF171717"/>
      <name val="Segoe UI"/>
      <charset val="134"/>
    </font>
    <font>
      <sz val="11"/>
      <color rgb="FFFF0000"/>
      <name val="微软雅黑"/>
      <charset val="134"/>
    </font>
    <font>
      <b/>
      <sz val="16"/>
      <name val="微软雅黑"/>
      <charset val="134"/>
    </font>
    <font>
      <b/>
      <sz val="10"/>
      <name val="微软雅黑"/>
      <charset val="134"/>
    </font>
    <font>
      <b/>
      <sz val="10"/>
      <color rgb="FF1F1F1F"/>
      <name val="微软雅黑"/>
      <charset val="134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3"/>
      <color rgb="FFFFFFFF"/>
      <name val="Microsoft YaHei"/>
      <charset val="134"/>
    </font>
    <font>
      <sz val="11"/>
      <color rgb="FF008000"/>
      <name val="Microsoft YaHei"/>
      <charset val="134"/>
    </font>
    <font>
      <b/>
      <sz val="11"/>
      <name val="Microsoft YaHei"/>
      <charset val="134"/>
    </font>
    <font>
      <sz val="10"/>
      <color rgb="FFFF0000"/>
      <name val="微软雅黑"/>
      <charset val="134"/>
    </font>
    <font>
      <sz val="12"/>
      <name val="Noto Sans SC"/>
      <charset val="134"/>
    </font>
    <font>
      <sz val="11"/>
      <color rgb="FF000000"/>
      <name val="微软雅黑"/>
      <charset val="134"/>
    </font>
    <font>
      <sz val="10"/>
      <name val="微软雅黑"/>
      <charset val="134"/>
    </font>
    <font>
      <sz val="11"/>
      <color theme="1"/>
      <name val="等线"/>
      <charset val="134"/>
    </font>
    <font>
      <b/>
      <sz val="16"/>
      <color rgb="FFFFFFFF"/>
      <name val="Microsoft YaHei"/>
      <charset val="134"/>
    </font>
    <font>
      <sz val="10"/>
      <color rgb="FF000000"/>
      <name val="Microsoft YaHei"/>
      <charset val="134"/>
    </font>
    <font>
      <i/>
      <sz val="10"/>
      <color rgb="FF555555"/>
      <name val="Microsoft YaHei"/>
      <charset val="134"/>
    </font>
    <font>
      <b/>
      <sz val="10"/>
      <color rgb="FFFFFFFF"/>
      <name val="Microsoft YaHei"/>
      <charset val="134"/>
    </font>
    <font>
      <b/>
      <sz val="11"/>
      <color rgb="FF000000"/>
      <name val="微软雅黑"/>
      <charset val="134"/>
    </font>
    <font>
      <b/>
      <sz val="11"/>
      <color rgb="FFFFFFFF"/>
      <name val="微软雅黑"/>
      <charset val="134"/>
    </font>
    <font>
      <i/>
      <sz val="9"/>
      <color rgb="FF666666"/>
      <name val="Microsoft YaHei"/>
      <charset val="134"/>
    </font>
    <font>
      <b/>
      <sz val="11"/>
      <name val="微软雅黑"/>
      <charset val="134"/>
    </font>
    <font>
      <sz val="11"/>
      <color theme="0"/>
      <name val="微软雅黑"/>
      <charset val="134"/>
    </font>
    <font>
      <sz val="12"/>
      <color rgb="FF0F1115"/>
      <name val="Segoe UI"/>
      <charset val="134"/>
    </font>
    <font>
      <b/>
      <sz val="14"/>
      <color rgb="FFFFFFFF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73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DEC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EFFAF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F4ECF7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theme="6" tint="0.79970702230903"/>
        <bgColor rgb="FFDBEEF4"/>
      </patternFill>
    </fill>
    <fill>
      <patternFill patternType="solid">
        <fgColor theme="6" tint="0.79992065187536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EFB54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D58EFF"/>
        <bgColor indexed="64"/>
      </patternFill>
    </fill>
    <fill>
      <patternFill patternType="solid">
        <fgColor rgb="FF7E719F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1F2329"/>
      </top>
      <bottom style="thin">
        <color auto="1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auto="1"/>
      </right>
      <top style="thin">
        <color rgb="FF1F2329"/>
      </top>
      <bottom style="thin">
        <color auto="1"/>
      </bottom>
      <diagonal/>
    </border>
    <border>
      <left style="thin">
        <color rgb="FF1F2329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DEE0E3"/>
      </right>
      <top style="thin">
        <color rgb="FFDEE0E3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auto="1"/>
      </bottom>
      <diagonal/>
    </border>
    <border>
      <left style="thin">
        <color rgb="FF1F2329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66666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666666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0" fillId="0" borderId="0">
      <alignment vertical="center"/>
    </xf>
    <xf numFmtId="0" fontId="61" fillId="0" borderId="0">
      <alignment vertical="center"/>
    </xf>
    <xf numFmtId="0" fontId="0" fillId="42" borderId="36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0" fontId="65" fillId="0" borderId="37">
      <alignment vertical="center"/>
    </xf>
    <xf numFmtId="0" fontId="66" fillId="0" borderId="37">
      <alignment vertical="center"/>
    </xf>
    <xf numFmtId="0" fontId="67" fillId="0" borderId="38">
      <alignment vertical="center"/>
    </xf>
    <xf numFmtId="0" fontId="67" fillId="0" borderId="0">
      <alignment vertical="center"/>
    </xf>
    <xf numFmtId="0" fontId="68" fillId="43" borderId="39">
      <alignment vertical="center"/>
    </xf>
    <xf numFmtId="0" fontId="69" fillId="44" borderId="40">
      <alignment vertical="center"/>
    </xf>
    <xf numFmtId="0" fontId="70" fillId="44" borderId="39">
      <alignment vertical="center"/>
    </xf>
    <xf numFmtId="0" fontId="71" fillId="45" borderId="41">
      <alignment vertical="center"/>
    </xf>
    <xf numFmtId="0" fontId="72" fillId="0" borderId="42">
      <alignment vertical="center"/>
    </xf>
    <xf numFmtId="0" fontId="73" fillId="0" borderId="43">
      <alignment vertical="center"/>
    </xf>
    <xf numFmtId="0" fontId="74" fillId="46" borderId="0">
      <alignment vertical="center"/>
    </xf>
    <xf numFmtId="0" fontId="75" fillId="47" borderId="0">
      <alignment vertical="center"/>
    </xf>
    <xf numFmtId="0" fontId="76" fillId="48" borderId="0">
      <alignment vertical="center"/>
    </xf>
    <xf numFmtId="0" fontId="77" fillId="49" borderId="0">
      <alignment vertical="center"/>
    </xf>
    <xf numFmtId="0" fontId="78" fillId="50" borderId="0">
      <alignment vertical="center"/>
    </xf>
    <xf numFmtId="0" fontId="78" fillId="51" borderId="0">
      <alignment vertical="center"/>
    </xf>
    <xf numFmtId="0" fontId="77" fillId="52" borderId="0">
      <alignment vertical="center"/>
    </xf>
    <xf numFmtId="0" fontId="77" fillId="53" borderId="0">
      <alignment vertical="center"/>
    </xf>
    <xf numFmtId="0" fontId="78" fillId="54" borderId="0">
      <alignment vertical="center"/>
    </xf>
    <xf numFmtId="0" fontId="78" fillId="55" borderId="0">
      <alignment vertical="center"/>
    </xf>
    <xf numFmtId="0" fontId="77" fillId="56" borderId="0">
      <alignment vertical="center"/>
    </xf>
    <xf numFmtId="0" fontId="77" fillId="57" borderId="0">
      <alignment vertical="center"/>
    </xf>
    <xf numFmtId="0" fontId="78" fillId="58" borderId="0">
      <alignment vertical="center"/>
    </xf>
    <xf numFmtId="0" fontId="78" fillId="59" borderId="0">
      <alignment vertical="center"/>
    </xf>
    <xf numFmtId="0" fontId="77" fillId="60" borderId="0">
      <alignment vertical="center"/>
    </xf>
    <xf numFmtId="0" fontId="77" fillId="61" borderId="0">
      <alignment vertical="center"/>
    </xf>
    <xf numFmtId="0" fontId="78" fillId="62" borderId="0">
      <alignment vertical="center"/>
    </xf>
    <xf numFmtId="0" fontId="78" fillId="63" borderId="0">
      <alignment vertical="center"/>
    </xf>
    <xf numFmtId="0" fontId="77" fillId="64" borderId="0">
      <alignment vertical="center"/>
    </xf>
    <xf numFmtId="0" fontId="77" fillId="65" borderId="0">
      <alignment vertical="center"/>
    </xf>
    <xf numFmtId="0" fontId="78" fillId="66" borderId="0">
      <alignment vertical="center"/>
    </xf>
    <xf numFmtId="0" fontId="78" fillId="67" borderId="0">
      <alignment vertical="center"/>
    </xf>
    <xf numFmtId="0" fontId="77" fillId="68" borderId="0">
      <alignment vertical="center"/>
    </xf>
    <xf numFmtId="0" fontId="77" fillId="69" borderId="0">
      <alignment vertical="center"/>
    </xf>
    <xf numFmtId="0" fontId="78" fillId="70" borderId="0">
      <alignment vertical="center"/>
    </xf>
    <xf numFmtId="0" fontId="78" fillId="71" borderId="0">
      <alignment vertical="center"/>
    </xf>
    <xf numFmtId="0" fontId="77" fillId="72" borderId="0">
      <alignment vertical="center"/>
    </xf>
  </cellStyleXfs>
  <cellXfs count="266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0" xfId="0" applyAlignment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0" fillId="0" borderId="12" xfId="0" applyBorder="1" applyAlignment="1"/>
    <xf numFmtId="0" fontId="9" fillId="7" borderId="6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15" xfId="0" applyBorder="1" applyAlignment="1"/>
    <xf numFmtId="0" fontId="12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0" fontId="0" fillId="0" borderId="18" xfId="0" applyBorder="1" applyAlignment="1"/>
    <xf numFmtId="0" fontId="12" fillId="2" borderId="19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12" fillId="6" borderId="16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/>
    </xf>
    <xf numFmtId="0" fontId="9" fillId="7" borderId="17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/>
    </xf>
    <xf numFmtId="0" fontId="12" fillId="6" borderId="19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0" fillId="0" borderId="22" xfId="0" applyBorder="1" applyAlignment="1"/>
    <xf numFmtId="0" fontId="10" fillId="6" borderId="16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/>
    </xf>
    <xf numFmtId="0" fontId="0" fillId="0" borderId="23" xfId="0" applyBorder="1" applyAlignment="1"/>
    <xf numFmtId="0" fontId="10" fillId="6" borderId="20" xfId="0" applyFont="1" applyFill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0" fontId="13" fillId="0" borderId="20" xfId="0" applyFont="1" applyBorder="1" applyAlignment="1">
      <alignment horizontal="center"/>
    </xf>
    <xf numFmtId="0" fontId="10" fillId="6" borderId="19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7" fillId="9" borderId="0" xfId="0" applyFont="1" applyFill="1" applyAlignment="1">
      <alignment horizontal="center"/>
    </xf>
    <xf numFmtId="0" fontId="18" fillId="0" borderId="0" xfId="0" applyFont="1" applyAlignment="1">
      <alignment wrapText="1"/>
    </xf>
    <xf numFmtId="0" fontId="19" fillId="10" borderId="24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19" fillId="11" borderId="24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left" vertical="center" wrapText="1"/>
    </xf>
    <xf numFmtId="0" fontId="18" fillId="0" borderId="24" xfId="0" applyFont="1" applyBorder="1" applyAlignment="1">
      <alignment horizontal="center" vertical="center"/>
    </xf>
    <xf numFmtId="0" fontId="18" fillId="0" borderId="24" xfId="0" applyFont="1" applyBorder="1" applyAlignment="1">
      <alignment horizontal="left" vertical="center" wrapText="1"/>
    </xf>
    <xf numFmtId="0" fontId="21" fillId="0" borderId="24" xfId="0" applyFont="1" applyBorder="1" applyAlignment="1">
      <alignment horizontal="center" vertical="center"/>
    </xf>
    <xf numFmtId="0" fontId="21" fillId="0" borderId="24" xfId="0" applyFont="1" applyBorder="1" applyAlignment="1">
      <alignment horizontal="left" vertical="center" wrapText="1"/>
    </xf>
    <xf numFmtId="0" fontId="22" fillId="9" borderId="24" xfId="0" applyFont="1" applyFill="1" applyBorder="1" applyAlignment="1">
      <alignment horizontal="center" vertical="center"/>
    </xf>
    <xf numFmtId="0" fontId="23" fillId="12" borderId="24" xfId="0" applyFont="1" applyFill="1" applyBorder="1" applyAlignment="1">
      <alignment horizontal="center" vertical="center"/>
    </xf>
    <xf numFmtId="0" fontId="0" fillId="0" borderId="25" xfId="0" applyBorder="1" applyAlignment="1"/>
    <xf numFmtId="0" fontId="0" fillId="0" borderId="26" xfId="0" applyBorder="1" applyAlignment="1"/>
    <xf numFmtId="0" fontId="24" fillId="10" borderId="24" xfId="0" applyFont="1" applyFill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left" vertical="center" wrapText="1"/>
    </xf>
    <xf numFmtId="0" fontId="22" fillId="13" borderId="24" xfId="0" applyFont="1" applyFill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6" fillId="14" borderId="24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left" vertical="center" wrapText="1"/>
    </xf>
    <xf numFmtId="0" fontId="26" fillId="11" borderId="24" xfId="0" applyFont="1" applyFill="1" applyBorder="1" applyAlignment="1">
      <alignment horizontal="left" vertical="center" wrapText="1"/>
    </xf>
    <xf numFmtId="176" fontId="26" fillId="11" borderId="24" xfId="0" applyNumberFormat="1" applyFont="1" applyFill="1" applyBorder="1" applyAlignment="1">
      <alignment horizontal="left" vertical="center" wrapText="1"/>
    </xf>
    <xf numFmtId="0" fontId="29" fillId="0" borderId="4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6" fillId="3" borderId="24" xfId="0" applyFont="1" applyFill="1" applyBorder="1" applyAlignment="1">
      <alignment horizontal="center" vertical="center"/>
    </xf>
    <xf numFmtId="0" fontId="1" fillId="15" borderId="0" xfId="0" applyFont="1" applyFill="1" applyAlignment="1">
      <alignment vertical="center"/>
    </xf>
    <xf numFmtId="0" fontId="3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9" fontId="30" fillId="0" borderId="4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/>
    </xf>
    <xf numFmtId="0" fontId="29" fillId="3" borderId="4" xfId="0" applyFont="1" applyFill="1" applyBorder="1" applyAlignment="1">
      <alignment horizontal="center" vertical="center"/>
    </xf>
    <xf numFmtId="0" fontId="30" fillId="3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9" fontId="30" fillId="3" borderId="4" xfId="0" applyNumberFormat="1" applyFont="1" applyFill="1" applyBorder="1" applyAlignment="1">
      <alignment horizontal="center" vertical="center"/>
    </xf>
    <xf numFmtId="1" fontId="1" fillId="3" borderId="11" xfId="0" applyNumberFormat="1" applyFont="1" applyFill="1" applyBorder="1" applyAlignment="1">
      <alignment horizontal="center" vertical="center"/>
    </xf>
    <xf numFmtId="1" fontId="1" fillId="3" borderId="6" xfId="0" applyNumberFormat="1" applyFont="1" applyFill="1" applyBorder="1" applyAlignment="1">
      <alignment horizontal="center" vertical="center"/>
    </xf>
    <xf numFmtId="0" fontId="32" fillId="1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4" fillId="16" borderId="0" xfId="0" applyFont="1" applyFill="1" applyAlignment="1">
      <alignment horizontal="center" vertical="center"/>
    </xf>
    <xf numFmtId="0" fontId="34" fillId="17" borderId="29" xfId="0" applyFont="1" applyFill="1" applyBorder="1" applyAlignment="1">
      <alignment horizontal="center" vertical="center"/>
    </xf>
    <xf numFmtId="0" fontId="35" fillId="18" borderId="30" xfId="0" applyFont="1" applyFill="1" applyBorder="1" applyAlignment="1">
      <alignment horizontal="left" vertical="center"/>
    </xf>
    <xf numFmtId="0" fontId="0" fillId="0" borderId="30" xfId="0" applyBorder="1" applyAlignment="1"/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vertical="center" wrapText="1"/>
    </xf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vertical="center" wrapText="1"/>
    </xf>
    <xf numFmtId="0" fontId="36" fillId="0" borderId="29" xfId="0" applyFont="1" applyBorder="1" applyAlignment="1">
      <alignment vertical="center" wrapText="1"/>
    </xf>
    <xf numFmtId="3" fontId="36" fillId="0" borderId="29" xfId="0" applyNumberFormat="1" applyFont="1" applyBorder="1" applyAlignment="1">
      <alignment horizontal="left" vertical="center" wrapText="1"/>
    </xf>
    <xf numFmtId="0" fontId="35" fillId="19" borderId="30" xfId="0" applyFont="1" applyFill="1" applyBorder="1" applyAlignment="1">
      <alignment horizontal="left" vertical="center"/>
    </xf>
    <xf numFmtId="0" fontId="37" fillId="3" borderId="29" xfId="0" applyFont="1" applyFill="1" applyBorder="1" applyAlignment="1">
      <alignment vertical="center" wrapText="1"/>
    </xf>
    <xf numFmtId="0" fontId="35" fillId="20" borderId="30" xfId="0" applyFont="1" applyFill="1" applyBorder="1" applyAlignment="1">
      <alignment horizontal="left" vertical="center"/>
    </xf>
    <xf numFmtId="0" fontId="38" fillId="0" borderId="29" xfId="0" applyFont="1" applyBorder="1" applyAlignment="1">
      <alignment vertical="center" wrapText="1"/>
    </xf>
    <xf numFmtId="0" fontId="39" fillId="3" borderId="29" xfId="0" applyFont="1" applyFill="1" applyBorder="1" applyAlignment="1">
      <alignment vertical="center" wrapText="1"/>
    </xf>
    <xf numFmtId="0" fontId="36" fillId="0" borderId="29" xfId="0" applyFont="1" applyBorder="1" applyAlignment="1">
      <alignment horizontal="center" vertical="center"/>
    </xf>
    <xf numFmtId="0" fontId="35" fillId="21" borderId="30" xfId="0" applyFont="1" applyFill="1" applyBorder="1" applyAlignment="1">
      <alignment horizontal="left" vertical="center"/>
    </xf>
    <xf numFmtId="0" fontId="35" fillId="22" borderId="30" xfId="0" applyFont="1" applyFill="1" applyBorder="1" applyAlignment="1">
      <alignment horizontal="left" vertical="center"/>
    </xf>
    <xf numFmtId="0" fontId="40" fillId="3" borderId="29" xfId="0" applyFont="1" applyFill="1" applyBorder="1" applyAlignment="1">
      <alignment vertical="center" wrapText="1"/>
    </xf>
    <xf numFmtId="0" fontId="38" fillId="0" borderId="29" xfId="0" applyFont="1" applyBorder="1" applyAlignment="1">
      <alignment horizontal="center" vertical="center"/>
    </xf>
    <xf numFmtId="0" fontId="35" fillId="23" borderId="30" xfId="0" applyFont="1" applyFill="1" applyBorder="1" applyAlignment="1">
      <alignment horizontal="left" vertical="center"/>
    </xf>
    <xf numFmtId="0" fontId="35" fillId="24" borderId="30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41" fillId="9" borderId="0" xfId="0" applyFont="1" applyFill="1" applyAlignment="1">
      <alignment horizontal="center" vertical="center"/>
    </xf>
    <xf numFmtId="0" fontId="26" fillId="0" borderId="24" xfId="0" applyFont="1" applyBorder="1" applyAlignment="1">
      <alignment horizontal="center" vertical="center" wrapText="1"/>
    </xf>
    <xf numFmtId="0" fontId="26" fillId="14" borderId="24" xfId="0" applyFont="1" applyFill="1" applyBorder="1" applyAlignment="1">
      <alignment horizontal="center" vertical="center" wrapText="1"/>
    </xf>
    <xf numFmtId="0" fontId="42" fillId="11" borderId="24" xfId="0" applyFont="1" applyFill="1" applyBorder="1" applyAlignment="1">
      <alignment horizontal="center" vertical="center" wrapText="1"/>
    </xf>
    <xf numFmtId="0" fontId="43" fillId="25" borderId="24" xfId="0" applyFont="1" applyFill="1" applyBorder="1" applyAlignment="1">
      <alignment horizontal="center" vertical="center" wrapText="1"/>
    </xf>
    <xf numFmtId="0" fontId="22" fillId="9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4" fillId="0" borderId="4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" fillId="26" borderId="0" xfId="0" applyFont="1" applyFill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vertical="center"/>
    </xf>
    <xf numFmtId="0" fontId="46" fillId="27" borderId="4" xfId="0" applyFont="1" applyFill="1" applyBorder="1" applyAlignment="1">
      <alignment horizontal="center" vertical="center"/>
    </xf>
    <xf numFmtId="0" fontId="47" fillId="3" borderId="6" xfId="0" applyFont="1" applyFill="1" applyBorder="1" applyAlignment="1">
      <alignment horizontal="center" vertical="center" wrapText="1"/>
    </xf>
    <xf numFmtId="0" fontId="45" fillId="28" borderId="0" xfId="0" applyFont="1" applyFill="1" applyAlignment="1">
      <alignment horizontal="center" vertical="center"/>
    </xf>
    <xf numFmtId="0" fontId="5" fillId="29" borderId="0" xfId="0" applyFont="1" applyFill="1" applyAlignment="1">
      <alignment horizontal="center" vertical="center"/>
    </xf>
    <xf numFmtId="0" fontId="48" fillId="0" borderId="0" xfId="0" applyFont="1" applyAlignment="1">
      <alignment vertical="center"/>
    </xf>
    <xf numFmtId="0" fontId="46" fillId="0" borderId="0" xfId="0" applyFont="1" applyAlignment="1">
      <alignment horizontal="left"/>
    </xf>
    <xf numFmtId="0" fontId="49" fillId="9" borderId="32" xfId="0" applyFont="1" applyFill="1" applyBorder="1" applyAlignment="1">
      <alignment horizontal="center" vertical="center" wrapText="1"/>
    </xf>
    <xf numFmtId="0" fontId="0" fillId="0" borderId="33" xfId="0" applyBorder="1" applyAlignment="1"/>
    <xf numFmtId="0" fontId="0" fillId="0" borderId="34" xfId="0" applyBorder="1" applyAlignment="1"/>
    <xf numFmtId="0" fontId="50" fillId="10" borderId="32" xfId="0" applyFont="1" applyFill="1" applyBorder="1" applyAlignment="1">
      <alignment horizontal="left" vertical="center" wrapText="1"/>
    </xf>
    <xf numFmtId="0" fontId="22" fillId="30" borderId="32" xfId="0" applyFont="1" applyFill="1" applyBorder="1" applyAlignment="1">
      <alignment horizontal="center" vertical="center" wrapText="1"/>
    </xf>
    <xf numFmtId="0" fontId="50" fillId="31" borderId="32" xfId="0" applyFont="1" applyFill="1" applyBorder="1" applyAlignment="1">
      <alignment horizontal="left" vertical="center" wrapText="1"/>
    </xf>
    <xf numFmtId="1" fontId="50" fillId="31" borderId="32" xfId="0" applyNumberFormat="1" applyFont="1" applyFill="1" applyBorder="1" applyAlignment="1">
      <alignment horizontal="center" vertical="center" wrapText="1"/>
    </xf>
    <xf numFmtId="0" fontId="51" fillId="31" borderId="32" xfId="0" applyFont="1" applyFill="1" applyBorder="1" applyAlignment="1">
      <alignment horizontal="left" vertical="center" wrapText="1"/>
    </xf>
    <xf numFmtId="0" fontId="52" fillId="32" borderId="32" xfId="0" applyFont="1" applyFill="1" applyBorder="1" applyAlignment="1">
      <alignment horizontal="center" vertical="center" wrapText="1"/>
    </xf>
    <xf numFmtId="0" fontId="50" fillId="31" borderId="32" xfId="0" applyFont="1" applyFill="1" applyBorder="1" applyAlignment="1">
      <alignment horizontal="center" vertical="center" wrapText="1"/>
    </xf>
    <xf numFmtId="10" fontId="50" fillId="31" borderId="32" xfId="0" applyNumberFormat="1" applyFont="1" applyFill="1" applyBorder="1" applyAlignment="1">
      <alignment horizontal="center" vertical="center" wrapText="1"/>
    </xf>
    <xf numFmtId="9" fontId="50" fillId="31" borderId="32" xfId="0" applyNumberFormat="1" applyFont="1" applyFill="1" applyBorder="1" applyAlignment="1">
      <alignment horizontal="center" vertical="center" wrapText="1"/>
    </xf>
    <xf numFmtId="1" fontId="50" fillId="14" borderId="3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0" fontId="5" fillId="33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34" borderId="0" xfId="0" applyFont="1" applyFill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6" fillId="5" borderId="0" xfId="0" applyFont="1" applyFill="1" applyAlignment="1">
      <alignment horizontal="center" vertical="top" wrapText="1"/>
    </xf>
    <xf numFmtId="0" fontId="6" fillId="5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53" fillId="17" borderId="0" xfId="0" applyFont="1" applyFill="1" applyAlignment="1">
      <alignment horizontal="center" vertical="center" wrapText="1"/>
    </xf>
    <xf numFmtId="0" fontId="54" fillId="35" borderId="0" xfId="0" applyFont="1" applyFill="1" applyAlignment="1">
      <alignment horizontal="center" vertical="center" wrapText="1"/>
    </xf>
    <xf numFmtId="49" fontId="1" fillId="4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9" fontId="1" fillId="4" borderId="0" xfId="0" applyNumberFormat="1" applyFont="1" applyFill="1" applyAlignment="1">
      <alignment horizontal="center" vertical="center"/>
    </xf>
    <xf numFmtId="9" fontId="1" fillId="3" borderId="0" xfId="3" applyFont="1" applyFill="1" applyAlignment="1">
      <alignment vertical="center"/>
    </xf>
    <xf numFmtId="0" fontId="55" fillId="31" borderId="32" xfId="0" applyFont="1" applyFill="1" applyBorder="1" applyAlignment="1">
      <alignment horizontal="left" vertical="center" wrapText="1"/>
    </xf>
    <xf numFmtId="178" fontId="50" fillId="14" borderId="32" xfId="0" applyNumberFormat="1" applyFont="1" applyFill="1" applyBorder="1" applyAlignment="1">
      <alignment horizontal="center" vertical="center" wrapText="1"/>
    </xf>
    <xf numFmtId="178" fontId="50" fillId="31" borderId="32" xfId="0" applyNumberFormat="1" applyFont="1" applyFill="1" applyBorder="1" applyAlignment="1">
      <alignment horizontal="center" vertical="center" wrapText="1"/>
    </xf>
    <xf numFmtId="1" fontId="50" fillId="31" borderId="32" xfId="0" applyNumberFormat="1" applyFont="1" applyFill="1" applyBorder="1" applyAlignment="1">
      <alignment horizontal="left" vertical="center" wrapText="1"/>
    </xf>
    <xf numFmtId="1" fontId="50" fillId="14" borderId="32" xfId="0" applyNumberFormat="1" applyFont="1" applyFill="1" applyBorder="1" applyAlignment="1">
      <alignment horizontal="left" vertical="center" wrapText="1"/>
    </xf>
    <xf numFmtId="0" fontId="50" fillId="14" borderId="32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1" fillId="36" borderId="0" xfId="0" applyFont="1" applyFill="1" applyAlignment="1">
      <alignment horizontal="center" vertical="center"/>
    </xf>
    <xf numFmtId="0" fontId="1" fillId="36" borderId="0" xfId="0" applyFont="1" applyFill="1" applyAlignment="1">
      <alignment vertical="center"/>
    </xf>
    <xf numFmtId="0" fontId="46" fillId="37" borderId="17" xfId="0" applyFont="1" applyFill="1" applyBorder="1" applyAlignment="1">
      <alignment horizontal="center" vertical="center"/>
    </xf>
    <xf numFmtId="0" fontId="46" fillId="38" borderId="17" xfId="0" applyFont="1" applyFill="1" applyBorder="1" applyAlignment="1">
      <alignment horizontal="center" vertical="center"/>
    </xf>
    <xf numFmtId="0" fontId="46" fillId="39" borderId="17" xfId="0" applyFont="1" applyFill="1" applyBorder="1" applyAlignment="1">
      <alignment horizontal="center" vertical="center"/>
    </xf>
    <xf numFmtId="20" fontId="1" fillId="4" borderId="0" xfId="0" applyNumberFormat="1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5" xfId="0" applyBorder="1" applyAlignment="1"/>
    <xf numFmtId="0" fontId="32" fillId="0" borderId="0" xfId="0" applyFont="1" applyAlignment="1">
      <alignment vertical="center"/>
    </xf>
    <xf numFmtId="0" fontId="46" fillId="34" borderId="17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34" borderId="0" xfId="0" applyFont="1" applyFill="1" applyAlignment="1">
      <alignment horizontal="center" vertical="center"/>
    </xf>
    <xf numFmtId="0" fontId="1" fillId="40" borderId="0" xfId="0" applyFont="1" applyFill="1" applyAlignment="1">
      <alignment horizontal="center" vertical="center"/>
    </xf>
    <xf numFmtId="0" fontId="1" fillId="41" borderId="0" xfId="0" applyFont="1" applyFill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180" fontId="1" fillId="0" borderId="0" xfId="3" applyNumberFormat="1" applyFont="1" applyAlignment="1">
      <alignment horizontal="center" vertical="center"/>
    </xf>
    <xf numFmtId="0" fontId="57" fillId="5" borderId="0" xfId="0" applyFont="1" applyFill="1" applyAlignment="1">
      <alignment vertical="center"/>
    </xf>
    <xf numFmtId="0" fontId="58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6" fillId="0" borderId="0" xfId="0" applyFont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59" fillId="9" borderId="0" xfId="0" applyFont="1" applyFill="1" applyAlignment="1"/>
    <xf numFmtId="0" fontId="27" fillId="0" borderId="0" xfId="0" applyFont="1" applyAlignment="1"/>
    <xf numFmtId="0" fontId="22" fillId="9" borderId="24" xfId="0" applyFont="1" applyFill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/>
    </xf>
    <xf numFmtId="0" fontId="43" fillId="14" borderId="24" xfId="0" applyFont="1" applyFill="1" applyBorder="1" applyAlignment="1"/>
    <xf numFmtId="0" fontId="42" fillId="25" borderId="2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5" Type="http://schemas.openxmlformats.org/officeDocument/2006/relationships/styles" Target="styles.xml"/><Relationship Id="rId44" Type="http://schemas.openxmlformats.org/officeDocument/2006/relationships/sharedStrings" Target="sharedStrings.xml"/><Relationship Id="rId43" Type="http://schemas.openxmlformats.org/officeDocument/2006/relationships/theme" Target="theme/theme1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'主角等级（从新手引导复制） '!$D$5:$D$64</c:f>
              <c:numCache>
                <c:formatCode>General</c:formatCode>
                <c:ptCount val="60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190</c:v>
                </c:pt>
                <c:pt idx="11">
                  <c:v>210</c:v>
                </c:pt>
                <c:pt idx="12">
                  <c:v>230</c:v>
                </c:pt>
                <c:pt idx="13">
                  <c:v>250</c:v>
                </c:pt>
                <c:pt idx="14">
                  <c:v>270</c:v>
                </c:pt>
                <c:pt idx="15">
                  <c:v>300</c:v>
                </c:pt>
                <c:pt idx="16">
                  <c:v>330</c:v>
                </c:pt>
                <c:pt idx="17">
                  <c:v>360</c:v>
                </c:pt>
                <c:pt idx="18">
                  <c:v>390</c:v>
                </c:pt>
                <c:pt idx="19">
                  <c:v>420</c:v>
                </c:pt>
                <c:pt idx="20">
                  <c:v>470</c:v>
                </c:pt>
                <c:pt idx="21">
                  <c:v>520</c:v>
                </c:pt>
                <c:pt idx="22">
                  <c:v>570</c:v>
                </c:pt>
                <c:pt idx="23">
                  <c:v>620</c:v>
                </c:pt>
                <c:pt idx="24">
                  <c:v>670</c:v>
                </c:pt>
                <c:pt idx="25">
                  <c:v>770</c:v>
                </c:pt>
                <c:pt idx="26">
                  <c:v>870</c:v>
                </c:pt>
                <c:pt idx="27">
                  <c:v>970</c:v>
                </c:pt>
                <c:pt idx="28">
                  <c:v>1070</c:v>
                </c:pt>
                <c:pt idx="29">
                  <c:v>1170</c:v>
                </c:pt>
                <c:pt idx="30">
                  <c:v>1370</c:v>
                </c:pt>
                <c:pt idx="31">
                  <c:v>1570</c:v>
                </c:pt>
                <c:pt idx="32">
                  <c:v>1770</c:v>
                </c:pt>
                <c:pt idx="33">
                  <c:v>1970</c:v>
                </c:pt>
                <c:pt idx="34">
                  <c:v>2170</c:v>
                </c:pt>
                <c:pt idx="35">
                  <c:v>2470</c:v>
                </c:pt>
                <c:pt idx="36">
                  <c:v>2770</c:v>
                </c:pt>
                <c:pt idx="37">
                  <c:v>3070</c:v>
                </c:pt>
                <c:pt idx="38">
                  <c:v>3370</c:v>
                </c:pt>
                <c:pt idx="39">
                  <c:v>3670</c:v>
                </c:pt>
                <c:pt idx="40">
                  <c:v>4070</c:v>
                </c:pt>
                <c:pt idx="41">
                  <c:v>4520</c:v>
                </c:pt>
                <c:pt idx="42">
                  <c:v>5020</c:v>
                </c:pt>
                <c:pt idx="43">
                  <c:v>5570</c:v>
                </c:pt>
                <c:pt idx="44">
                  <c:v>6170</c:v>
                </c:pt>
                <c:pt idx="45">
                  <c:v>6820</c:v>
                </c:pt>
                <c:pt idx="46">
                  <c:v>7520</c:v>
                </c:pt>
                <c:pt idx="47">
                  <c:v>8270</c:v>
                </c:pt>
                <c:pt idx="48">
                  <c:v>9070</c:v>
                </c:pt>
                <c:pt idx="49">
                  <c:v>9920</c:v>
                </c:pt>
                <c:pt idx="50">
                  <c:v>10920</c:v>
                </c:pt>
                <c:pt idx="51">
                  <c:v>12020</c:v>
                </c:pt>
                <c:pt idx="52">
                  <c:v>13220</c:v>
                </c:pt>
                <c:pt idx="53">
                  <c:v>14520</c:v>
                </c:pt>
                <c:pt idx="54">
                  <c:v>15920</c:v>
                </c:pt>
                <c:pt idx="55">
                  <c:v>17420</c:v>
                </c:pt>
                <c:pt idx="56">
                  <c:v>19420</c:v>
                </c:pt>
                <c:pt idx="57">
                  <c:v>22420</c:v>
                </c:pt>
                <c:pt idx="58">
                  <c:v>26420</c:v>
                </c:pt>
                <c:pt idx="59">
                  <c:v>31420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98350349"/>
        <c:axId val="888036729"/>
      </c:lineChart>
      <c:catAx>
        <c:axId val="59835034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8036729"/>
        <c:crosses val="autoZero"/>
        <c:auto val="1"/>
        <c:lblAlgn val="ctr"/>
        <c:lblOffset val="100"/>
        <c:noMultiLvlLbl val="0"/>
      </c:catAx>
      <c:valAx>
        <c:axId val="8880367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8350349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95b096-95da-48dd-bbf3-0e5fda8480d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180975</xdr:colOff>
      <xdr:row>41</xdr:row>
      <xdr:rowOff>53975</xdr:rowOff>
    </xdr:from>
    <xdr:to>
      <xdr:col>21</xdr:col>
      <xdr:colOff>587375</xdr:colOff>
      <xdr:row>54</xdr:row>
      <xdr:rowOff>73025</xdr:rowOff>
    </xdr:to>
    <xdr:graphicFrame>
      <xdr:nvGraphicFramePr>
        <xdr:cNvPr id="2" name="Chart 1"/>
        <xdr:cNvGraphicFramePr/>
      </xdr:nvGraphicFramePr>
      <xdr:xfrm>
        <a:off x="13811250" y="86455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4"/>
  <sheetViews>
    <sheetView workbookViewId="0">
      <selection activeCell="C39" sqref="C39"/>
    </sheetView>
  </sheetViews>
  <sheetFormatPr defaultColWidth="9" defaultRowHeight="13.5"/>
  <cols>
    <col min="1" max="1" width="14" style="14" customWidth="1"/>
    <col min="2" max="3" width="18" style="14" customWidth="1"/>
    <col min="4" max="4" width="14" style="14" customWidth="1"/>
    <col min="5" max="5" width="20" style="14" customWidth="1"/>
    <col min="6" max="6" width="17" style="14" customWidth="1"/>
    <col min="7" max="7" width="20" style="14" customWidth="1"/>
    <col min="8" max="8" width="12" style="14" customWidth="1"/>
    <col min="9" max="9" width="14" style="14" customWidth="1"/>
    <col min="10" max="10" width="12" style="14" customWidth="1"/>
    <col min="11" max="11" width="42" style="14" customWidth="1"/>
  </cols>
  <sheetData>
    <row r="1" ht="22" customHeight="1" spans="1:10">
      <c r="A1" s="260" t="s">
        <v>0</v>
      </c>
    </row>
    <row r="2" ht="22" customHeight="1" spans="1:10">
      <c r="A2" s="261" t="s">
        <v>1</v>
      </c>
    </row>
    <row r="3" ht="22" customHeight="1" spans="1:10">
      <c r="A3" s="261" t="s">
        <v>2</v>
      </c>
    </row>
    <row r="4" ht="22" customHeight="1" spans="1:10">
      <c r="A4" s="261" t="s">
        <v>3</v>
      </c>
    </row>
    <row r="5" ht="22" customHeight="1"/>
    <row r="6" ht="22" customHeight="1" spans="1:10">
      <c r="A6" s="96" t="s">
        <v>4</v>
      </c>
      <c r="B6" s="96" t="s">
        <v>5</v>
      </c>
      <c r="C6" s="96" t="s">
        <v>6</v>
      </c>
      <c r="D6" s="96" t="s">
        <v>7</v>
      </c>
      <c r="E6" s="96" t="s">
        <v>8</v>
      </c>
      <c r="F6" s="96" t="s">
        <v>9</v>
      </c>
      <c r="G6" s="96" t="s">
        <v>10</v>
      </c>
      <c r="H6" s="96" t="s">
        <v>11</v>
      </c>
      <c r="I6" s="96" t="s">
        <v>12</v>
      </c>
      <c r="J6" s="96" t="s">
        <v>13</v>
      </c>
    </row>
    <row r="7" ht="22" customHeight="1" spans="1:10">
      <c r="A7" s="83" t="s">
        <v>14</v>
      </c>
      <c r="B7" s="83">
        <f t="shared" ref="B7:B16" si="0">SUMIFS($H$24:$H$999,$A$24:$A$999,$A7,$G$24:$G$999,B$6,$J$24:$J$999,"是")</f>
        <v>1500</v>
      </c>
      <c r="C7" s="83">
        <f t="shared" ref="C7:C16" si="1">SUMIFS($H$24:$H$999,$A$24:$A$999,$A7,$G$24:$G$999,C$6,$J$24:$J$999,"是")</f>
        <v>20</v>
      </c>
      <c r="D7" s="83">
        <f t="shared" ref="D7:D16" si="2">SUMIFS($H$24:$H$999,$A$24:$A$999,$A7,$G$24:$G$999,D$6,$J$24:$J$999,"是")</f>
        <v>10</v>
      </c>
      <c r="E7" s="83">
        <f t="shared" ref="E7:E16" si="3">SUMIFS($H$24:$H$999,$A$24:$A$999,$A7,$G$24:$G$999,E$6,$J$24:$J$999,"是")</f>
        <v>0</v>
      </c>
      <c r="F7" s="83">
        <f t="shared" ref="F7:F16" si="4">SUMIFS($H$24:$H$999,$A$24:$A$999,$A7,$G$24:$G$999,F$6,$J$24:$J$999,"是")</f>
        <v>0</v>
      </c>
      <c r="G7" s="83">
        <f t="shared" ref="G7:G16" si="5">SUM(C7:F7)</f>
        <v>30</v>
      </c>
      <c r="H7" s="83">
        <f t="shared" ref="H7:H16" si="6">SUMIFS($I$24:$I$999,$A$24:$A$999,$A7,$J$24:$J$999,"是")</f>
        <v>8400</v>
      </c>
      <c r="I7" s="83">
        <f t="shared" ref="I7:I16" si="7">SUMIFS($I$24:$I$999,$A$24:$A$999,$A7,$J$24:$J$999,"否")</f>
        <v>0</v>
      </c>
      <c r="J7" s="83"/>
    </row>
    <row r="8" ht="22" customHeight="1" spans="1:10">
      <c r="A8" s="83" t="s">
        <v>15</v>
      </c>
      <c r="B8" s="83">
        <f t="shared" si="0"/>
        <v>2800</v>
      </c>
      <c r="C8" s="83">
        <f t="shared" si="1"/>
        <v>1</v>
      </c>
      <c r="D8" s="83">
        <f t="shared" si="2"/>
        <v>0</v>
      </c>
      <c r="E8" s="83">
        <f t="shared" si="3"/>
        <v>15</v>
      </c>
      <c r="F8" s="83">
        <f t="shared" si="4"/>
        <v>0</v>
      </c>
      <c r="G8" s="83">
        <f t="shared" si="5"/>
        <v>16</v>
      </c>
      <c r="H8" s="83" t="e">
        <f t="shared" si="6"/>
        <v>#REF!</v>
      </c>
      <c r="I8" s="83">
        <f t="shared" si="7"/>
        <v>0</v>
      </c>
      <c r="J8" s="83"/>
    </row>
    <row r="9" ht="22" customHeight="1" spans="1:10">
      <c r="A9" s="83" t="s">
        <v>16</v>
      </c>
      <c r="B9" s="83">
        <f t="shared" si="0"/>
        <v>1880</v>
      </c>
      <c r="C9" s="83">
        <f t="shared" si="1"/>
        <v>0</v>
      </c>
      <c r="D9" s="83">
        <f t="shared" si="2"/>
        <v>0</v>
      </c>
      <c r="E9" s="83">
        <f t="shared" si="3"/>
        <v>40</v>
      </c>
      <c r="F9" s="83">
        <f t="shared" si="4"/>
        <v>10</v>
      </c>
      <c r="G9" s="83">
        <f t="shared" si="5"/>
        <v>50</v>
      </c>
      <c r="H9" s="83">
        <f t="shared" si="6"/>
        <v>9380</v>
      </c>
      <c r="I9" s="83">
        <f t="shared" si="7"/>
        <v>0</v>
      </c>
      <c r="J9" s="83"/>
    </row>
    <row r="10" ht="22" customHeight="1" spans="1:10">
      <c r="A10" s="83" t="s">
        <v>17</v>
      </c>
      <c r="B10" s="83">
        <f t="shared" si="0"/>
        <v>0</v>
      </c>
      <c r="C10" s="83">
        <f t="shared" si="1"/>
        <v>0</v>
      </c>
      <c r="D10" s="83">
        <f t="shared" si="2"/>
        <v>0</v>
      </c>
      <c r="E10" s="83">
        <f t="shared" si="3"/>
        <v>7</v>
      </c>
      <c r="F10" s="83">
        <f t="shared" si="4"/>
        <v>1</v>
      </c>
      <c r="G10" s="83">
        <f t="shared" si="5"/>
        <v>8</v>
      </c>
      <c r="H10" s="83">
        <f t="shared" si="6"/>
        <v>1200</v>
      </c>
      <c r="I10" s="83">
        <f t="shared" si="7"/>
        <v>0</v>
      </c>
      <c r="J10" s="83"/>
    </row>
    <row r="11" ht="22" customHeight="1" spans="1:10">
      <c r="A11" s="83" t="s">
        <v>18</v>
      </c>
      <c r="B11" s="83" t="e">
        <f t="shared" si="0"/>
        <v>#REF!</v>
      </c>
      <c r="C11" s="83" t="e">
        <f t="shared" si="1"/>
        <v>#REF!</v>
      </c>
      <c r="D11" s="83">
        <f t="shared" si="2"/>
        <v>0</v>
      </c>
      <c r="E11" s="83" t="e">
        <f t="shared" si="3"/>
        <v>#REF!</v>
      </c>
      <c r="F11" s="83">
        <f t="shared" si="4"/>
        <v>0</v>
      </c>
      <c r="G11" s="83" t="e">
        <f t="shared" si="5"/>
        <v>#REF!</v>
      </c>
      <c r="H11" s="83" t="e">
        <f t="shared" si="6"/>
        <v>#REF!</v>
      </c>
      <c r="I11" s="83">
        <f t="shared" si="7"/>
        <v>0</v>
      </c>
      <c r="J11" s="83"/>
    </row>
    <row r="12" ht="22" customHeight="1" spans="1:10">
      <c r="A12" s="83" t="s">
        <v>19</v>
      </c>
      <c r="B12" s="83">
        <f t="shared" si="0"/>
        <v>0</v>
      </c>
      <c r="C12" s="83">
        <f t="shared" si="1"/>
        <v>0</v>
      </c>
      <c r="D12" s="83">
        <f t="shared" si="2"/>
        <v>0</v>
      </c>
      <c r="E12" s="83">
        <f t="shared" si="3"/>
        <v>0</v>
      </c>
      <c r="F12" s="83">
        <f t="shared" si="4"/>
        <v>0</v>
      </c>
      <c r="G12" s="83">
        <f t="shared" si="5"/>
        <v>0</v>
      </c>
      <c r="H12" s="83">
        <f t="shared" si="6"/>
        <v>9003600</v>
      </c>
      <c r="I12" s="83">
        <f t="shared" si="7"/>
        <v>0</v>
      </c>
      <c r="J12" s="83"/>
    </row>
    <row r="13" ht="22" customHeight="1" spans="1:10">
      <c r="A13" s="83" t="s">
        <v>20</v>
      </c>
      <c r="B13" s="83">
        <f t="shared" si="0"/>
        <v>600</v>
      </c>
      <c r="C13" s="83">
        <f t="shared" si="1"/>
        <v>0</v>
      </c>
      <c r="D13" s="83">
        <f t="shared" si="2"/>
        <v>0</v>
      </c>
      <c r="E13" s="83">
        <f t="shared" si="3"/>
        <v>0</v>
      </c>
      <c r="F13" s="83">
        <f t="shared" si="4"/>
        <v>0</v>
      </c>
      <c r="G13" s="83">
        <f t="shared" si="5"/>
        <v>0</v>
      </c>
      <c r="H13" s="83" t="e">
        <f t="shared" si="6"/>
        <v>#N/A</v>
      </c>
      <c r="I13" s="83">
        <f t="shared" si="7"/>
        <v>0</v>
      </c>
      <c r="J13" s="83"/>
    </row>
    <row r="14" ht="22" customHeight="1" spans="1:10">
      <c r="A14" s="83" t="s">
        <v>21</v>
      </c>
      <c r="B14" s="83">
        <f t="shared" si="0"/>
        <v>150</v>
      </c>
      <c r="C14" s="83">
        <f t="shared" si="1"/>
        <v>2</v>
      </c>
      <c r="D14" s="83">
        <f t="shared" si="2"/>
        <v>0</v>
      </c>
      <c r="E14" s="83">
        <f t="shared" si="3"/>
        <v>0</v>
      </c>
      <c r="F14" s="83">
        <f t="shared" si="4"/>
        <v>0</v>
      </c>
      <c r="G14" s="83">
        <f t="shared" si="5"/>
        <v>2</v>
      </c>
      <c r="H14" s="83">
        <f t="shared" si="6"/>
        <v>450</v>
      </c>
      <c r="I14" s="83">
        <f t="shared" si="7"/>
        <v>0</v>
      </c>
      <c r="J14" s="83"/>
    </row>
    <row r="15" ht="22" customHeight="1" spans="1:10">
      <c r="A15" s="83" t="s">
        <v>22</v>
      </c>
      <c r="B15" s="83">
        <f t="shared" si="0"/>
        <v>0</v>
      </c>
      <c r="C15" s="83">
        <f t="shared" si="1"/>
        <v>0</v>
      </c>
      <c r="D15" s="83">
        <f t="shared" si="2"/>
        <v>0</v>
      </c>
      <c r="E15" s="83">
        <f t="shared" si="3"/>
        <v>0</v>
      </c>
      <c r="F15" s="83">
        <f t="shared" si="4"/>
        <v>0</v>
      </c>
      <c r="G15" s="83">
        <f t="shared" si="5"/>
        <v>0</v>
      </c>
      <c r="H15" s="83">
        <f t="shared" si="6"/>
        <v>0</v>
      </c>
      <c r="I15" s="83">
        <f t="shared" si="7"/>
        <v>680</v>
      </c>
      <c r="J15" s="83"/>
    </row>
    <row r="16" ht="22" customHeight="1" spans="1:10">
      <c r="A16" s="83" t="s">
        <v>23</v>
      </c>
      <c r="B16" s="83">
        <f t="shared" si="0"/>
        <v>750</v>
      </c>
      <c r="C16" s="83">
        <f t="shared" si="1"/>
        <v>0</v>
      </c>
      <c r="D16" s="83">
        <f t="shared" si="2"/>
        <v>0</v>
      </c>
      <c r="E16" s="83">
        <f t="shared" si="3"/>
        <v>15</v>
      </c>
      <c r="F16" s="83">
        <f t="shared" si="4"/>
        <v>0</v>
      </c>
      <c r="G16" s="83">
        <f t="shared" si="5"/>
        <v>15</v>
      </c>
      <c r="H16" s="83">
        <f t="shared" si="6"/>
        <v>6600</v>
      </c>
      <c r="I16" s="83">
        <f t="shared" si="7"/>
        <v>0</v>
      </c>
      <c r="J16" s="83"/>
    </row>
    <row r="17" ht="22" customHeight="1" spans="1:11">
      <c r="A17" s="264" t="s">
        <v>24</v>
      </c>
      <c r="B17" s="264" t="e">
        <f t="shared" ref="B17:I17" si="8">SUM(B7:B16)</f>
        <v>#REF!</v>
      </c>
      <c r="C17" s="264" t="e">
        <f t="shared" si="8"/>
        <v>#REF!</v>
      </c>
      <c r="D17" s="264">
        <f t="shared" si="8"/>
        <v>10</v>
      </c>
      <c r="E17" s="264" t="e">
        <f t="shared" si="8"/>
        <v>#REF!</v>
      </c>
      <c r="F17" s="264">
        <f t="shared" si="8"/>
        <v>11</v>
      </c>
      <c r="G17" s="264" t="e">
        <f t="shared" si="8"/>
        <v>#REF!</v>
      </c>
      <c r="H17" s="264" t="e">
        <f t="shared" si="8"/>
        <v>#REF!</v>
      </c>
      <c r="I17" s="264">
        <f t="shared" si="8"/>
        <v>680</v>
      </c>
      <c r="J17" s="264"/>
    </row>
    <row r="18" ht="22" customHeight="1"/>
    <row r="19" ht="22" customHeight="1"/>
    <row r="20" ht="22" customHeight="1"/>
    <row r="21" ht="22" customHeight="1"/>
    <row r="22" ht="22" customHeight="1"/>
    <row r="23" ht="22" customHeight="1" spans="1:11">
      <c r="A23" s="262" t="s">
        <v>4</v>
      </c>
      <c r="B23" s="262" t="s">
        <v>25</v>
      </c>
      <c r="C23" s="262" t="s">
        <v>26</v>
      </c>
      <c r="D23" s="262" t="s">
        <v>27</v>
      </c>
      <c r="E23" s="262" t="s">
        <v>28</v>
      </c>
      <c r="F23" s="262" t="s">
        <v>29</v>
      </c>
      <c r="G23" s="262" t="s">
        <v>30</v>
      </c>
      <c r="H23" s="262" t="s">
        <v>31</v>
      </c>
      <c r="I23" s="262" t="s">
        <v>32</v>
      </c>
      <c r="J23" s="262" t="s">
        <v>33</v>
      </c>
      <c r="K23" s="262" t="s">
        <v>13</v>
      </c>
    </row>
    <row r="24" ht="22" customHeight="1" spans="1:11">
      <c r="A24" s="174" t="s">
        <v>14</v>
      </c>
      <c r="B24" s="174" t="s">
        <v>34</v>
      </c>
      <c r="C24" s="174" t="s">
        <v>14</v>
      </c>
      <c r="D24" s="174" t="s">
        <v>35</v>
      </c>
      <c r="E24" s="176" t="str">
        <f>'7日任务'!I16</f>
        <v>体力药</v>
      </c>
      <c r="F24" s="174">
        <v>1</v>
      </c>
      <c r="G24" s="176" t="str">
        <f t="shared" ref="G24:G87" si="9">IF(E24="钻石","钻石",IF(ISNUMBER(SEARCH("角色抽卡券限时",E24)),"角色抽卡券限时",IF(ISNUMBER(SEARCH("专武抽卡券限时",E24)),"专武抽卡券限时",IF(ISNUMBER(SEARCH("角色抽卡券",E24)),"角色抽卡券普通",IF(ISNUMBER(SEARCH("专武抽卡券",E24)),"专武抽卡券普通","")))))</f>
        <v/>
      </c>
      <c r="H24" s="176">
        <f>'7日任务'!J16*F24</f>
        <v>2</v>
      </c>
      <c r="I24" s="176">
        <f t="shared" ref="I24:I87" si="10">IF(G24="钻石",H24,H24*150)</f>
        <v>300</v>
      </c>
      <c r="J24" s="174" t="s">
        <v>36</v>
      </c>
      <c r="K24" s="174" t="s">
        <v>37</v>
      </c>
    </row>
    <row r="25" ht="22" customHeight="1" spans="1:11">
      <c r="A25" s="174" t="s">
        <v>14</v>
      </c>
      <c r="B25" s="174" t="s">
        <v>34</v>
      </c>
      <c r="C25" s="174" t="s">
        <v>14</v>
      </c>
      <c r="D25" s="174" t="s">
        <v>38</v>
      </c>
      <c r="E25" s="176" t="str">
        <f>'7日任务'!I27</f>
        <v>体力药</v>
      </c>
      <c r="F25" s="174">
        <v>1</v>
      </c>
      <c r="G25" s="176" t="str">
        <f t="shared" si="9"/>
        <v/>
      </c>
      <c r="H25" s="176">
        <f>'7日任务'!J27*F25</f>
        <v>2</v>
      </c>
      <c r="I25" s="176">
        <f t="shared" si="10"/>
        <v>300</v>
      </c>
      <c r="J25" s="174" t="s">
        <v>36</v>
      </c>
      <c r="K25" s="174" t="s">
        <v>37</v>
      </c>
    </row>
    <row r="26" ht="22" customHeight="1" spans="1:11">
      <c r="A26" s="174" t="s">
        <v>14</v>
      </c>
      <c r="B26" s="174" t="s">
        <v>34</v>
      </c>
      <c r="C26" s="174" t="s">
        <v>14</v>
      </c>
      <c r="D26" s="174" t="s">
        <v>39</v>
      </c>
      <c r="E26" s="176" t="str">
        <f>'7日任务'!I39</f>
        <v>体力药</v>
      </c>
      <c r="F26" s="174">
        <v>1</v>
      </c>
      <c r="G26" s="176" t="str">
        <f t="shared" si="9"/>
        <v/>
      </c>
      <c r="H26" s="176">
        <f>'7日任务'!J39*F26</f>
        <v>2</v>
      </c>
      <c r="I26" s="176">
        <f t="shared" si="10"/>
        <v>300</v>
      </c>
      <c r="J26" s="174" t="s">
        <v>36</v>
      </c>
      <c r="K26" s="174" t="s">
        <v>37</v>
      </c>
    </row>
    <row r="27" ht="22" customHeight="1" spans="1:11">
      <c r="A27" s="174" t="s">
        <v>14</v>
      </c>
      <c r="B27" s="174" t="s">
        <v>34</v>
      </c>
      <c r="C27" s="174" t="s">
        <v>14</v>
      </c>
      <c r="D27" s="174" t="s">
        <v>40</v>
      </c>
      <c r="E27" s="176" t="str">
        <f>'7日任务'!I51</f>
        <v>体力药</v>
      </c>
      <c r="F27" s="174">
        <v>1</v>
      </c>
      <c r="G27" s="176" t="str">
        <f t="shared" si="9"/>
        <v/>
      </c>
      <c r="H27" s="176">
        <f>'7日任务'!J51*F27</f>
        <v>2</v>
      </c>
      <c r="I27" s="176">
        <f t="shared" si="10"/>
        <v>300</v>
      </c>
      <c r="J27" s="174" t="s">
        <v>36</v>
      </c>
      <c r="K27" s="174" t="s">
        <v>37</v>
      </c>
    </row>
    <row r="28" ht="22" customHeight="1" spans="1:11">
      <c r="A28" s="174" t="s">
        <v>14</v>
      </c>
      <c r="B28" s="174" t="s">
        <v>34</v>
      </c>
      <c r="C28" s="174" t="s">
        <v>14</v>
      </c>
      <c r="D28" s="174" t="s">
        <v>41</v>
      </c>
      <c r="E28" s="176" t="str">
        <f>'7日任务'!I63</f>
        <v>体力药</v>
      </c>
      <c r="F28" s="174">
        <v>1</v>
      </c>
      <c r="G28" s="176" t="str">
        <f t="shared" si="9"/>
        <v/>
      </c>
      <c r="H28" s="176">
        <f>'7日任务'!J63*F28</f>
        <v>2</v>
      </c>
      <c r="I28" s="176">
        <f t="shared" si="10"/>
        <v>300</v>
      </c>
      <c r="J28" s="174" t="s">
        <v>36</v>
      </c>
      <c r="K28" s="174" t="s">
        <v>37</v>
      </c>
    </row>
    <row r="29" ht="22" customHeight="1" spans="1:11">
      <c r="A29" s="174" t="s">
        <v>14</v>
      </c>
      <c r="B29" s="174" t="s">
        <v>34</v>
      </c>
      <c r="C29" s="174" t="s">
        <v>14</v>
      </c>
      <c r="D29" s="174" t="s">
        <v>42</v>
      </c>
      <c r="E29" s="176" t="str">
        <f>'7日任务'!I75</f>
        <v>体力药</v>
      </c>
      <c r="F29" s="174">
        <v>1</v>
      </c>
      <c r="G29" s="176" t="str">
        <f t="shared" si="9"/>
        <v/>
      </c>
      <c r="H29" s="176">
        <f>'7日任务'!J75*F29</f>
        <v>2</v>
      </c>
      <c r="I29" s="176">
        <f t="shared" si="10"/>
        <v>300</v>
      </c>
      <c r="J29" s="174" t="s">
        <v>36</v>
      </c>
      <c r="K29" s="174" t="s">
        <v>37</v>
      </c>
    </row>
    <row r="30" ht="22" customHeight="1" spans="1:11">
      <c r="A30" s="174" t="s">
        <v>14</v>
      </c>
      <c r="B30" s="174" t="s">
        <v>34</v>
      </c>
      <c r="C30" s="174" t="s">
        <v>14</v>
      </c>
      <c r="D30" s="174" t="s">
        <v>43</v>
      </c>
      <c r="E30" s="176" t="str">
        <f>'7日任务'!I87</f>
        <v>体力药</v>
      </c>
      <c r="F30" s="174">
        <v>1</v>
      </c>
      <c r="G30" s="176" t="str">
        <f t="shared" si="9"/>
        <v/>
      </c>
      <c r="H30" s="176">
        <f>'7日任务'!J87*F30</f>
        <v>2</v>
      </c>
      <c r="I30" s="176">
        <f t="shared" si="10"/>
        <v>300</v>
      </c>
      <c r="J30" s="174" t="s">
        <v>36</v>
      </c>
      <c r="K30" s="174" t="s">
        <v>37</v>
      </c>
    </row>
    <row r="31" ht="22" customHeight="1" spans="1:11">
      <c r="A31" s="174" t="s">
        <v>14</v>
      </c>
      <c r="B31" s="174" t="s">
        <v>44</v>
      </c>
      <c r="C31" s="174" t="s">
        <v>14</v>
      </c>
      <c r="D31" s="174" t="s">
        <v>45</v>
      </c>
      <c r="E31" s="176" t="str">
        <f>'7日任务'!B105</f>
        <v>角色抽卡券普通</v>
      </c>
      <c r="F31" s="174">
        <v>1</v>
      </c>
      <c r="G31" s="176" t="str">
        <f t="shared" si="9"/>
        <v>角色抽卡券普通</v>
      </c>
      <c r="H31" s="176">
        <f>'7日任务'!C105*F31</f>
        <v>10</v>
      </c>
      <c r="I31" s="176">
        <f t="shared" si="10"/>
        <v>1500</v>
      </c>
      <c r="J31" s="174" t="s">
        <v>36</v>
      </c>
      <c r="K31" s="174" t="s">
        <v>46</v>
      </c>
    </row>
    <row r="32" ht="22" customHeight="1" spans="1:11">
      <c r="A32" s="174" t="s">
        <v>14</v>
      </c>
      <c r="B32" s="174" t="s">
        <v>44</v>
      </c>
      <c r="C32" s="174" t="s">
        <v>14</v>
      </c>
      <c r="D32" s="174" t="s">
        <v>47</v>
      </c>
      <c r="E32" s="176" t="str">
        <f>'7日任务'!B106</f>
        <v>角色抽卡券普通</v>
      </c>
      <c r="F32" s="174">
        <v>1</v>
      </c>
      <c r="G32" s="176" t="str">
        <f t="shared" si="9"/>
        <v>角色抽卡券普通</v>
      </c>
      <c r="H32" s="176">
        <f>'7日任务'!C106*F32</f>
        <v>10</v>
      </c>
      <c r="I32" s="176">
        <f t="shared" si="10"/>
        <v>1500</v>
      </c>
      <c r="J32" s="174" t="s">
        <v>36</v>
      </c>
      <c r="K32" s="174" t="s">
        <v>46</v>
      </c>
    </row>
    <row r="33" ht="22" customHeight="1" spans="1:11">
      <c r="A33" s="174" t="s">
        <v>14</v>
      </c>
      <c r="B33" s="174" t="s">
        <v>44</v>
      </c>
      <c r="C33" s="174" t="s">
        <v>14</v>
      </c>
      <c r="D33" s="174" t="s">
        <v>48</v>
      </c>
      <c r="E33" s="176" t="str">
        <f>'7日任务'!B107</f>
        <v>专武抽卡券普通</v>
      </c>
      <c r="F33" s="174">
        <v>1</v>
      </c>
      <c r="G33" s="176" t="str">
        <f t="shared" si="9"/>
        <v>专武抽卡券普通</v>
      </c>
      <c r="H33" s="176">
        <f>'7日任务'!C107*F33</f>
        <v>10</v>
      </c>
      <c r="I33" s="176">
        <f t="shared" si="10"/>
        <v>1500</v>
      </c>
      <c r="J33" s="174" t="s">
        <v>36</v>
      </c>
      <c r="K33" s="174" t="s">
        <v>46</v>
      </c>
    </row>
    <row r="34" ht="22" customHeight="1" spans="1:11">
      <c r="A34" s="174" t="s">
        <v>14</v>
      </c>
      <c r="B34" s="174" t="s">
        <v>44</v>
      </c>
      <c r="C34" s="174" t="s">
        <v>14</v>
      </c>
      <c r="D34" s="174" t="s">
        <v>49</v>
      </c>
      <c r="E34" s="176" t="str">
        <f>'7日任务'!B108</f>
        <v>SSR角色</v>
      </c>
      <c r="F34" s="174">
        <v>1</v>
      </c>
      <c r="G34" s="176" t="str">
        <f t="shared" si="9"/>
        <v/>
      </c>
      <c r="H34" s="176">
        <f>'7日任务'!C108*F34</f>
        <v>1</v>
      </c>
      <c r="I34" s="176">
        <f t="shared" si="10"/>
        <v>150</v>
      </c>
      <c r="J34" s="174" t="s">
        <v>36</v>
      </c>
      <c r="K34" s="174" t="s">
        <v>46</v>
      </c>
    </row>
    <row r="35" ht="22" customHeight="1" spans="1:11">
      <c r="A35" s="174" t="s">
        <v>14</v>
      </c>
      <c r="B35" s="174" t="s">
        <v>44</v>
      </c>
      <c r="C35" s="174" t="s">
        <v>14</v>
      </c>
      <c r="D35" s="174" t="s">
        <v>50</v>
      </c>
      <c r="E35" s="176" t="str">
        <f>'7日任务'!B110</f>
        <v>SSR专武</v>
      </c>
      <c r="F35" s="174">
        <v>1</v>
      </c>
      <c r="G35" s="176" t="str">
        <f t="shared" si="9"/>
        <v/>
      </c>
      <c r="H35" s="176">
        <f>'7日任务'!C110*F35</f>
        <v>1</v>
      </c>
      <c r="I35" s="176">
        <f t="shared" si="10"/>
        <v>150</v>
      </c>
      <c r="J35" s="174" t="s">
        <v>36</v>
      </c>
      <c r="K35" s="174" t="s">
        <v>46</v>
      </c>
    </row>
    <row r="36" ht="22" customHeight="1" spans="1:11">
      <c r="A36" s="174" t="s">
        <v>14</v>
      </c>
      <c r="B36" s="174" t="s">
        <v>44</v>
      </c>
      <c r="C36" s="174" t="s">
        <v>14</v>
      </c>
      <c r="D36" s="174" t="s">
        <v>51</v>
      </c>
      <c r="E36" s="176" t="str">
        <f>'7日任务'!D105</f>
        <v>钻石</v>
      </c>
      <c r="F36" s="174">
        <v>1</v>
      </c>
      <c r="G36" s="176" t="str">
        <f t="shared" si="9"/>
        <v>钻石</v>
      </c>
      <c r="H36" s="176">
        <f>'7日任务'!E105*F36</f>
        <v>500</v>
      </c>
      <c r="I36" s="176">
        <f t="shared" si="10"/>
        <v>500</v>
      </c>
      <c r="J36" s="174" t="s">
        <v>36</v>
      </c>
      <c r="K36" s="174" t="s">
        <v>46</v>
      </c>
    </row>
    <row r="37" ht="22" customHeight="1" spans="1:11">
      <c r="A37" s="174" t="s">
        <v>14</v>
      </c>
      <c r="B37" s="174" t="s">
        <v>44</v>
      </c>
      <c r="C37" s="174" t="s">
        <v>14</v>
      </c>
      <c r="D37" s="174" t="s">
        <v>52</v>
      </c>
      <c r="E37" s="176" t="str">
        <f>'7日任务'!D106</f>
        <v>钻石</v>
      </c>
      <c r="F37" s="174">
        <v>1</v>
      </c>
      <c r="G37" s="176" t="str">
        <f t="shared" si="9"/>
        <v>钻石</v>
      </c>
      <c r="H37" s="176">
        <f>'7日任务'!E106*F37</f>
        <v>500</v>
      </c>
      <c r="I37" s="176">
        <f t="shared" si="10"/>
        <v>500</v>
      </c>
      <c r="J37" s="174" t="s">
        <v>36</v>
      </c>
      <c r="K37" s="174" t="s">
        <v>46</v>
      </c>
    </row>
    <row r="38" ht="22" customHeight="1" spans="1:11">
      <c r="A38" s="174" t="s">
        <v>14</v>
      </c>
      <c r="B38" s="174" t="s">
        <v>44</v>
      </c>
      <c r="C38" s="174" t="s">
        <v>14</v>
      </c>
      <c r="D38" s="174" t="s">
        <v>53</v>
      </c>
      <c r="E38" s="176" t="str">
        <f>'7日任务'!D107</f>
        <v>钻石</v>
      </c>
      <c r="F38" s="174">
        <v>1</v>
      </c>
      <c r="G38" s="176" t="str">
        <f t="shared" si="9"/>
        <v>钻石</v>
      </c>
      <c r="H38" s="176">
        <f>'7日任务'!E107*F38</f>
        <v>500</v>
      </c>
      <c r="I38" s="176">
        <f t="shared" si="10"/>
        <v>500</v>
      </c>
      <c r="J38" s="174" t="s">
        <v>36</v>
      </c>
      <c r="K38" s="174" t="s">
        <v>46</v>
      </c>
    </row>
    <row r="39" ht="22" customHeight="1" spans="1:11">
      <c r="A39" s="174" t="s">
        <v>14</v>
      </c>
      <c r="B39" s="174" t="s">
        <v>44</v>
      </c>
      <c r="C39" s="174" t="s">
        <v>14</v>
      </c>
      <c r="D39" s="174" t="s">
        <v>54</v>
      </c>
      <c r="E39" s="176">
        <f>'7日任务'!D108</f>
        <v>0</v>
      </c>
      <c r="F39" s="174">
        <v>1</v>
      </c>
      <c r="G39" s="176" t="str">
        <f t="shared" si="9"/>
        <v/>
      </c>
      <c r="H39" s="176">
        <f>'7日任务'!E108*F39</f>
        <v>0</v>
      </c>
      <c r="I39" s="176">
        <f t="shared" si="10"/>
        <v>0</v>
      </c>
      <c r="J39" s="174" t="s">
        <v>36</v>
      </c>
      <c r="K39" s="174" t="s">
        <v>46</v>
      </c>
    </row>
    <row r="40" ht="22" customHeight="1" spans="1:11">
      <c r="A40" s="174" t="s">
        <v>14</v>
      </c>
      <c r="B40" s="174" t="s">
        <v>44</v>
      </c>
      <c r="C40" s="174" t="s">
        <v>14</v>
      </c>
      <c r="D40" s="174" t="s">
        <v>55</v>
      </c>
      <c r="E40" s="176">
        <f>'7日任务'!D110</f>
        <v>0</v>
      </c>
      <c r="F40" s="174">
        <v>1</v>
      </c>
      <c r="G40" s="176" t="str">
        <f t="shared" si="9"/>
        <v/>
      </c>
      <c r="H40" s="176">
        <f>'7日任务'!E110*F40</f>
        <v>0</v>
      </c>
      <c r="I40" s="176">
        <f t="shared" si="10"/>
        <v>0</v>
      </c>
      <c r="J40" s="174" t="s">
        <v>36</v>
      </c>
      <c r="K40" s="174" t="s">
        <v>46</v>
      </c>
    </row>
    <row r="41" ht="22" customHeight="1" spans="1:11">
      <c r="A41" s="174" t="s">
        <v>15</v>
      </c>
      <c r="B41" s="174" t="s">
        <v>56</v>
      </c>
      <c r="C41" s="174" t="s">
        <v>15</v>
      </c>
      <c r="D41" s="174" t="s">
        <v>57</v>
      </c>
      <c r="E41" s="176" t="str">
        <f>主线副本!AC10</f>
        <v>钻石</v>
      </c>
      <c r="F41" s="174">
        <v>1</v>
      </c>
      <c r="G41" s="176" t="str">
        <f t="shared" si="9"/>
        <v>钻石</v>
      </c>
      <c r="H41" s="176">
        <f>主线副本!AD10*F41</f>
        <v>50</v>
      </c>
      <c r="I41" s="176">
        <f t="shared" si="10"/>
        <v>50</v>
      </c>
      <c r="J41" s="174" t="s">
        <v>36</v>
      </c>
      <c r="K41" s="174" t="s">
        <v>58</v>
      </c>
    </row>
    <row r="42" ht="22" customHeight="1" spans="1:11">
      <c r="A42" s="174" t="s">
        <v>15</v>
      </c>
      <c r="B42" s="174" t="s">
        <v>56</v>
      </c>
      <c r="C42" s="174" t="s">
        <v>15</v>
      </c>
      <c r="D42" s="174" t="s">
        <v>59</v>
      </c>
      <c r="E42" s="176" t="str">
        <f>主线副本!AC11</f>
        <v>钻石</v>
      </c>
      <c r="F42" s="174">
        <v>1</v>
      </c>
      <c r="G42" s="176" t="str">
        <f t="shared" si="9"/>
        <v>钻石</v>
      </c>
      <c r="H42" s="176">
        <f>主线副本!AD11*F42</f>
        <v>50</v>
      </c>
      <c r="I42" s="176">
        <f t="shared" si="10"/>
        <v>50</v>
      </c>
      <c r="J42" s="174" t="s">
        <v>36</v>
      </c>
      <c r="K42" s="174" t="s">
        <v>58</v>
      </c>
    </row>
    <row r="43" ht="22" customHeight="1" spans="1:11">
      <c r="A43" s="174" t="s">
        <v>15</v>
      </c>
      <c r="B43" s="174" t="s">
        <v>56</v>
      </c>
      <c r="C43" s="174" t="s">
        <v>15</v>
      </c>
      <c r="D43" s="174" t="s">
        <v>60</v>
      </c>
      <c r="E43" s="176" t="str">
        <f>主线副本!AC12</f>
        <v>钻石</v>
      </c>
      <c r="F43" s="174">
        <v>1</v>
      </c>
      <c r="G43" s="176" t="str">
        <f t="shared" si="9"/>
        <v>钻石</v>
      </c>
      <c r="H43" s="176">
        <f>主线副本!AD12*F43</f>
        <v>150</v>
      </c>
      <c r="I43" s="176">
        <f t="shared" si="10"/>
        <v>150</v>
      </c>
      <c r="J43" s="174" t="s">
        <v>36</v>
      </c>
      <c r="K43" s="174" t="s">
        <v>58</v>
      </c>
    </row>
    <row r="44" ht="22" customHeight="1" spans="1:11">
      <c r="A44" s="174" t="s">
        <v>15</v>
      </c>
      <c r="B44" s="174" t="s">
        <v>56</v>
      </c>
      <c r="C44" s="174" t="s">
        <v>15</v>
      </c>
      <c r="D44" s="174" t="s">
        <v>61</v>
      </c>
      <c r="E44" s="176" t="str">
        <f>主线副本!AC13</f>
        <v>钻石</v>
      </c>
      <c r="F44" s="174">
        <v>1</v>
      </c>
      <c r="G44" s="176" t="str">
        <f t="shared" si="9"/>
        <v>钻石</v>
      </c>
      <c r="H44" s="176">
        <f>主线副本!AD13*F44</f>
        <v>50</v>
      </c>
      <c r="I44" s="176">
        <f t="shared" si="10"/>
        <v>50</v>
      </c>
      <c r="J44" s="174" t="s">
        <v>36</v>
      </c>
      <c r="K44" s="174" t="s">
        <v>58</v>
      </c>
    </row>
    <row r="45" ht="22" customHeight="1" spans="1:11">
      <c r="A45" s="174" t="s">
        <v>15</v>
      </c>
      <c r="B45" s="174" t="s">
        <v>56</v>
      </c>
      <c r="C45" s="174" t="s">
        <v>15</v>
      </c>
      <c r="D45" s="174" t="s">
        <v>62</v>
      </c>
      <c r="E45" s="176" t="str">
        <f>主线副本!AC14</f>
        <v>钻石</v>
      </c>
      <c r="F45" s="174">
        <v>1</v>
      </c>
      <c r="G45" s="176" t="str">
        <f t="shared" si="9"/>
        <v>钻石</v>
      </c>
      <c r="H45" s="176">
        <f>主线副本!AD14*F45</f>
        <v>50</v>
      </c>
      <c r="I45" s="176">
        <f t="shared" si="10"/>
        <v>50</v>
      </c>
      <c r="J45" s="174" t="s">
        <v>36</v>
      </c>
      <c r="K45" s="174" t="s">
        <v>58</v>
      </c>
    </row>
    <row r="46" ht="22" customHeight="1" spans="1:11">
      <c r="A46" s="174" t="s">
        <v>15</v>
      </c>
      <c r="B46" s="174" t="s">
        <v>56</v>
      </c>
      <c r="C46" s="174" t="s">
        <v>15</v>
      </c>
      <c r="D46" s="174" t="s">
        <v>63</v>
      </c>
      <c r="E46" s="176" t="str">
        <f>主线副本!AC15</f>
        <v>钻石</v>
      </c>
      <c r="F46" s="174">
        <v>1</v>
      </c>
      <c r="G46" s="176" t="str">
        <f t="shared" si="9"/>
        <v>钻石</v>
      </c>
      <c r="H46" s="176">
        <f>主线副本!AD15*F46</f>
        <v>50</v>
      </c>
      <c r="I46" s="176">
        <f t="shared" si="10"/>
        <v>50</v>
      </c>
      <c r="J46" s="174" t="s">
        <v>36</v>
      </c>
      <c r="K46" s="174" t="s">
        <v>58</v>
      </c>
    </row>
    <row r="47" ht="22" customHeight="1" spans="1:11">
      <c r="A47" s="174" t="s">
        <v>15</v>
      </c>
      <c r="B47" s="174" t="s">
        <v>56</v>
      </c>
      <c r="C47" s="174" t="s">
        <v>15</v>
      </c>
      <c r="D47" s="174" t="s">
        <v>64</v>
      </c>
      <c r="E47" s="176" t="str">
        <f>主线副本!AC16</f>
        <v>钻石</v>
      </c>
      <c r="F47" s="174">
        <v>1</v>
      </c>
      <c r="G47" s="176" t="str">
        <f t="shared" si="9"/>
        <v>钻石</v>
      </c>
      <c r="H47" s="176">
        <f>主线副本!AD16*F47</f>
        <v>50</v>
      </c>
      <c r="I47" s="176">
        <f t="shared" si="10"/>
        <v>50</v>
      </c>
      <c r="J47" s="174" t="s">
        <v>36</v>
      </c>
      <c r="K47" s="174" t="s">
        <v>58</v>
      </c>
    </row>
    <row r="48" ht="22" customHeight="1" spans="1:11">
      <c r="A48" s="174" t="s">
        <v>15</v>
      </c>
      <c r="B48" s="174" t="s">
        <v>56</v>
      </c>
      <c r="C48" s="174" t="s">
        <v>15</v>
      </c>
      <c r="D48" s="174" t="s">
        <v>65</v>
      </c>
      <c r="E48" s="176" t="str">
        <f>主线副本!AC17</f>
        <v>钻石</v>
      </c>
      <c r="F48" s="174">
        <v>1</v>
      </c>
      <c r="G48" s="176" t="str">
        <f t="shared" si="9"/>
        <v>钻石</v>
      </c>
      <c r="H48" s="176">
        <f>主线副本!AD17*F48</f>
        <v>150</v>
      </c>
      <c r="I48" s="176">
        <f t="shared" si="10"/>
        <v>150</v>
      </c>
      <c r="J48" s="174" t="s">
        <v>36</v>
      </c>
      <c r="K48" s="174" t="s">
        <v>58</v>
      </c>
    </row>
    <row r="49" ht="22" customHeight="1" spans="1:11">
      <c r="A49" s="174" t="s">
        <v>15</v>
      </c>
      <c r="B49" s="174" t="s">
        <v>56</v>
      </c>
      <c r="C49" s="174" t="s">
        <v>15</v>
      </c>
      <c r="D49" s="174" t="s">
        <v>66</v>
      </c>
      <c r="E49" s="176" t="e">
        <f>主线副本!#REF!</f>
        <v>#REF!</v>
      </c>
      <c r="F49" s="174">
        <v>1</v>
      </c>
      <c r="G49" s="176" t="e">
        <f t="shared" si="9"/>
        <v>#REF!</v>
      </c>
      <c r="H49" s="176" t="e">
        <f>主线副本!#REF!*F49</f>
        <v>#REF!</v>
      </c>
      <c r="I49" s="176" t="e">
        <f t="shared" si="10"/>
        <v>#REF!</v>
      </c>
      <c r="J49" s="174" t="s">
        <v>36</v>
      </c>
      <c r="K49" s="174" t="s">
        <v>58</v>
      </c>
    </row>
    <row r="50" ht="22" customHeight="1" spans="1:11">
      <c r="A50" s="174" t="s">
        <v>15</v>
      </c>
      <c r="B50" s="174" t="s">
        <v>56</v>
      </c>
      <c r="C50" s="174" t="s">
        <v>15</v>
      </c>
      <c r="D50" s="174" t="s">
        <v>67</v>
      </c>
      <c r="E50" s="176" t="str">
        <f>主线副本!AC18</f>
        <v>钻石</v>
      </c>
      <c r="F50" s="174">
        <v>1</v>
      </c>
      <c r="G50" s="176" t="str">
        <f t="shared" si="9"/>
        <v>钻石</v>
      </c>
      <c r="H50" s="176">
        <f>主线副本!AD18*F50</f>
        <v>50</v>
      </c>
      <c r="I50" s="176">
        <f t="shared" si="10"/>
        <v>50</v>
      </c>
      <c r="J50" s="174" t="s">
        <v>36</v>
      </c>
      <c r="K50" s="174" t="s">
        <v>58</v>
      </c>
    </row>
    <row r="51" ht="22" customHeight="1" spans="1:11">
      <c r="A51" s="174" t="s">
        <v>15</v>
      </c>
      <c r="B51" s="174" t="s">
        <v>56</v>
      </c>
      <c r="C51" s="174" t="s">
        <v>15</v>
      </c>
      <c r="D51" s="174" t="s">
        <v>68</v>
      </c>
      <c r="E51" s="176" t="str">
        <f>主线副本!AC19</f>
        <v>钻石</v>
      </c>
      <c r="F51" s="174">
        <v>1</v>
      </c>
      <c r="G51" s="176" t="str">
        <f t="shared" si="9"/>
        <v>钻石</v>
      </c>
      <c r="H51" s="176">
        <f>主线副本!AD19*F51</f>
        <v>50</v>
      </c>
      <c r="I51" s="176">
        <f t="shared" si="10"/>
        <v>50</v>
      </c>
      <c r="J51" s="174" t="s">
        <v>36</v>
      </c>
      <c r="K51" s="174" t="s">
        <v>58</v>
      </c>
    </row>
    <row r="52" ht="22" customHeight="1" spans="1:11">
      <c r="A52" s="174" t="s">
        <v>15</v>
      </c>
      <c r="B52" s="174" t="s">
        <v>56</v>
      </c>
      <c r="C52" s="174" t="s">
        <v>15</v>
      </c>
      <c r="D52" s="174" t="s">
        <v>69</v>
      </c>
      <c r="E52" s="176" t="str">
        <f>主线副本!AC20</f>
        <v>钻石</v>
      </c>
      <c r="F52" s="174">
        <v>1</v>
      </c>
      <c r="G52" s="176" t="str">
        <f t="shared" si="9"/>
        <v>钻石</v>
      </c>
      <c r="H52" s="176">
        <f>主线副本!AD20*F52</f>
        <v>50</v>
      </c>
      <c r="I52" s="176">
        <f t="shared" si="10"/>
        <v>50</v>
      </c>
      <c r="J52" s="174" t="s">
        <v>36</v>
      </c>
      <c r="K52" s="174" t="s">
        <v>58</v>
      </c>
    </row>
    <row r="53" ht="22" customHeight="1" spans="1:11">
      <c r="A53" s="174" t="s">
        <v>15</v>
      </c>
      <c r="B53" s="174" t="s">
        <v>56</v>
      </c>
      <c r="C53" s="174" t="s">
        <v>15</v>
      </c>
      <c r="D53" s="174" t="s">
        <v>70</v>
      </c>
      <c r="E53" s="176" t="str">
        <f>主线副本!AC21</f>
        <v>钻石</v>
      </c>
      <c r="F53" s="174">
        <v>1</v>
      </c>
      <c r="G53" s="176" t="str">
        <f t="shared" si="9"/>
        <v>钻石</v>
      </c>
      <c r="H53" s="176">
        <f>主线副本!AD21*F53</f>
        <v>50</v>
      </c>
      <c r="I53" s="176">
        <f t="shared" si="10"/>
        <v>50</v>
      </c>
      <c r="J53" s="174" t="s">
        <v>36</v>
      </c>
      <c r="K53" s="174" t="s">
        <v>58</v>
      </c>
    </row>
    <row r="54" ht="22" customHeight="1" spans="1:11">
      <c r="A54" s="174" t="s">
        <v>15</v>
      </c>
      <c r="B54" s="174" t="s">
        <v>56</v>
      </c>
      <c r="C54" s="174" t="s">
        <v>15</v>
      </c>
      <c r="D54" s="174" t="s">
        <v>71</v>
      </c>
      <c r="E54" s="176" t="str">
        <f>主线副本!AC22</f>
        <v>钻石</v>
      </c>
      <c r="F54" s="174">
        <v>1</v>
      </c>
      <c r="G54" s="176" t="str">
        <f t="shared" si="9"/>
        <v>钻石</v>
      </c>
      <c r="H54" s="176">
        <f>主线副本!AD22*F54</f>
        <v>150</v>
      </c>
      <c r="I54" s="176">
        <f t="shared" si="10"/>
        <v>150</v>
      </c>
      <c r="J54" s="174" t="s">
        <v>36</v>
      </c>
      <c r="K54" s="174" t="s">
        <v>58</v>
      </c>
    </row>
    <row r="55" ht="22" customHeight="1" spans="1:11">
      <c r="A55" s="174" t="s">
        <v>15</v>
      </c>
      <c r="B55" s="174" t="s">
        <v>56</v>
      </c>
      <c r="C55" s="174" t="s">
        <v>15</v>
      </c>
      <c r="D55" s="174" t="s">
        <v>72</v>
      </c>
      <c r="E55" s="176" t="e">
        <f>主线副本!#REF!</f>
        <v>#REF!</v>
      </c>
      <c r="F55" s="174">
        <v>1</v>
      </c>
      <c r="G55" s="176" t="e">
        <f t="shared" si="9"/>
        <v>#REF!</v>
      </c>
      <c r="H55" s="176" t="e">
        <f>主线副本!#REF!*F55</f>
        <v>#REF!</v>
      </c>
      <c r="I55" s="176" t="e">
        <f t="shared" si="10"/>
        <v>#REF!</v>
      </c>
      <c r="J55" s="174" t="s">
        <v>36</v>
      </c>
      <c r="K55" s="174" t="s">
        <v>58</v>
      </c>
    </row>
    <row r="56" ht="22" customHeight="1" spans="1:11">
      <c r="A56" s="174" t="s">
        <v>15</v>
      </c>
      <c r="B56" s="174" t="s">
        <v>56</v>
      </c>
      <c r="C56" s="174" t="s">
        <v>15</v>
      </c>
      <c r="D56" s="174" t="s">
        <v>73</v>
      </c>
      <c r="E56" s="176" t="str">
        <f>主线副本!AC23</f>
        <v>钻石</v>
      </c>
      <c r="F56" s="174">
        <v>1</v>
      </c>
      <c r="G56" s="176" t="str">
        <f t="shared" si="9"/>
        <v>钻石</v>
      </c>
      <c r="H56" s="176">
        <f>主线副本!AD23*F56</f>
        <v>50</v>
      </c>
      <c r="I56" s="176">
        <f t="shared" si="10"/>
        <v>50</v>
      </c>
      <c r="J56" s="174" t="s">
        <v>36</v>
      </c>
      <c r="K56" s="174" t="s">
        <v>58</v>
      </c>
    </row>
    <row r="57" ht="22" customHeight="1" spans="1:11">
      <c r="A57" s="174" t="s">
        <v>15</v>
      </c>
      <c r="B57" s="174" t="s">
        <v>56</v>
      </c>
      <c r="C57" s="174" t="s">
        <v>15</v>
      </c>
      <c r="D57" s="174" t="s">
        <v>74</v>
      </c>
      <c r="E57" s="176" t="str">
        <f>主线副本!AC24</f>
        <v>钻石</v>
      </c>
      <c r="F57" s="174">
        <v>1</v>
      </c>
      <c r="G57" s="176" t="str">
        <f t="shared" si="9"/>
        <v>钻石</v>
      </c>
      <c r="H57" s="176">
        <f>主线副本!AD24*F57</f>
        <v>50</v>
      </c>
      <c r="I57" s="176">
        <f t="shared" si="10"/>
        <v>50</v>
      </c>
      <c r="J57" s="174" t="s">
        <v>36</v>
      </c>
      <c r="K57" s="174" t="s">
        <v>58</v>
      </c>
    </row>
    <row r="58" ht="22" customHeight="1" spans="1:11">
      <c r="A58" s="174" t="s">
        <v>15</v>
      </c>
      <c r="B58" s="174" t="s">
        <v>56</v>
      </c>
      <c r="C58" s="174" t="s">
        <v>15</v>
      </c>
      <c r="D58" s="174" t="s">
        <v>75</v>
      </c>
      <c r="E58" s="176" t="str">
        <f>主线副本!AC25</f>
        <v>钻石</v>
      </c>
      <c r="F58" s="174">
        <v>1</v>
      </c>
      <c r="G58" s="176" t="str">
        <f t="shared" si="9"/>
        <v>钻石</v>
      </c>
      <c r="H58" s="176">
        <f>主线副本!AD25*F58</f>
        <v>50</v>
      </c>
      <c r="I58" s="176">
        <f t="shared" si="10"/>
        <v>50</v>
      </c>
      <c r="J58" s="174" t="s">
        <v>36</v>
      </c>
      <c r="K58" s="174" t="s">
        <v>58</v>
      </c>
    </row>
    <row r="59" ht="22" customHeight="1" spans="1:11">
      <c r="A59" s="174" t="s">
        <v>15</v>
      </c>
      <c r="B59" s="174" t="s">
        <v>56</v>
      </c>
      <c r="C59" s="174" t="s">
        <v>15</v>
      </c>
      <c r="D59" s="174" t="s">
        <v>76</v>
      </c>
      <c r="E59" s="176" t="str">
        <f>主线副本!AC26</f>
        <v>钻石</v>
      </c>
      <c r="F59" s="174">
        <v>1</v>
      </c>
      <c r="G59" s="176" t="str">
        <f t="shared" si="9"/>
        <v>钻石</v>
      </c>
      <c r="H59" s="176">
        <f>主线副本!AD26*F59</f>
        <v>50</v>
      </c>
      <c r="I59" s="176">
        <f t="shared" si="10"/>
        <v>50</v>
      </c>
      <c r="J59" s="174" t="s">
        <v>36</v>
      </c>
      <c r="K59" s="174" t="s">
        <v>58</v>
      </c>
    </row>
    <row r="60" ht="22" customHeight="1" spans="1:11">
      <c r="A60" s="174" t="s">
        <v>15</v>
      </c>
      <c r="B60" s="174" t="s">
        <v>56</v>
      </c>
      <c r="C60" s="174" t="s">
        <v>15</v>
      </c>
      <c r="D60" s="174" t="s">
        <v>77</v>
      </c>
      <c r="E60" s="176" t="str">
        <f>主线副本!AC27</f>
        <v>钻石</v>
      </c>
      <c r="F60" s="174">
        <v>1</v>
      </c>
      <c r="G60" s="176" t="str">
        <f t="shared" si="9"/>
        <v>钻石</v>
      </c>
      <c r="H60" s="176">
        <f>主线副本!AD27*F60</f>
        <v>150</v>
      </c>
      <c r="I60" s="176">
        <f t="shared" si="10"/>
        <v>150</v>
      </c>
      <c r="J60" s="174" t="s">
        <v>36</v>
      </c>
      <c r="K60" s="174" t="s">
        <v>58</v>
      </c>
    </row>
    <row r="61" ht="22" customHeight="1" spans="1:11">
      <c r="A61" s="174" t="s">
        <v>15</v>
      </c>
      <c r="B61" s="174" t="s">
        <v>56</v>
      </c>
      <c r="C61" s="174" t="s">
        <v>15</v>
      </c>
      <c r="D61" s="174" t="s">
        <v>78</v>
      </c>
      <c r="E61" s="176">
        <f>主线副本!AC30</f>
        <v>0</v>
      </c>
      <c r="F61" s="174">
        <v>1</v>
      </c>
      <c r="G61" s="176" t="str">
        <f t="shared" si="9"/>
        <v/>
      </c>
      <c r="H61" s="176">
        <f>主线副本!AD30*F61</f>
        <v>0</v>
      </c>
      <c r="I61" s="176">
        <f t="shared" si="10"/>
        <v>0</v>
      </c>
      <c r="J61" s="174" t="s">
        <v>36</v>
      </c>
      <c r="K61" s="174" t="s">
        <v>58</v>
      </c>
    </row>
    <row r="62" ht="22" customHeight="1" spans="1:11">
      <c r="A62" s="174" t="s">
        <v>15</v>
      </c>
      <c r="B62" s="174" t="s">
        <v>56</v>
      </c>
      <c r="C62" s="174" t="s">
        <v>15</v>
      </c>
      <c r="D62" s="174" t="s">
        <v>79</v>
      </c>
      <c r="E62" s="176" t="str">
        <f>主线副本!AC6</f>
        <v>钻石</v>
      </c>
      <c r="F62" s="174">
        <v>1</v>
      </c>
      <c r="G62" s="176" t="str">
        <f t="shared" si="9"/>
        <v>钻石</v>
      </c>
      <c r="H62" s="176">
        <f>主线副本!AD6*F62</f>
        <v>50</v>
      </c>
      <c r="I62" s="176">
        <f t="shared" si="10"/>
        <v>50</v>
      </c>
      <c r="J62" s="174" t="s">
        <v>36</v>
      </c>
      <c r="K62" s="174" t="s">
        <v>58</v>
      </c>
    </row>
    <row r="63" ht="22" customHeight="1" spans="1:11">
      <c r="A63" s="174" t="s">
        <v>15</v>
      </c>
      <c r="B63" s="174" t="s">
        <v>56</v>
      </c>
      <c r="C63" s="174" t="s">
        <v>15</v>
      </c>
      <c r="D63" s="174" t="s">
        <v>80</v>
      </c>
      <c r="E63" s="176" t="str">
        <f>主线副本!AC7</f>
        <v>钻石</v>
      </c>
      <c r="F63" s="174">
        <v>1</v>
      </c>
      <c r="G63" s="176" t="str">
        <f t="shared" si="9"/>
        <v>钻石</v>
      </c>
      <c r="H63" s="176">
        <f>主线副本!AD7*F63</f>
        <v>50</v>
      </c>
      <c r="I63" s="176">
        <f t="shared" si="10"/>
        <v>50</v>
      </c>
      <c r="J63" s="174" t="s">
        <v>36</v>
      </c>
      <c r="K63" s="174" t="s">
        <v>58</v>
      </c>
    </row>
    <row r="64" ht="22" customHeight="1" spans="1:11">
      <c r="A64" s="174" t="s">
        <v>15</v>
      </c>
      <c r="B64" s="174" t="s">
        <v>56</v>
      </c>
      <c r="C64" s="174" t="s">
        <v>15</v>
      </c>
      <c r="D64" s="174" t="s">
        <v>81</v>
      </c>
      <c r="E64" s="176" t="str">
        <f>主线副本!AC8</f>
        <v>钻石</v>
      </c>
      <c r="F64" s="174">
        <v>1</v>
      </c>
      <c r="G64" s="176" t="str">
        <f t="shared" si="9"/>
        <v>钻石</v>
      </c>
      <c r="H64" s="176">
        <f>主线副本!AD8*F64</f>
        <v>150</v>
      </c>
      <c r="I64" s="176">
        <f t="shared" si="10"/>
        <v>150</v>
      </c>
      <c r="J64" s="174" t="s">
        <v>36</v>
      </c>
      <c r="K64" s="174" t="s">
        <v>58</v>
      </c>
    </row>
    <row r="65" ht="22" customHeight="1" spans="1:11">
      <c r="A65" s="174" t="s">
        <v>15</v>
      </c>
      <c r="B65" s="174" t="s">
        <v>56</v>
      </c>
      <c r="C65" s="174" t="s">
        <v>15</v>
      </c>
      <c r="D65" s="174" t="s">
        <v>82</v>
      </c>
      <c r="E65" s="176" t="str">
        <f>主线副本!AC9</f>
        <v>钻石</v>
      </c>
      <c r="F65" s="174">
        <v>1</v>
      </c>
      <c r="G65" s="176" t="str">
        <f t="shared" si="9"/>
        <v>钻石</v>
      </c>
      <c r="H65" s="176">
        <f>主线副本!AD9*F65</f>
        <v>50</v>
      </c>
      <c r="I65" s="176">
        <f t="shared" si="10"/>
        <v>50</v>
      </c>
      <c r="J65" s="174" t="s">
        <v>36</v>
      </c>
      <c r="K65" s="174" t="s">
        <v>58</v>
      </c>
    </row>
    <row r="66" ht="22" customHeight="1" spans="1:11">
      <c r="A66" s="174" t="s">
        <v>15</v>
      </c>
      <c r="B66" s="174" t="s">
        <v>56</v>
      </c>
      <c r="C66" s="174" t="s">
        <v>15</v>
      </c>
      <c r="D66" s="174" t="s">
        <v>83</v>
      </c>
      <c r="E66" s="176" t="str">
        <f>主线副本!AG12</f>
        <v>角色抽卡券限时</v>
      </c>
      <c r="F66" s="174">
        <v>1</v>
      </c>
      <c r="G66" s="176" t="str">
        <f t="shared" si="9"/>
        <v>角色抽卡券限时</v>
      </c>
      <c r="H66" s="176">
        <f>主线副本!AH12*F66</f>
        <v>3</v>
      </c>
      <c r="I66" s="176">
        <f t="shared" si="10"/>
        <v>450</v>
      </c>
      <c r="J66" s="174" t="s">
        <v>36</v>
      </c>
      <c r="K66" s="174" t="s">
        <v>58</v>
      </c>
    </row>
    <row r="67" ht="22" customHeight="1" spans="1:11">
      <c r="A67" s="174" t="s">
        <v>15</v>
      </c>
      <c r="B67" s="174" t="s">
        <v>56</v>
      </c>
      <c r="C67" s="174" t="s">
        <v>15</v>
      </c>
      <c r="D67" s="174" t="s">
        <v>84</v>
      </c>
      <c r="E67" s="176" t="str">
        <f>主线副本!AG17</f>
        <v>角色抽卡券限时</v>
      </c>
      <c r="F67" s="174">
        <v>1</v>
      </c>
      <c r="G67" s="176" t="str">
        <f t="shared" si="9"/>
        <v>角色抽卡券限时</v>
      </c>
      <c r="H67" s="176">
        <f>主线副本!AH17*F67</f>
        <v>3</v>
      </c>
      <c r="I67" s="176">
        <f t="shared" si="10"/>
        <v>450</v>
      </c>
      <c r="J67" s="174" t="s">
        <v>36</v>
      </c>
      <c r="K67" s="174" t="s">
        <v>58</v>
      </c>
    </row>
    <row r="68" ht="22" customHeight="1" spans="1:11">
      <c r="A68" s="174" t="s">
        <v>15</v>
      </c>
      <c r="B68" s="174" t="s">
        <v>56</v>
      </c>
      <c r="C68" s="174" t="s">
        <v>15</v>
      </c>
      <c r="D68" s="174" t="s">
        <v>85</v>
      </c>
      <c r="E68" s="176" t="e">
        <f>主线副本!#REF!</f>
        <v>#REF!</v>
      </c>
      <c r="F68" s="174">
        <v>1</v>
      </c>
      <c r="G68" s="176" t="e">
        <f t="shared" si="9"/>
        <v>#REF!</v>
      </c>
      <c r="H68" s="176" t="e">
        <f>主线副本!#REF!*F68</f>
        <v>#REF!</v>
      </c>
      <c r="I68" s="176" t="e">
        <f t="shared" si="10"/>
        <v>#REF!</v>
      </c>
      <c r="J68" s="174" t="s">
        <v>36</v>
      </c>
      <c r="K68" s="174" t="s">
        <v>58</v>
      </c>
    </row>
    <row r="69" ht="22" customHeight="1" spans="1:11">
      <c r="A69" s="174" t="s">
        <v>15</v>
      </c>
      <c r="B69" s="174" t="s">
        <v>56</v>
      </c>
      <c r="C69" s="174" t="s">
        <v>15</v>
      </c>
      <c r="D69" s="174" t="s">
        <v>86</v>
      </c>
      <c r="E69" s="176" t="str">
        <f>主线副本!AG22</f>
        <v>角色抽卡券限时</v>
      </c>
      <c r="F69" s="174">
        <v>1</v>
      </c>
      <c r="G69" s="176" t="str">
        <f t="shared" si="9"/>
        <v>角色抽卡券限时</v>
      </c>
      <c r="H69" s="176">
        <f>主线副本!AH22*F69</f>
        <v>3</v>
      </c>
      <c r="I69" s="176">
        <f t="shared" si="10"/>
        <v>450</v>
      </c>
      <c r="J69" s="174" t="s">
        <v>36</v>
      </c>
      <c r="K69" s="174" t="s">
        <v>58</v>
      </c>
    </row>
    <row r="70" ht="22" customHeight="1" spans="1:11">
      <c r="A70" s="174" t="s">
        <v>15</v>
      </c>
      <c r="B70" s="174" t="s">
        <v>56</v>
      </c>
      <c r="C70" s="174" t="s">
        <v>15</v>
      </c>
      <c r="D70" s="174" t="s">
        <v>87</v>
      </c>
      <c r="E70" s="176" t="e">
        <f>主线副本!#REF!</f>
        <v>#REF!</v>
      </c>
      <c r="F70" s="174">
        <v>1</v>
      </c>
      <c r="G70" s="176" t="e">
        <f t="shared" si="9"/>
        <v>#REF!</v>
      </c>
      <c r="H70" s="176" t="e">
        <f>主线副本!#REF!*F70</f>
        <v>#REF!</v>
      </c>
      <c r="I70" s="176" t="e">
        <f t="shared" si="10"/>
        <v>#REF!</v>
      </c>
      <c r="J70" s="174" t="s">
        <v>36</v>
      </c>
      <c r="K70" s="174" t="s">
        <v>58</v>
      </c>
    </row>
    <row r="71" ht="22" customHeight="1" spans="1:11">
      <c r="A71" s="174" t="s">
        <v>15</v>
      </c>
      <c r="B71" s="174" t="s">
        <v>56</v>
      </c>
      <c r="C71" s="174" t="s">
        <v>15</v>
      </c>
      <c r="D71" s="174" t="s">
        <v>88</v>
      </c>
      <c r="E71" s="176" t="str">
        <f>主线副本!AG27</f>
        <v>角色抽卡券限时</v>
      </c>
      <c r="F71" s="174">
        <v>1</v>
      </c>
      <c r="G71" s="176" t="str">
        <f t="shared" si="9"/>
        <v>角色抽卡券限时</v>
      </c>
      <c r="H71" s="176">
        <f>主线副本!AH27*F71</f>
        <v>3</v>
      </c>
      <c r="I71" s="176">
        <f t="shared" si="10"/>
        <v>450</v>
      </c>
      <c r="J71" s="174" t="s">
        <v>36</v>
      </c>
      <c r="K71" s="174" t="s">
        <v>58</v>
      </c>
    </row>
    <row r="72" ht="22" customHeight="1" spans="1:11">
      <c r="A72" s="174" t="s">
        <v>15</v>
      </c>
      <c r="B72" s="174" t="s">
        <v>56</v>
      </c>
      <c r="C72" s="174" t="s">
        <v>15</v>
      </c>
      <c r="D72" s="174" t="s">
        <v>89</v>
      </c>
      <c r="E72" s="176">
        <f>主线副本!AG30</f>
        <v>0</v>
      </c>
      <c r="F72" s="174">
        <v>1</v>
      </c>
      <c r="G72" s="176" t="str">
        <f t="shared" si="9"/>
        <v/>
      </c>
      <c r="H72" s="176">
        <f>主线副本!AH30*F72</f>
        <v>0</v>
      </c>
      <c r="I72" s="176">
        <f t="shared" si="10"/>
        <v>0</v>
      </c>
      <c r="J72" s="174" t="s">
        <v>36</v>
      </c>
      <c r="K72" s="174" t="s">
        <v>58</v>
      </c>
    </row>
    <row r="73" ht="22" customHeight="1" spans="1:11">
      <c r="A73" s="174" t="s">
        <v>15</v>
      </c>
      <c r="B73" s="174" t="s">
        <v>56</v>
      </c>
      <c r="C73" s="174" t="s">
        <v>15</v>
      </c>
      <c r="D73" s="174" t="s">
        <v>90</v>
      </c>
      <c r="E73" s="176" t="str">
        <f>主线副本!AG8</f>
        <v>角色抽卡券限时</v>
      </c>
      <c r="F73" s="174">
        <v>1</v>
      </c>
      <c r="G73" s="176" t="str">
        <f t="shared" si="9"/>
        <v>角色抽卡券限时</v>
      </c>
      <c r="H73" s="176">
        <f>主线副本!AH8*F73</f>
        <v>3</v>
      </c>
      <c r="I73" s="176">
        <f t="shared" si="10"/>
        <v>450</v>
      </c>
      <c r="J73" s="174" t="s">
        <v>36</v>
      </c>
      <c r="K73" s="174" t="s">
        <v>58</v>
      </c>
    </row>
    <row r="74" ht="22" customHeight="1" spans="1:11">
      <c r="A74" s="174" t="s">
        <v>15</v>
      </c>
      <c r="B74" s="174" t="s">
        <v>56</v>
      </c>
      <c r="C74" s="174" t="s">
        <v>15</v>
      </c>
      <c r="D74" s="174" t="s">
        <v>91</v>
      </c>
      <c r="E74" s="176" t="str">
        <f>主线副本!D10</f>
        <v>钻石</v>
      </c>
      <c r="F74" s="174">
        <v>1</v>
      </c>
      <c r="G74" s="176" t="str">
        <f t="shared" si="9"/>
        <v>钻石</v>
      </c>
      <c r="H74" s="176">
        <f>主线副本!E10*F74</f>
        <v>20</v>
      </c>
      <c r="I74" s="176">
        <f t="shared" si="10"/>
        <v>20</v>
      </c>
      <c r="J74" s="174" t="s">
        <v>36</v>
      </c>
      <c r="K74" s="174" t="s">
        <v>58</v>
      </c>
    </row>
    <row r="75" ht="22" customHeight="1" spans="1:11">
      <c r="A75" s="174" t="s">
        <v>15</v>
      </c>
      <c r="B75" s="174" t="s">
        <v>56</v>
      </c>
      <c r="C75" s="174" t="s">
        <v>15</v>
      </c>
      <c r="D75" s="174" t="s">
        <v>92</v>
      </c>
      <c r="E75" s="176" t="str">
        <f>主线副本!D11</f>
        <v>钻石</v>
      </c>
      <c r="F75" s="174">
        <v>1</v>
      </c>
      <c r="G75" s="176" t="str">
        <f t="shared" si="9"/>
        <v>钻石</v>
      </c>
      <c r="H75" s="176">
        <f>主线副本!E11*F75</f>
        <v>20</v>
      </c>
      <c r="I75" s="176">
        <f t="shared" si="10"/>
        <v>20</v>
      </c>
      <c r="J75" s="174" t="s">
        <v>36</v>
      </c>
      <c r="K75" s="174" t="s">
        <v>58</v>
      </c>
    </row>
    <row r="76" ht="22" customHeight="1" spans="1:11">
      <c r="A76" s="174" t="s">
        <v>15</v>
      </c>
      <c r="B76" s="174" t="s">
        <v>56</v>
      </c>
      <c r="C76" s="174" t="s">
        <v>15</v>
      </c>
      <c r="D76" s="174" t="s">
        <v>93</v>
      </c>
      <c r="E76" s="176" t="str">
        <f>主线副本!D12</f>
        <v>钻石</v>
      </c>
      <c r="F76" s="174">
        <v>1</v>
      </c>
      <c r="G76" s="176" t="str">
        <f t="shared" si="9"/>
        <v>钻石</v>
      </c>
      <c r="H76" s="176">
        <f>主线副本!E12*F76</f>
        <v>20</v>
      </c>
      <c r="I76" s="176">
        <f t="shared" si="10"/>
        <v>20</v>
      </c>
      <c r="J76" s="174" t="s">
        <v>36</v>
      </c>
      <c r="K76" s="174" t="s">
        <v>58</v>
      </c>
    </row>
    <row r="77" ht="22" customHeight="1" spans="1:11">
      <c r="A77" s="174" t="s">
        <v>15</v>
      </c>
      <c r="B77" s="174" t="s">
        <v>56</v>
      </c>
      <c r="C77" s="174" t="s">
        <v>15</v>
      </c>
      <c r="D77" s="174" t="s">
        <v>94</v>
      </c>
      <c r="E77" s="176" t="str">
        <f>主线副本!D13</f>
        <v>钻石</v>
      </c>
      <c r="F77" s="174">
        <v>1</v>
      </c>
      <c r="G77" s="176" t="str">
        <f t="shared" si="9"/>
        <v>钻石</v>
      </c>
      <c r="H77" s="176">
        <f>主线副本!E13*F77</f>
        <v>20</v>
      </c>
      <c r="I77" s="176">
        <f t="shared" si="10"/>
        <v>20</v>
      </c>
      <c r="J77" s="174" t="s">
        <v>36</v>
      </c>
      <c r="K77" s="174" t="s">
        <v>58</v>
      </c>
    </row>
    <row r="78" ht="22" customHeight="1" spans="1:11">
      <c r="A78" s="174" t="s">
        <v>15</v>
      </c>
      <c r="B78" s="174" t="s">
        <v>56</v>
      </c>
      <c r="C78" s="174" t="s">
        <v>15</v>
      </c>
      <c r="D78" s="174" t="s">
        <v>95</v>
      </c>
      <c r="E78" s="176" t="str">
        <f>主线副本!D14</f>
        <v>钻石</v>
      </c>
      <c r="F78" s="174">
        <v>1</v>
      </c>
      <c r="G78" s="176" t="str">
        <f t="shared" si="9"/>
        <v>钻石</v>
      </c>
      <c r="H78" s="176">
        <f>主线副本!E14*F78</f>
        <v>20</v>
      </c>
      <c r="I78" s="176">
        <f t="shared" si="10"/>
        <v>20</v>
      </c>
      <c r="J78" s="174" t="s">
        <v>36</v>
      </c>
      <c r="K78" s="174" t="s">
        <v>58</v>
      </c>
    </row>
    <row r="79" ht="22" customHeight="1" spans="1:11">
      <c r="A79" s="174" t="s">
        <v>15</v>
      </c>
      <c r="B79" s="174" t="s">
        <v>56</v>
      </c>
      <c r="C79" s="174" t="s">
        <v>15</v>
      </c>
      <c r="D79" s="174" t="s">
        <v>96</v>
      </c>
      <c r="E79" s="176" t="str">
        <f>主线副本!D15</f>
        <v>钻石</v>
      </c>
      <c r="F79" s="174">
        <v>1</v>
      </c>
      <c r="G79" s="176" t="str">
        <f t="shared" si="9"/>
        <v>钻石</v>
      </c>
      <c r="H79" s="176">
        <f>主线副本!E15*F79</f>
        <v>20</v>
      </c>
      <c r="I79" s="176">
        <f t="shared" si="10"/>
        <v>20</v>
      </c>
      <c r="J79" s="174" t="s">
        <v>36</v>
      </c>
      <c r="K79" s="174" t="s">
        <v>58</v>
      </c>
    </row>
    <row r="80" ht="22" customHeight="1" spans="1:11">
      <c r="A80" s="174" t="s">
        <v>15</v>
      </c>
      <c r="B80" s="174" t="s">
        <v>56</v>
      </c>
      <c r="C80" s="174" t="s">
        <v>15</v>
      </c>
      <c r="D80" s="174" t="s">
        <v>97</v>
      </c>
      <c r="E80" s="176" t="str">
        <f>主线副本!D16</f>
        <v>钻石</v>
      </c>
      <c r="F80" s="174">
        <v>1</v>
      </c>
      <c r="G80" s="176" t="str">
        <f t="shared" si="9"/>
        <v>钻石</v>
      </c>
      <c r="H80" s="176">
        <f>主线副本!E16*F80</f>
        <v>20</v>
      </c>
      <c r="I80" s="176">
        <f t="shared" si="10"/>
        <v>20</v>
      </c>
      <c r="J80" s="174" t="s">
        <v>36</v>
      </c>
      <c r="K80" s="174" t="s">
        <v>58</v>
      </c>
    </row>
    <row r="81" ht="22" customHeight="1" spans="1:11">
      <c r="A81" s="174" t="s">
        <v>15</v>
      </c>
      <c r="B81" s="174" t="s">
        <v>56</v>
      </c>
      <c r="C81" s="174" t="s">
        <v>15</v>
      </c>
      <c r="D81" s="174" t="s">
        <v>98</v>
      </c>
      <c r="E81" s="176" t="str">
        <f>主线副本!D17</f>
        <v>钻石</v>
      </c>
      <c r="F81" s="174">
        <v>1</v>
      </c>
      <c r="G81" s="176" t="str">
        <f t="shared" si="9"/>
        <v>钻石</v>
      </c>
      <c r="H81" s="176">
        <f>主线副本!E17*F81</f>
        <v>20</v>
      </c>
      <c r="I81" s="176">
        <f t="shared" si="10"/>
        <v>20</v>
      </c>
      <c r="J81" s="174" t="s">
        <v>36</v>
      </c>
      <c r="K81" s="174" t="s">
        <v>58</v>
      </c>
    </row>
    <row r="82" ht="22" customHeight="1" spans="1:11">
      <c r="A82" s="174" t="s">
        <v>15</v>
      </c>
      <c r="B82" s="174" t="s">
        <v>56</v>
      </c>
      <c r="C82" s="174" t="s">
        <v>15</v>
      </c>
      <c r="D82" s="174" t="s">
        <v>99</v>
      </c>
      <c r="E82" s="176" t="str">
        <f>主线副本!D18</f>
        <v>钻石</v>
      </c>
      <c r="F82" s="174">
        <v>1</v>
      </c>
      <c r="G82" s="176" t="str">
        <f t="shared" si="9"/>
        <v>钻石</v>
      </c>
      <c r="H82" s="176">
        <f>主线副本!E18*F82</f>
        <v>20</v>
      </c>
      <c r="I82" s="176">
        <f t="shared" si="10"/>
        <v>20</v>
      </c>
      <c r="J82" s="174" t="s">
        <v>36</v>
      </c>
      <c r="K82" s="174" t="s">
        <v>58</v>
      </c>
    </row>
    <row r="83" ht="22" customHeight="1" spans="1:11">
      <c r="A83" s="174" t="s">
        <v>15</v>
      </c>
      <c r="B83" s="174" t="s">
        <v>56</v>
      </c>
      <c r="C83" s="174" t="s">
        <v>15</v>
      </c>
      <c r="D83" s="174" t="s">
        <v>100</v>
      </c>
      <c r="E83" s="176" t="str">
        <f>主线副本!D19</f>
        <v>钻石</v>
      </c>
      <c r="F83" s="174">
        <v>1</v>
      </c>
      <c r="G83" s="176" t="str">
        <f t="shared" si="9"/>
        <v>钻石</v>
      </c>
      <c r="H83" s="176">
        <f>主线副本!E19*F83</f>
        <v>20</v>
      </c>
      <c r="I83" s="176">
        <f t="shared" si="10"/>
        <v>20</v>
      </c>
      <c r="J83" s="174" t="s">
        <v>36</v>
      </c>
      <c r="K83" s="174" t="s">
        <v>58</v>
      </c>
    </row>
    <row r="84" ht="22" customHeight="1" spans="1:11">
      <c r="A84" s="174" t="s">
        <v>15</v>
      </c>
      <c r="B84" s="174" t="s">
        <v>56</v>
      </c>
      <c r="C84" s="174" t="s">
        <v>15</v>
      </c>
      <c r="D84" s="174" t="s">
        <v>101</v>
      </c>
      <c r="E84" s="176" t="str">
        <f>主线副本!D20</f>
        <v>钻石</v>
      </c>
      <c r="F84" s="174">
        <v>1</v>
      </c>
      <c r="G84" s="176" t="str">
        <f t="shared" si="9"/>
        <v>钻石</v>
      </c>
      <c r="H84" s="176">
        <f>主线副本!E20*F84</f>
        <v>20</v>
      </c>
      <c r="I84" s="176">
        <f t="shared" si="10"/>
        <v>20</v>
      </c>
      <c r="J84" s="174" t="s">
        <v>36</v>
      </c>
      <c r="K84" s="174" t="s">
        <v>58</v>
      </c>
    </row>
    <row r="85" ht="22" customHeight="1" spans="1:11">
      <c r="A85" s="174" t="s">
        <v>15</v>
      </c>
      <c r="B85" s="174" t="s">
        <v>56</v>
      </c>
      <c r="C85" s="174" t="s">
        <v>15</v>
      </c>
      <c r="D85" s="174" t="s">
        <v>102</v>
      </c>
      <c r="E85" s="176" t="str">
        <f>主线副本!D21</f>
        <v>钻石</v>
      </c>
      <c r="F85" s="174">
        <v>1</v>
      </c>
      <c r="G85" s="176" t="str">
        <f t="shared" si="9"/>
        <v>钻石</v>
      </c>
      <c r="H85" s="176">
        <f>主线副本!E21*F85</f>
        <v>20</v>
      </c>
      <c r="I85" s="176">
        <f t="shared" si="10"/>
        <v>20</v>
      </c>
      <c r="J85" s="174" t="s">
        <v>36</v>
      </c>
      <c r="K85" s="174" t="s">
        <v>58</v>
      </c>
    </row>
    <row r="86" ht="22" customHeight="1" spans="1:11">
      <c r="A86" s="174" t="s">
        <v>15</v>
      </c>
      <c r="B86" s="174" t="s">
        <v>56</v>
      </c>
      <c r="C86" s="174" t="s">
        <v>15</v>
      </c>
      <c r="D86" s="174" t="s">
        <v>103</v>
      </c>
      <c r="E86" s="176" t="str">
        <f>主线副本!D22</f>
        <v>钻石</v>
      </c>
      <c r="F86" s="174">
        <v>1</v>
      </c>
      <c r="G86" s="176" t="str">
        <f t="shared" si="9"/>
        <v>钻石</v>
      </c>
      <c r="H86" s="176">
        <f>主线副本!E22*F86</f>
        <v>20</v>
      </c>
      <c r="I86" s="176">
        <f t="shared" si="10"/>
        <v>20</v>
      </c>
      <c r="J86" s="174" t="s">
        <v>36</v>
      </c>
      <c r="K86" s="174" t="s">
        <v>58</v>
      </c>
    </row>
    <row r="87" ht="22" customHeight="1" spans="1:11">
      <c r="A87" s="174" t="s">
        <v>15</v>
      </c>
      <c r="B87" s="174" t="s">
        <v>56</v>
      </c>
      <c r="C87" s="174" t="s">
        <v>15</v>
      </c>
      <c r="D87" s="174" t="s">
        <v>104</v>
      </c>
      <c r="E87" s="176" t="str">
        <f>主线副本!D23</f>
        <v>钻石</v>
      </c>
      <c r="F87" s="174">
        <v>1</v>
      </c>
      <c r="G87" s="176" t="str">
        <f t="shared" si="9"/>
        <v>钻石</v>
      </c>
      <c r="H87" s="176">
        <f>主线副本!E23*F87</f>
        <v>20</v>
      </c>
      <c r="I87" s="176">
        <f t="shared" si="10"/>
        <v>20</v>
      </c>
      <c r="J87" s="174" t="s">
        <v>36</v>
      </c>
      <c r="K87" s="174" t="s">
        <v>58</v>
      </c>
    </row>
    <row r="88" ht="22" customHeight="1" spans="1:11">
      <c r="A88" s="174" t="s">
        <v>15</v>
      </c>
      <c r="B88" s="174" t="s">
        <v>56</v>
      </c>
      <c r="C88" s="174" t="s">
        <v>15</v>
      </c>
      <c r="D88" s="174" t="s">
        <v>105</v>
      </c>
      <c r="E88" s="176" t="str">
        <f>主线副本!D24</f>
        <v>钻石</v>
      </c>
      <c r="F88" s="174">
        <v>1</v>
      </c>
      <c r="G88" s="176" t="str">
        <f t="shared" ref="G88:G151" si="11">IF(E88="钻石","钻石",IF(ISNUMBER(SEARCH("角色抽卡券限时",E88)),"角色抽卡券限时",IF(ISNUMBER(SEARCH("专武抽卡券限时",E88)),"专武抽卡券限时",IF(ISNUMBER(SEARCH("角色抽卡券",E88)),"角色抽卡券普通",IF(ISNUMBER(SEARCH("专武抽卡券",E88)),"专武抽卡券普通","")))))</f>
        <v>钻石</v>
      </c>
      <c r="H88" s="176">
        <f>主线副本!E24*F88</f>
        <v>20</v>
      </c>
      <c r="I88" s="176">
        <f t="shared" ref="I88:I151" si="12">IF(G88="钻石",H88,H88*150)</f>
        <v>20</v>
      </c>
      <c r="J88" s="174" t="s">
        <v>36</v>
      </c>
      <c r="K88" s="174" t="s">
        <v>58</v>
      </c>
    </row>
    <row r="89" ht="22" customHeight="1" spans="1:11">
      <c r="A89" s="174" t="s">
        <v>15</v>
      </c>
      <c r="B89" s="174" t="s">
        <v>56</v>
      </c>
      <c r="C89" s="174" t="s">
        <v>15</v>
      </c>
      <c r="D89" s="174" t="s">
        <v>106</v>
      </c>
      <c r="E89" s="176" t="str">
        <f>主线副本!D25</f>
        <v>钻石</v>
      </c>
      <c r="F89" s="174">
        <v>1</v>
      </c>
      <c r="G89" s="176" t="str">
        <f t="shared" si="11"/>
        <v>钻石</v>
      </c>
      <c r="H89" s="176">
        <f>主线副本!E25*F89</f>
        <v>20</v>
      </c>
      <c r="I89" s="176">
        <f t="shared" si="12"/>
        <v>20</v>
      </c>
      <c r="J89" s="174" t="s">
        <v>36</v>
      </c>
      <c r="K89" s="174" t="s">
        <v>58</v>
      </c>
    </row>
    <row r="90" ht="22" customHeight="1" spans="1:11">
      <c r="A90" s="174" t="s">
        <v>15</v>
      </c>
      <c r="B90" s="174" t="s">
        <v>56</v>
      </c>
      <c r="C90" s="174" t="s">
        <v>15</v>
      </c>
      <c r="D90" s="174" t="s">
        <v>107</v>
      </c>
      <c r="E90" s="176" t="str">
        <f>主线副本!D26</f>
        <v>钻石</v>
      </c>
      <c r="F90" s="174">
        <v>1</v>
      </c>
      <c r="G90" s="176" t="str">
        <f t="shared" si="11"/>
        <v>钻石</v>
      </c>
      <c r="H90" s="176">
        <f>主线副本!E26*F90</f>
        <v>20</v>
      </c>
      <c r="I90" s="176">
        <f t="shared" si="12"/>
        <v>20</v>
      </c>
      <c r="J90" s="174" t="s">
        <v>36</v>
      </c>
      <c r="K90" s="174" t="s">
        <v>58</v>
      </c>
    </row>
    <row r="91" ht="22" customHeight="1" spans="1:11">
      <c r="A91" s="174" t="s">
        <v>15</v>
      </c>
      <c r="B91" s="174" t="s">
        <v>56</v>
      </c>
      <c r="C91" s="174" t="s">
        <v>15</v>
      </c>
      <c r="D91" s="174" t="s">
        <v>108</v>
      </c>
      <c r="E91" s="176" t="str">
        <f>主线副本!D27</f>
        <v>钻石</v>
      </c>
      <c r="F91" s="174">
        <v>1</v>
      </c>
      <c r="G91" s="176" t="str">
        <f t="shared" si="11"/>
        <v>钻石</v>
      </c>
      <c r="H91" s="176">
        <f>主线副本!E27*F91</f>
        <v>20</v>
      </c>
      <c r="I91" s="176">
        <f t="shared" si="12"/>
        <v>20</v>
      </c>
      <c r="J91" s="174" t="s">
        <v>36</v>
      </c>
      <c r="K91" s="174" t="s">
        <v>58</v>
      </c>
    </row>
    <row r="92" ht="22" customHeight="1" spans="1:11">
      <c r="A92" s="174" t="s">
        <v>15</v>
      </c>
      <c r="B92" s="174" t="s">
        <v>56</v>
      </c>
      <c r="C92" s="174" t="s">
        <v>15</v>
      </c>
      <c r="D92" s="174" t="s">
        <v>109</v>
      </c>
      <c r="E92" s="176" t="str">
        <f>主线副本!D28</f>
        <v>钻石</v>
      </c>
      <c r="F92" s="174">
        <v>1</v>
      </c>
      <c r="G92" s="176" t="str">
        <f t="shared" si="11"/>
        <v>钻石</v>
      </c>
      <c r="H92" s="176">
        <f>主线副本!E28*F92</f>
        <v>20</v>
      </c>
      <c r="I92" s="176">
        <f t="shared" si="12"/>
        <v>20</v>
      </c>
      <c r="J92" s="174" t="s">
        <v>36</v>
      </c>
      <c r="K92" s="174" t="s">
        <v>58</v>
      </c>
    </row>
    <row r="93" ht="22" customHeight="1" spans="1:11">
      <c r="A93" s="174" t="s">
        <v>15</v>
      </c>
      <c r="B93" s="174" t="s">
        <v>56</v>
      </c>
      <c r="C93" s="174" t="s">
        <v>15</v>
      </c>
      <c r="D93" s="174" t="s">
        <v>110</v>
      </c>
      <c r="E93" s="176" t="str">
        <f>主线副本!D29</f>
        <v>钻石</v>
      </c>
      <c r="F93" s="174">
        <v>1</v>
      </c>
      <c r="G93" s="176" t="str">
        <f t="shared" si="11"/>
        <v>钻石</v>
      </c>
      <c r="H93" s="176">
        <f>主线副本!E29*F93</f>
        <v>20</v>
      </c>
      <c r="I93" s="176">
        <f t="shared" si="12"/>
        <v>20</v>
      </c>
      <c r="J93" s="174" t="s">
        <v>36</v>
      </c>
      <c r="K93" s="174" t="s">
        <v>58</v>
      </c>
    </row>
    <row r="94" ht="22" customHeight="1" spans="1:11">
      <c r="A94" s="174" t="s">
        <v>15</v>
      </c>
      <c r="B94" s="174" t="s">
        <v>56</v>
      </c>
      <c r="C94" s="174" t="s">
        <v>15</v>
      </c>
      <c r="D94" s="174" t="s">
        <v>111</v>
      </c>
      <c r="E94" s="176" t="str">
        <f>主线副本!D30</f>
        <v>钻石</v>
      </c>
      <c r="F94" s="174">
        <v>1</v>
      </c>
      <c r="G94" s="176" t="str">
        <f t="shared" si="11"/>
        <v>钻石</v>
      </c>
      <c r="H94" s="176">
        <f>主线副本!E30*F94</f>
        <v>20</v>
      </c>
      <c r="I94" s="176">
        <f t="shared" si="12"/>
        <v>20</v>
      </c>
      <c r="J94" s="174" t="s">
        <v>36</v>
      </c>
      <c r="K94" s="174" t="s">
        <v>58</v>
      </c>
    </row>
    <row r="95" ht="22" customHeight="1" spans="1:11">
      <c r="A95" s="174" t="s">
        <v>15</v>
      </c>
      <c r="B95" s="174" t="s">
        <v>56</v>
      </c>
      <c r="C95" s="174" t="s">
        <v>15</v>
      </c>
      <c r="D95" s="174" t="s">
        <v>112</v>
      </c>
      <c r="E95" s="176" t="str">
        <f>主线副本!D31</f>
        <v>钻石</v>
      </c>
      <c r="F95" s="174">
        <v>1</v>
      </c>
      <c r="G95" s="176" t="str">
        <f t="shared" si="11"/>
        <v>钻石</v>
      </c>
      <c r="H95" s="176">
        <f>主线副本!E31*F95</f>
        <v>20</v>
      </c>
      <c r="I95" s="176">
        <f t="shared" si="12"/>
        <v>20</v>
      </c>
      <c r="J95" s="174" t="s">
        <v>36</v>
      </c>
      <c r="K95" s="174" t="s">
        <v>58</v>
      </c>
    </row>
    <row r="96" ht="22" customHeight="1" spans="1:11">
      <c r="A96" s="174" t="s">
        <v>15</v>
      </c>
      <c r="B96" s="174" t="s">
        <v>56</v>
      </c>
      <c r="C96" s="174" t="s">
        <v>15</v>
      </c>
      <c r="D96" s="174" t="s">
        <v>113</v>
      </c>
      <c r="E96" s="176" t="str">
        <f>主线副本!D32</f>
        <v>钻石</v>
      </c>
      <c r="F96" s="174">
        <v>1</v>
      </c>
      <c r="G96" s="176" t="str">
        <f t="shared" si="11"/>
        <v>钻石</v>
      </c>
      <c r="H96" s="176">
        <f>主线副本!E32*F96</f>
        <v>20</v>
      </c>
      <c r="I96" s="176">
        <f t="shared" si="12"/>
        <v>20</v>
      </c>
      <c r="J96" s="174" t="s">
        <v>36</v>
      </c>
      <c r="K96" s="174" t="s">
        <v>58</v>
      </c>
    </row>
    <row r="97" ht="22" customHeight="1" spans="1:11">
      <c r="A97" s="174" t="s">
        <v>15</v>
      </c>
      <c r="B97" s="174" t="s">
        <v>56</v>
      </c>
      <c r="C97" s="174" t="s">
        <v>15</v>
      </c>
      <c r="D97" s="174" t="s">
        <v>114</v>
      </c>
      <c r="E97" s="176" t="str">
        <f>主线副本!D33</f>
        <v>钻石</v>
      </c>
      <c r="F97" s="174">
        <v>1</v>
      </c>
      <c r="G97" s="176" t="str">
        <f t="shared" si="11"/>
        <v>钻石</v>
      </c>
      <c r="H97" s="176">
        <f>主线副本!E33*F97</f>
        <v>20</v>
      </c>
      <c r="I97" s="176">
        <f t="shared" si="12"/>
        <v>20</v>
      </c>
      <c r="J97" s="174" t="s">
        <v>36</v>
      </c>
      <c r="K97" s="174" t="s">
        <v>58</v>
      </c>
    </row>
    <row r="98" ht="22" customHeight="1" spans="1:11">
      <c r="A98" s="174" t="s">
        <v>15</v>
      </c>
      <c r="B98" s="174" t="s">
        <v>56</v>
      </c>
      <c r="C98" s="174" t="s">
        <v>15</v>
      </c>
      <c r="D98" s="174" t="s">
        <v>115</v>
      </c>
      <c r="E98" s="176" t="str">
        <f>主线副本!D34</f>
        <v>钻石</v>
      </c>
      <c r="F98" s="174">
        <v>1</v>
      </c>
      <c r="G98" s="176" t="str">
        <f t="shared" si="11"/>
        <v>钻石</v>
      </c>
      <c r="H98" s="176">
        <f>主线副本!E34*F98</f>
        <v>20</v>
      </c>
      <c r="I98" s="176">
        <f t="shared" si="12"/>
        <v>20</v>
      </c>
      <c r="J98" s="174" t="s">
        <v>36</v>
      </c>
      <c r="K98" s="174" t="s">
        <v>58</v>
      </c>
    </row>
    <row r="99" ht="22" customHeight="1" spans="1:11">
      <c r="A99" s="174" t="s">
        <v>15</v>
      </c>
      <c r="B99" s="174" t="s">
        <v>56</v>
      </c>
      <c r="C99" s="174" t="s">
        <v>15</v>
      </c>
      <c r="D99" s="174" t="s">
        <v>116</v>
      </c>
      <c r="E99" s="176" t="str">
        <f>主线副本!D35</f>
        <v>钻石</v>
      </c>
      <c r="F99" s="174">
        <v>1</v>
      </c>
      <c r="G99" s="176" t="str">
        <f t="shared" si="11"/>
        <v>钻石</v>
      </c>
      <c r="H99" s="176">
        <f>主线副本!E35*F99</f>
        <v>20</v>
      </c>
      <c r="I99" s="176">
        <f t="shared" si="12"/>
        <v>20</v>
      </c>
      <c r="J99" s="174" t="s">
        <v>36</v>
      </c>
      <c r="K99" s="174" t="s">
        <v>58</v>
      </c>
    </row>
    <row r="100" ht="22" customHeight="1" spans="1:11">
      <c r="A100" s="174" t="s">
        <v>15</v>
      </c>
      <c r="B100" s="174" t="s">
        <v>56</v>
      </c>
      <c r="C100" s="174" t="s">
        <v>15</v>
      </c>
      <c r="D100" s="174" t="s">
        <v>117</v>
      </c>
      <c r="E100" s="176" t="str">
        <f>主线副本!D36</f>
        <v>钻石</v>
      </c>
      <c r="F100" s="174">
        <v>1</v>
      </c>
      <c r="G100" s="176" t="str">
        <f t="shared" si="11"/>
        <v>钻石</v>
      </c>
      <c r="H100" s="176">
        <f>主线副本!E36*F100</f>
        <v>20</v>
      </c>
      <c r="I100" s="176">
        <f t="shared" si="12"/>
        <v>20</v>
      </c>
      <c r="J100" s="174" t="s">
        <v>36</v>
      </c>
      <c r="K100" s="174" t="s">
        <v>58</v>
      </c>
    </row>
    <row r="101" ht="22" customHeight="1" spans="1:11">
      <c r="A101" s="174" t="s">
        <v>15</v>
      </c>
      <c r="B101" s="174" t="s">
        <v>56</v>
      </c>
      <c r="C101" s="174" t="s">
        <v>15</v>
      </c>
      <c r="D101" s="174" t="s">
        <v>118</v>
      </c>
      <c r="E101" s="176" t="str">
        <f>主线副本!D37</f>
        <v>钻石</v>
      </c>
      <c r="F101" s="174">
        <v>1</v>
      </c>
      <c r="G101" s="176" t="str">
        <f t="shared" si="11"/>
        <v>钻石</v>
      </c>
      <c r="H101" s="176">
        <f>主线副本!E37*F101</f>
        <v>20</v>
      </c>
      <c r="I101" s="176">
        <f t="shared" si="12"/>
        <v>20</v>
      </c>
      <c r="J101" s="174" t="s">
        <v>36</v>
      </c>
      <c r="K101" s="174" t="s">
        <v>58</v>
      </c>
    </row>
    <row r="102" ht="22" customHeight="1" spans="1:11">
      <c r="A102" s="174" t="s">
        <v>15</v>
      </c>
      <c r="B102" s="174" t="s">
        <v>56</v>
      </c>
      <c r="C102" s="174" t="s">
        <v>15</v>
      </c>
      <c r="D102" s="174" t="s">
        <v>119</v>
      </c>
      <c r="E102" s="176" t="str">
        <f>主线副本!D38</f>
        <v>钻石</v>
      </c>
      <c r="F102" s="174">
        <v>1</v>
      </c>
      <c r="G102" s="176" t="str">
        <f t="shared" si="11"/>
        <v>钻石</v>
      </c>
      <c r="H102" s="176">
        <f>主线副本!E38*F102</f>
        <v>20</v>
      </c>
      <c r="I102" s="176">
        <f t="shared" si="12"/>
        <v>20</v>
      </c>
      <c r="J102" s="174" t="s">
        <v>36</v>
      </c>
      <c r="K102" s="174" t="s">
        <v>58</v>
      </c>
    </row>
    <row r="103" ht="22" customHeight="1" spans="1:11">
      <c r="A103" s="174" t="s">
        <v>15</v>
      </c>
      <c r="B103" s="174" t="s">
        <v>56</v>
      </c>
      <c r="C103" s="174" t="s">
        <v>15</v>
      </c>
      <c r="D103" s="174" t="s">
        <v>120</v>
      </c>
      <c r="E103" s="176" t="str">
        <f>主线副本!D39</f>
        <v>钻石</v>
      </c>
      <c r="F103" s="174">
        <v>1</v>
      </c>
      <c r="G103" s="176" t="str">
        <f t="shared" si="11"/>
        <v>钻石</v>
      </c>
      <c r="H103" s="176">
        <f>主线副本!E39*F103</f>
        <v>20</v>
      </c>
      <c r="I103" s="176">
        <f t="shared" si="12"/>
        <v>20</v>
      </c>
      <c r="J103" s="174" t="s">
        <v>36</v>
      </c>
      <c r="K103" s="174" t="s">
        <v>58</v>
      </c>
    </row>
    <row r="104" ht="22" customHeight="1" spans="1:11">
      <c r="A104" s="174" t="s">
        <v>15</v>
      </c>
      <c r="B104" s="174" t="s">
        <v>56</v>
      </c>
      <c r="C104" s="174" t="s">
        <v>15</v>
      </c>
      <c r="D104" s="174" t="s">
        <v>121</v>
      </c>
      <c r="E104" s="176" t="str">
        <f>主线副本!D40</f>
        <v>钻石</v>
      </c>
      <c r="F104" s="174">
        <v>1</v>
      </c>
      <c r="G104" s="176" t="str">
        <f t="shared" si="11"/>
        <v>钻石</v>
      </c>
      <c r="H104" s="176">
        <f>主线副本!E40*F104</f>
        <v>20</v>
      </c>
      <c r="I104" s="176">
        <f t="shared" si="12"/>
        <v>20</v>
      </c>
      <c r="J104" s="174" t="s">
        <v>36</v>
      </c>
      <c r="K104" s="174" t="s">
        <v>58</v>
      </c>
    </row>
    <row r="105" ht="22" customHeight="1" spans="1:11">
      <c r="A105" s="174" t="s">
        <v>15</v>
      </c>
      <c r="B105" s="174" t="s">
        <v>56</v>
      </c>
      <c r="C105" s="174" t="s">
        <v>15</v>
      </c>
      <c r="D105" s="174" t="s">
        <v>122</v>
      </c>
      <c r="E105" s="176" t="str">
        <f>主线副本!D41</f>
        <v>钻石</v>
      </c>
      <c r="F105" s="174">
        <v>1</v>
      </c>
      <c r="G105" s="176" t="str">
        <f t="shared" si="11"/>
        <v>钻石</v>
      </c>
      <c r="H105" s="176">
        <f>主线副本!E41*F105</f>
        <v>20</v>
      </c>
      <c r="I105" s="176">
        <f t="shared" si="12"/>
        <v>20</v>
      </c>
      <c r="J105" s="174" t="s">
        <v>36</v>
      </c>
      <c r="K105" s="174" t="s">
        <v>58</v>
      </c>
    </row>
    <row r="106" ht="22" customHeight="1" spans="1:11">
      <c r="A106" s="174" t="s">
        <v>15</v>
      </c>
      <c r="B106" s="174" t="s">
        <v>56</v>
      </c>
      <c r="C106" s="174" t="s">
        <v>15</v>
      </c>
      <c r="D106" s="174" t="s">
        <v>123</v>
      </c>
      <c r="E106" s="176" t="str">
        <f>主线副本!D42</f>
        <v>钻石</v>
      </c>
      <c r="F106" s="174">
        <v>1</v>
      </c>
      <c r="G106" s="176" t="str">
        <f t="shared" si="11"/>
        <v>钻石</v>
      </c>
      <c r="H106" s="176">
        <f>主线副本!E42*F106</f>
        <v>20</v>
      </c>
      <c r="I106" s="176">
        <f t="shared" si="12"/>
        <v>20</v>
      </c>
      <c r="J106" s="174" t="s">
        <v>36</v>
      </c>
      <c r="K106" s="174" t="s">
        <v>58</v>
      </c>
    </row>
    <row r="107" ht="22" customHeight="1" spans="1:11">
      <c r="A107" s="174" t="s">
        <v>15</v>
      </c>
      <c r="B107" s="174" t="s">
        <v>56</v>
      </c>
      <c r="C107" s="174" t="s">
        <v>15</v>
      </c>
      <c r="D107" s="174" t="s">
        <v>124</v>
      </c>
      <c r="E107" s="176" t="str">
        <f>主线副本!D43</f>
        <v>钻石</v>
      </c>
      <c r="F107" s="174">
        <v>1</v>
      </c>
      <c r="G107" s="176" t="str">
        <f t="shared" si="11"/>
        <v>钻石</v>
      </c>
      <c r="H107" s="176">
        <f>主线副本!E43*F107</f>
        <v>20</v>
      </c>
      <c r="I107" s="176">
        <f t="shared" si="12"/>
        <v>20</v>
      </c>
      <c r="J107" s="174" t="s">
        <v>36</v>
      </c>
      <c r="K107" s="174" t="s">
        <v>58</v>
      </c>
    </row>
    <row r="108" ht="22" customHeight="1" spans="1:11">
      <c r="A108" s="174" t="s">
        <v>15</v>
      </c>
      <c r="B108" s="174" t="s">
        <v>56</v>
      </c>
      <c r="C108" s="174" t="s">
        <v>15</v>
      </c>
      <c r="D108" s="174" t="s">
        <v>125</v>
      </c>
      <c r="E108" s="176" t="str">
        <f>主线副本!D44</f>
        <v>钻石</v>
      </c>
      <c r="F108" s="174">
        <v>1</v>
      </c>
      <c r="G108" s="176" t="str">
        <f t="shared" si="11"/>
        <v>钻石</v>
      </c>
      <c r="H108" s="176">
        <f>主线副本!E44*F108</f>
        <v>20</v>
      </c>
      <c r="I108" s="176">
        <f t="shared" si="12"/>
        <v>20</v>
      </c>
      <c r="J108" s="174" t="s">
        <v>36</v>
      </c>
      <c r="K108" s="174" t="s">
        <v>58</v>
      </c>
    </row>
    <row r="109" ht="22" customHeight="1" spans="1:11">
      <c r="A109" s="174" t="s">
        <v>15</v>
      </c>
      <c r="B109" s="174" t="s">
        <v>56</v>
      </c>
      <c r="C109" s="174" t="s">
        <v>15</v>
      </c>
      <c r="D109" s="174" t="s">
        <v>126</v>
      </c>
      <c r="E109" s="176" t="str">
        <f>主线副本!D45</f>
        <v>钻石</v>
      </c>
      <c r="F109" s="174">
        <v>1</v>
      </c>
      <c r="G109" s="176" t="str">
        <f t="shared" si="11"/>
        <v>钻石</v>
      </c>
      <c r="H109" s="176">
        <f>主线副本!E45*F109</f>
        <v>20</v>
      </c>
      <c r="I109" s="176">
        <f t="shared" si="12"/>
        <v>20</v>
      </c>
      <c r="J109" s="174" t="s">
        <v>36</v>
      </c>
      <c r="K109" s="174" t="s">
        <v>58</v>
      </c>
    </row>
    <row r="110" ht="22" customHeight="1" spans="1:11">
      <c r="A110" s="174" t="s">
        <v>15</v>
      </c>
      <c r="B110" s="174" t="s">
        <v>56</v>
      </c>
      <c r="C110" s="174" t="s">
        <v>15</v>
      </c>
      <c r="D110" s="174" t="s">
        <v>127</v>
      </c>
      <c r="E110" s="176" t="str">
        <f>主线副本!D46</f>
        <v>钻石</v>
      </c>
      <c r="F110" s="174">
        <v>1</v>
      </c>
      <c r="G110" s="176" t="str">
        <f t="shared" si="11"/>
        <v>钻石</v>
      </c>
      <c r="H110" s="176">
        <f>主线副本!E46*F110</f>
        <v>20</v>
      </c>
      <c r="I110" s="176">
        <f t="shared" si="12"/>
        <v>20</v>
      </c>
      <c r="J110" s="174" t="s">
        <v>36</v>
      </c>
      <c r="K110" s="174" t="s">
        <v>58</v>
      </c>
    </row>
    <row r="111" ht="22" customHeight="1" spans="1:11">
      <c r="A111" s="174" t="s">
        <v>15</v>
      </c>
      <c r="B111" s="174" t="s">
        <v>56</v>
      </c>
      <c r="C111" s="174" t="s">
        <v>15</v>
      </c>
      <c r="D111" s="174" t="s">
        <v>128</v>
      </c>
      <c r="E111" s="176" t="str">
        <f>主线副本!D47</f>
        <v>钻石</v>
      </c>
      <c r="F111" s="174">
        <v>1</v>
      </c>
      <c r="G111" s="176" t="str">
        <f t="shared" si="11"/>
        <v>钻石</v>
      </c>
      <c r="H111" s="176">
        <f>主线副本!E47*F111</f>
        <v>20</v>
      </c>
      <c r="I111" s="176">
        <f t="shared" si="12"/>
        <v>20</v>
      </c>
      <c r="J111" s="174" t="s">
        <v>36</v>
      </c>
      <c r="K111" s="174" t="s">
        <v>58</v>
      </c>
    </row>
    <row r="112" ht="22" customHeight="1" spans="1:11">
      <c r="A112" s="174" t="s">
        <v>15</v>
      </c>
      <c r="B112" s="174" t="s">
        <v>56</v>
      </c>
      <c r="C112" s="174" t="s">
        <v>15</v>
      </c>
      <c r="D112" s="174" t="s">
        <v>129</v>
      </c>
      <c r="E112" s="176" t="str">
        <f>主线副本!D48</f>
        <v>钻石</v>
      </c>
      <c r="F112" s="174">
        <v>1</v>
      </c>
      <c r="G112" s="176" t="str">
        <f t="shared" si="11"/>
        <v>钻石</v>
      </c>
      <c r="H112" s="176">
        <f>主线副本!E48*F112</f>
        <v>20</v>
      </c>
      <c r="I112" s="176">
        <f t="shared" si="12"/>
        <v>20</v>
      </c>
      <c r="J112" s="174" t="s">
        <v>36</v>
      </c>
      <c r="K112" s="174" t="s">
        <v>58</v>
      </c>
    </row>
    <row r="113" ht="22" customHeight="1" spans="1:11">
      <c r="A113" s="174" t="s">
        <v>15</v>
      </c>
      <c r="B113" s="174" t="s">
        <v>56</v>
      </c>
      <c r="C113" s="174" t="s">
        <v>15</v>
      </c>
      <c r="D113" s="174" t="s">
        <v>130</v>
      </c>
      <c r="E113" s="176" t="str">
        <f>主线副本!D49</f>
        <v>钻石</v>
      </c>
      <c r="F113" s="174">
        <v>1</v>
      </c>
      <c r="G113" s="176" t="str">
        <f t="shared" si="11"/>
        <v>钻石</v>
      </c>
      <c r="H113" s="176">
        <f>主线副本!E49*F113</f>
        <v>20</v>
      </c>
      <c r="I113" s="176">
        <f t="shared" si="12"/>
        <v>20</v>
      </c>
      <c r="J113" s="174" t="s">
        <v>36</v>
      </c>
      <c r="K113" s="174" t="s">
        <v>58</v>
      </c>
    </row>
    <row r="114" ht="22" customHeight="1" spans="1:11">
      <c r="A114" s="174" t="s">
        <v>15</v>
      </c>
      <c r="B114" s="174" t="s">
        <v>56</v>
      </c>
      <c r="C114" s="174" t="s">
        <v>15</v>
      </c>
      <c r="D114" s="174" t="s">
        <v>131</v>
      </c>
      <c r="E114" s="176" t="str">
        <f>主线副本!D50</f>
        <v>钻石</v>
      </c>
      <c r="F114" s="174">
        <v>1</v>
      </c>
      <c r="G114" s="176" t="str">
        <f t="shared" si="11"/>
        <v>钻石</v>
      </c>
      <c r="H114" s="176">
        <f>主线副本!E50*F114</f>
        <v>20</v>
      </c>
      <c r="I114" s="176">
        <f t="shared" si="12"/>
        <v>20</v>
      </c>
      <c r="J114" s="174" t="s">
        <v>36</v>
      </c>
      <c r="K114" s="174" t="s">
        <v>58</v>
      </c>
    </row>
    <row r="115" ht="22" customHeight="1" spans="1:11">
      <c r="A115" s="174" t="s">
        <v>15</v>
      </c>
      <c r="B115" s="174" t="s">
        <v>56</v>
      </c>
      <c r="C115" s="174" t="s">
        <v>15</v>
      </c>
      <c r="D115" s="174" t="s">
        <v>132</v>
      </c>
      <c r="E115" s="176" t="str">
        <f>主线副本!D51</f>
        <v>钻石</v>
      </c>
      <c r="F115" s="174">
        <v>1</v>
      </c>
      <c r="G115" s="176" t="str">
        <f t="shared" si="11"/>
        <v>钻石</v>
      </c>
      <c r="H115" s="176">
        <f>主线副本!E51*F115</f>
        <v>20</v>
      </c>
      <c r="I115" s="176">
        <f t="shared" si="12"/>
        <v>20</v>
      </c>
      <c r="J115" s="174" t="s">
        <v>36</v>
      </c>
      <c r="K115" s="174" t="s">
        <v>58</v>
      </c>
    </row>
    <row r="116" ht="22" customHeight="1" spans="1:11">
      <c r="A116" s="174" t="s">
        <v>15</v>
      </c>
      <c r="B116" s="174" t="s">
        <v>56</v>
      </c>
      <c r="C116" s="174" t="s">
        <v>15</v>
      </c>
      <c r="D116" s="174" t="s">
        <v>133</v>
      </c>
      <c r="E116" s="176" t="str">
        <f>主线副本!D52</f>
        <v>钻石</v>
      </c>
      <c r="F116" s="174">
        <v>1</v>
      </c>
      <c r="G116" s="176" t="str">
        <f t="shared" si="11"/>
        <v>钻石</v>
      </c>
      <c r="H116" s="176">
        <f>主线副本!E52*F116</f>
        <v>20</v>
      </c>
      <c r="I116" s="176">
        <f t="shared" si="12"/>
        <v>20</v>
      </c>
      <c r="J116" s="174" t="s">
        <v>36</v>
      </c>
      <c r="K116" s="174" t="s">
        <v>58</v>
      </c>
    </row>
    <row r="117" ht="22" customHeight="1" spans="1:11">
      <c r="A117" s="174" t="s">
        <v>15</v>
      </c>
      <c r="B117" s="174" t="s">
        <v>56</v>
      </c>
      <c r="C117" s="174" t="s">
        <v>15</v>
      </c>
      <c r="D117" s="174" t="s">
        <v>134</v>
      </c>
      <c r="E117" s="176" t="str">
        <f>主线副本!D53</f>
        <v>钻石</v>
      </c>
      <c r="F117" s="174">
        <v>1</v>
      </c>
      <c r="G117" s="176" t="str">
        <f t="shared" si="11"/>
        <v>钻石</v>
      </c>
      <c r="H117" s="176">
        <f>主线副本!E53*F117</f>
        <v>20</v>
      </c>
      <c r="I117" s="176">
        <f t="shared" si="12"/>
        <v>20</v>
      </c>
      <c r="J117" s="174" t="s">
        <v>36</v>
      </c>
      <c r="K117" s="174" t="s">
        <v>58</v>
      </c>
    </row>
    <row r="118" ht="22" customHeight="1" spans="1:11">
      <c r="A118" s="174" t="s">
        <v>15</v>
      </c>
      <c r="B118" s="174" t="s">
        <v>56</v>
      </c>
      <c r="C118" s="174" t="s">
        <v>15</v>
      </c>
      <c r="D118" s="174" t="s">
        <v>135</v>
      </c>
      <c r="E118" s="176" t="str">
        <f>主线副本!D54</f>
        <v>钻石</v>
      </c>
      <c r="F118" s="174">
        <v>1</v>
      </c>
      <c r="G118" s="176" t="str">
        <f t="shared" si="11"/>
        <v>钻石</v>
      </c>
      <c r="H118" s="176">
        <f>主线副本!E54*F118</f>
        <v>20</v>
      </c>
      <c r="I118" s="176">
        <f t="shared" si="12"/>
        <v>20</v>
      </c>
      <c r="J118" s="174" t="s">
        <v>36</v>
      </c>
      <c r="K118" s="174" t="s">
        <v>58</v>
      </c>
    </row>
    <row r="119" ht="22" customHeight="1" spans="1:11">
      <c r="A119" s="174" t="s">
        <v>15</v>
      </c>
      <c r="B119" s="174" t="s">
        <v>56</v>
      </c>
      <c r="C119" s="174" t="s">
        <v>15</v>
      </c>
      <c r="D119" s="174" t="s">
        <v>136</v>
      </c>
      <c r="E119" s="176" t="str">
        <f>主线副本!D55</f>
        <v>钻石</v>
      </c>
      <c r="F119" s="174">
        <v>1</v>
      </c>
      <c r="G119" s="176" t="str">
        <f t="shared" si="11"/>
        <v>钻石</v>
      </c>
      <c r="H119" s="176">
        <f>主线副本!E55*F119</f>
        <v>20</v>
      </c>
      <c r="I119" s="176">
        <f t="shared" si="12"/>
        <v>20</v>
      </c>
      <c r="J119" s="174" t="s">
        <v>36</v>
      </c>
      <c r="K119" s="174" t="s">
        <v>58</v>
      </c>
    </row>
    <row r="120" ht="22" customHeight="1" spans="1:11">
      <c r="A120" s="174" t="s">
        <v>15</v>
      </c>
      <c r="B120" s="174" t="s">
        <v>56</v>
      </c>
      <c r="C120" s="174" t="s">
        <v>15</v>
      </c>
      <c r="D120" s="174" t="s">
        <v>137</v>
      </c>
      <c r="E120" s="176" t="str">
        <f>主线副本!D56</f>
        <v>钻石</v>
      </c>
      <c r="F120" s="174">
        <v>1</v>
      </c>
      <c r="G120" s="176" t="str">
        <f t="shared" si="11"/>
        <v>钻石</v>
      </c>
      <c r="H120" s="176">
        <f>主线副本!E56*F120</f>
        <v>20</v>
      </c>
      <c r="I120" s="176">
        <f t="shared" si="12"/>
        <v>20</v>
      </c>
      <c r="J120" s="174" t="s">
        <v>36</v>
      </c>
      <c r="K120" s="174" t="s">
        <v>58</v>
      </c>
    </row>
    <row r="121" ht="22" customHeight="1" spans="1:11">
      <c r="A121" s="174" t="s">
        <v>15</v>
      </c>
      <c r="B121" s="174" t="s">
        <v>56</v>
      </c>
      <c r="C121" s="174" t="s">
        <v>15</v>
      </c>
      <c r="D121" s="174" t="s">
        <v>138</v>
      </c>
      <c r="E121" s="176" t="str">
        <f>主线副本!D57</f>
        <v>钻石</v>
      </c>
      <c r="F121" s="174">
        <v>1</v>
      </c>
      <c r="G121" s="176" t="str">
        <f t="shared" si="11"/>
        <v>钻石</v>
      </c>
      <c r="H121" s="176">
        <f>主线副本!E57*F121</f>
        <v>20</v>
      </c>
      <c r="I121" s="176">
        <f t="shared" si="12"/>
        <v>20</v>
      </c>
      <c r="J121" s="174" t="s">
        <v>36</v>
      </c>
      <c r="K121" s="174" t="s">
        <v>58</v>
      </c>
    </row>
    <row r="122" ht="22" customHeight="1" spans="1:11">
      <c r="A122" s="174" t="s">
        <v>15</v>
      </c>
      <c r="B122" s="174" t="s">
        <v>56</v>
      </c>
      <c r="C122" s="174" t="s">
        <v>15</v>
      </c>
      <c r="D122" s="174" t="s">
        <v>139</v>
      </c>
      <c r="E122" s="176" t="str">
        <f>主线副本!D58</f>
        <v>钻石</v>
      </c>
      <c r="F122" s="174">
        <v>1</v>
      </c>
      <c r="G122" s="176" t="str">
        <f t="shared" si="11"/>
        <v>钻石</v>
      </c>
      <c r="H122" s="176">
        <f>主线副本!E58*F122</f>
        <v>20</v>
      </c>
      <c r="I122" s="176">
        <f t="shared" si="12"/>
        <v>20</v>
      </c>
      <c r="J122" s="174" t="s">
        <v>36</v>
      </c>
      <c r="K122" s="174" t="s">
        <v>58</v>
      </c>
    </row>
    <row r="123" ht="22" customHeight="1" spans="1:11">
      <c r="A123" s="174" t="s">
        <v>15</v>
      </c>
      <c r="B123" s="174" t="s">
        <v>56</v>
      </c>
      <c r="C123" s="174" t="s">
        <v>15</v>
      </c>
      <c r="D123" s="174" t="s">
        <v>140</v>
      </c>
      <c r="E123" s="176" t="str">
        <f>主线副本!D59</f>
        <v>钻石</v>
      </c>
      <c r="F123" s="174">
        <v>1</v>
      </c>
      <c r="G123" s="176" t="str">
        <f t="shared" si="11"/>
        <v>钻石</v>
      </c>
      <c r="H123" s="176">
        <f>主线副本!E59*F123</f>
        <v>20</v>
      </c>
      <c r="I123" s="176">
        <f t="shared" si="12"/>
        <v>20</v>
      </c>
      <c r="J123" s="174" t="s">
        <v>36</v>
      </c>
      <c r="K123" s="174" t="s">
        <v>58</v>
      </c>
    </row>
    <row r="124" ht="22" customHeight="1" spans="1:11">
      <c r="A124" s="174" t="s">
        <v>15</v>
      </c>
      <c r="B124" s="174" t="s">
        <v>56</v>
      </c>
      <c r="C124" s="174" t="s">
        <v>15</v>
      </c>
      <c r="D124" s="174" t="s">
        <v>141</v>
      </c>
      <c r="E124" s="176" t="str">
        <f>主线副本!D6</f>
        <v>钻石</v>
      </c>
      <c r="F124" s="174">
        <v>1</v>
      </c>
      <c r="G124" s="176" t="str">
        <f t="shared" si="11"/>
        <v>钻石</v>
      </c>
      <c r="H124" s="176">
        <f>主线副本!E6*F124</f>
        <v>20</v>
      </c>
      <c r="I124" s="176">
        <f t="shared" si="12"/>
        <v>20</v>
      </c>
      <c r="J124" s="174" t="s">
        <v>36</v>
      </c>
      <c r="K124" s="174" t="s">
        <v>58</v>
      </c>
    </row>
    <row r="125" ht="22" customHeight="1" spans="1:11">
      <c r="A125" s="174" t="s">
        <v>15</v>
      </c>
      <c r="B125" s="174" t="s">
        <v>56</v>
      </c>
      <c r="C125" s="174" t="s">
        <v>15</v>
      </c>
      <c r="D125" s="174" t="s">
        <v>142</v>
      </c>
      <c r="E125" s="176" t="str">
        <f>主线副本!D60</f>
        <v>钻石</v>
      </c>
      <c r="F125" s="174">
        <v>1</v>
      </c>
      <c r="G125" s="176" t="str">
        <f t="shared" si="11"/>
        <v>钻石</v>
      </c>
      <c r="H125" s="176">
        <f>主线副本!E60*F125</f>
        <v>20</v>
      </c>
      <c r="I125" s="176">
        <f t="shared" si="12"/>
        <v>20</v>
      </c>
      <c r="J125" s="174" t="s">
        <v>36</v>
      </c>
      <c r="K125" s="174" t="s">
        <v>58</v>
      </c>
    </row>
    <row r="126" ht="22" customHeight="1" spans="1:11">
      <c r="A126" s="174" t="s">
        <v>15</v>
      </c>
      <c r="B126" s="174" t="s">
        <v>56</v>
      </c>
      <c r="C126" s="174" t="s">
        <v>15</v>
      </c>
      <c r="D126" s="174" t="s">
        <v>143</v>
      </c>
      <c r="E126" s="176" t="str">
        <f>主线副本!D61</f>
        <v>钻石</v>
      </c>
      <c r="F126" s="174">
        <v>1</v>
      </c>
      <c r="G126" s="176" t="str">
        <f t="shared" si="11"/>
        <v>钻石</v>
      </c>
      <c r="H126" s="176">
        <f>主线副本!E61*F126</f>
        <v>20</v>
      </c>
      <c r="I126" s="176">
        <f t="shared" si="12"/>
        <v>20</v>
      </c>
      <c r="J126" s="174" t="s">
        <v>36</v>
      </c>
      <c r="K126" s="174" t="s">
        <v>58</v>
      </c>
    </row>
    <row r="127" ht="22" customHeight="1" spans="1:11">
      <c r="A127" s="174" t="s">
        <v>15</v>
      </c>
      <c r="B127" s="174" t="s">
        <v>56</v>
      </c>
      <c r="C127" s="174" t="s">
        <v>15</v>
      </c>
      <c r="D127" s="174" t="s">
        <v>144</v>
      </c>
      <c r="E127" s="176" t="str">
        <f>主线副本!D62</f>
        <v>钻石</v>
      </c>
      <c r="F127" s="174">
        <v>1</v>
      </c>
      <c r="G127" s="176" t="str">
        <f t="shared" si="11"/>
        <v>钻石</v>
      </c>
      <c r="H127" s="176">
        <f>主线副本!E62*F127</f>
        <v>20</v>
      </c>
      <c r="I127" s="176">
        <f t="shared" si="12"/>
        <v>20</v>
      </c>
      <c r="J127" s="174" t="s">
        <v>36</v>
      </c>
      <c r="K127" s="174" t="s">
        <v>58</v>
      </c>
    </row>
    <row r="128" ht="22" customHeight="1" spans="1:11">
      <c r="A128" s="174" t="s">
        <v>15</v>
      </c>
      <c r="B128" s="174" t="s">
        <v>56</v>
      </c>
      <c r="C128" s="174" t="s">
        <v>15</v>
      </c>
      <c r="D128" s="174" t="s">
        <v>145</v>
      </c>
      <c r="E128" s="176" t="str">
        <f>主线副本!D63</f>
        <v>钻石</v>
      </c>
      <c r="F128" s="174">
        <v>1</v>
      </c>
      <c r="G128" s="176" t="str">
        <f t="shared" si="11"/>
        <v>钻石</v>
      </c>
      <c r="H128" s="176">
        <f>主线副本!E63*F128</f>
        <v>20</v>
      </c>
      <c r="I128" s="176">
        <f t="shared" si="12"/>
        <v>20</v>
      </c>
      <c r="J128" s="174" t="s">
        <v>36</v>
      </c>
      <c r="K128" s="174" t="s">
        <v>58</v>
      </c>
    </row>
    <row r="129" ht="22" customHeight="1" spans="1:11">
      <c r="A129" s="174" t="s">
        <v>15</v>
      </c>
      <c r="B129" s="174" t="s">
        <v>56</v>
      </c>
      <c r="C129" s="174" t="s">
        <v>15</v>
      </c>
      <c r="D129" s="174" t="s">
        <v>146</v>
      </c>
      <c r="E129" s="176" t="str">
        <f>主线副本!D64</f>
        <v>钻石</v>
      </c>
      <c r="F129" s="174">
        <v>1</v>
      </c>
      <c r="G129" s="176" t="str">
        <f t="shared" si="11"/>
        <v>钻石</v>
      </c>
      <c r="H129" s="176">
        <f>主线副本!E64*F129</f>
        <v>20</v>
      </c>
      <c r="I129" s="176">
        <f t="shared" si="12"/>
        <v>20</v>
      </c>
      <c r="J129" s="174" t="s">
        <v>36</v>
      </c>
      <c r="K129" s="174" t="s">
        <v>58</v>
      </c>
    </row>
    <row r="130" ht="22" customHeight="1" spans="1:11">
      <c r="A130" s="174" t="s">
        <v>15</v>
      </c>
      <c r="B130" s="174" t="s">
        <v>56</v>
      </c>
      <c r="C130" s="174" t="s">
        <v>15</v>
      </c>
      <c r="D130" s="174" t="s">
        <v>147</v>
      </c>
      <c r="E130" s="176" t="str">
        <f>主线副本!D65</f>
        <v>钻石</v>
      </c>
      <c r="F130" s="174">
        <v>1</v>
      </c>
      <c r="G130" s="176" t="str">
        <f t="shared" si="11"/>
        <v>钻石</v>
      </c>
      <c r="H130" s="176">
        <f>主线副本!E65*F130</f>
        <v>20</v>
      </c>
      <c r="I130" s="176">
        <f t="shared" si="12"/>
        <v>20</v>
      </c>
      <c r="J130" s="174" t="s">
        <v>36</v>
      </c>
      <c r="K130" s="174" t="s">
        <v>58</v>
      </c>
    </row>
    <row r="131" ht="22" customHeight="1" spans="1:11">
      <c r="A131" s="174" t="s">
        <v>15</v>
      </c>
      <c r="B131" s="174" t="s">
        <v>56</v>
      </c>
      <c r="C131" s="174" t="s">
        <v>15</v>
      </c>
      <c r="D131" s="174" t="s">
        <v>148</v>
      </c>
      <c r="E131" s="176" t="str">
        <f>主线副本!D7</f>
        <v>钻石</v>
      </c>
      <c r="F131" s="174">
        <v>1</v>
      </c>
      <c r="G131" s="176" t="str">
        <f t="shared" si="11"/>
        <v>钻石</v>
      </c>
      <c r="H131" s="176">
        <f>主线副本!E7*F131</f>
        <v>20</v>
      </c>
      <c r="I131" s="176">
        <f t="shared" si="12"/>
        <v>20</v>
      </c>
      <c r="J131" s="174" t="s">
        <v>36</v>
      </c>
      <c r="K131" s="174" t="s">
        <v>58</v>
      </c>
    </row>
    <row r="132" ht="22" customHeight="1" spans="1:11">
      <c r="A132" s="174" t="s">
        <v>15</v>
      </c>
      <c r="B132" s="174" t="s">
        <v>56</v>
      </c>
      <c r="C132" s="174" t="s">
        <v>15</v>
      </c>
      <c r="D132" s="174" t="s">
        <v>149</v>
      </c>
      <c r="E132" s="176" t="str">
        <f>主线副本!D8</f>
        <v>钻石</v>
      </c>
      <c r="F132" s="174">
        <v>1</v>
      </c>
      <c r="G132" s="176" t="str">
        <f t="shared" si="11"/>
        <v>钻石</v>
      </c>
      <c r="H132" s="176">
        <f>主线副本!E8*F132</f>
        <v>20</v>
      </c>
      <c r="I132" s="176">
        <f t="shared" si="12"/>
        <v>20</v>
      </c>
      <c r="J132" s="174" t="s">
        <v>36</v>
      </c>
      <c r="K132" s="174" t="s">
        <v>58</v>
      </c>
    </row>
    <row r="133" ht="22" customHeight="1" spans="1:11">
      <c r="A133" s="174" t="s">
        <v>15</v>
      </c>
      <c r="B133" s="174" t="s">
        <v>56</v>
      </c>
      <c r="C133" s="174" t="s">
        <v>15</v>
      </c>
      <c r="D133" s="174" t="s">
        <v>150</v>
      </c>
      <c r="E133" s="176" t="str">
        <f>主线副本!D9</f>
        <v>钻石</v>
      </c>
      <c r="F133" s="174">
        <v>1</v>
      </c>
      <c r="G133" s="176" t="str">
        <f t="shared" si="11"/>
        <v>钻石</v>
      </c>
      <c r="H133" s="176">
        <f>主线副本!E9*F133</f>
        <v>20</v>
      </c>
      <c r="I133" s="176">
        <f t="shared" si="12"/>
        <v>20</v>
      </c>
      <c r="J133" s="174" t="s">
        <v>36</v>
      </c>
      <c r="K133" s="174" t="s">
        <v>58</v>
      </c>
    </row>
    <row r="134" ht="22" customHeight="1" spans="1:11">
      <c r="A134" s="174" t="s">
        <v>15</v>
      </c>
      <c r="B134" s="174" t="s">
        <v>56</v>
      </c>
      <c r="C134" s="174" t="s">
        <v>15</v>
      </c>
      <c r="D134" s="174" t="s">
        <v>151</v>
      </c>
      <c r="E134" s="176" t="str">
        <f>主线副本!N11</f>
        <v>角色抽卡券</v>
      </c>
      <c r="F134" s="174">
        <v>1</v>
      </c>
      <c r="G134" s="176" t="str">
        <f t="shared" si="11"/>
        <v>角色抽卡券普通</v>
      </c>
      <c r="H134" s="176">
        <f>主线副本!O11*F134</f>
        <v>1</v>
      </c>
      <c r="I134" s="176">
        <f t="shared" si="12"/>
        <v>150</v>
      </c>
      <c r="J134" s="174" t="s">
        <v>36</v>
      </c>
      <c r="K134" s="174" t="s">
        <v>58</v>
      </c>
    </row>
    <row r="135" ht="22" customHeight="1" spans="1:11">
      <c r="A135" s="174" t="s">
        <v>16</v>
      </c>
      <c r="B135" s="174" t="s">
        <v>152</v>
      </c>
      <c r="C135" s="174" t="s">
        <v>16</v>
      </c>
      <c r="D135" s="174" t="s">
        <v>98</v>
      </c>
      <c r="E135" s="176" t="str">
        <f>任务!D17</f>
        <v>钻石</v>
      </c>
      <c r="F135" s="174">
        <v>1</v>
      </c>
      <c r="G135" s="176" t="str">
        <f t="shared" si="11"/>
        <v>钻石</v>
      </c>
      <c r="H135" s="176">
        <f>任务!E17*F135</f>
        <v>50</v>
      </c>
      <c r="I135" s="176">
        <f t="shared" si="12"/>
        <v>50</v>
      </c>
      <c r="J135" s="174" t="s">
        <v>36</v>
      </c>
      <c r="K135" s="174" t="s">
        <v>153</v>
      </c>
    </row>
    <row r="136" ht="22" customHeight="1" spans="1:11">
      <c r="A136" s="174" t="s">
        <v>16</v>
      </c>
      <c r="B136" s="174" t="s">
        <v>152</v>
      </c>
      <c r="C136" s="174" t="s">
        <v>16</v>
      </c>
      <c r="D136" s="174" t="s">
        <v>99</v>
      </c>
      <c r="E136" s="176" t="str">
        <f>任务!D18</f>
        <v>钻石</v>
      </c>
      <c r="F136" s="174">
        <v>1</v>
      </c>
      <c r="G136" s="176" t="str">
        <f t="shared" si="11"/>
        <v>钻石</v>
      </c>
      <c r="H136" s="176">
        <f>任务!E18*F136</f>
        <v>50</v>
      </c>
      <c r="I136" s="176">
        <f t="shared" si="12"/>
        <v>50</v>
      </c>
      <c r="J136" s="174" t="s">
        <v>36</v>
      </c>
      <c r="K136" s="174" t="s">
        <v>153</v>
      </c>
    </row>
    <row r="137" ht="22" customHeight="1" spans="1:11">
      <c r="A137" s="174" t="s">
        <v>16</v>
      </c>
      <c r="B137" s="174" t="s">
        <v>152</v>
      </c>
      <c r="C137" s="174" t="s">
        <v>16</v>
      </c>
      <c r="D137" s="174" t="s">
        <v>100</v>
      </c>
      <c r="E137" s="176" t="str">
        <f>任务!D19</f>
        <v>钻石</v>
      </c>
      <c r="F137" s="174">
        <v>1</v>
      </c>
      <c r="G137" s="176" t="str">
        <f t="shared" si="11"/>
        <v>钻石</v>
      </c>
      <c r="H137" s="176">
        <f>任务!E19*F137</f>
        <v>100</v>
      </c>
      <c r="I137" s="176">
        <f t="shared" si="12"/>
        <v>100</v>
      </c>
      <c r="J137" s="174" t="s">
        <v>36</v>
      </c>
      <c r="K137" s="174" t="s">
        <v>153</v>
      </c>
    </row>
    <row r="138" ht="22" customHeight="1" spans="1:11">
      <c r="A138" s="174" t="s">
        <v>16</v>
      </c>
      <c r="B138" s="174" t="s">
        <v>152</v>
      </c>
      <c r="C138" s="174" t="s">
        <v>16</v>
      </c>
      <c r="D138" s="174" t="s">
        <v>101</v>
      </c>
      <c r="E138" s="176" t="str">
        <f>任务!D20</f>
        <v>钻石</v>
      </c>
      <c r="F138" s="174">
        <v>1</v>
      </c>
      <c r="G138" s="176" t="str">
        <f t="shared" si="11"/>
        <v>钻石</v>
      </c>
      <c r="H138" s="176">
        <f>任务!E20*F138</f>
        <v>100</v>
      </c>
      <c r="I138" s="176">
        <f t="shared" si="12"/>
        <v>100</v>
      </c>
      <c r="J138" s="174" t="s">
        <v>36</v>
      </c>
      <c r="K138" s="174" t="s">
        <v>153</v>
      </c>
    </row>
    <row r="139" ht="22" customHeight="1" spans="1:11">
      <c r="A139" s="174" t="s">
        <v>16</v>
      </c>
      <c r="B139" s="174" t="s">
        <v>152</v>
      </c>
      <c r="C139" s="174" t="s">
        <v>16</v>
      </c>
      <c r="D139" s="174" t="s">
        <v>102</v>
      </c>
      <c r="E139" s="176" t="str">
        <f>任务!D21</f>
        <v>钻石</v>
      </c>
      <c r="F139" s="174">
        <v>1</v>
      </c>
      <c r="G139" s="176" t="str">
        <f t="shared" si="11"/>
        <v>钻石</v>
      </c>
      <c r="H139" s="176">
        <f>任务!E21*F139</f>
        <v>150</v>
      </c>
      <c r="I139" s="176">
        <f t="shared" si="12"/>
        <v>150</v>
      </c>
      <c r="J139" s="174" t="s">
        <v>36</v>
      </c>
      <c r="K139" s="174" t="s">
        <v>153</v>
      </c>
    </row>
    <row r="140" ht="22" customHeight="1" spans="1:11">
      <c r="A140" s="174" t="s">
        <v>16</v>
      </c>
      <c r="B140" s="174" t="s">
        <v>152</v>
      </c>
      <c r="C140" s="174" t="s">
        <v>16</v>
      </c>
      <c r="D140" s="174" t="s">
        <v>103</v>
      </c>
      <c r="E140" s="176" t="str">
        <f>任务!D22</f>
        <v>钻石</v>
      </c>
      <c r="F140" s="174">
        <v>1</v>
      </c>
      <c r="G140" s="176" t="str">
        <f t="shared" si="11"/>
        <v>钻石</v>
      </c>
      <c r="H140" s="176">
        <f>任务!E22*F140</f>
        <v>150</v>
      </c>
      <c r="I140" s="176">
        <f t="shared" si="12"/>
        <v>150</v>
      </c>
      <c r="J140" s="174" t="s">
        <v>36</v>
      </c>
      <c r="K140" s="174" t="s">
        <v>153</v>
      </c>
    </row>
    <row r="141" ht="22" customHeight="1" spans="1:11">
      <c r="A141" s="174" t="s">
        <v>16</v>
      </c>
      <c r="B141" s="174" t="s">
        <v>154</v>
      </c>
      <c r="C141" s="174" t="s">
        <v>16</v>
      </c>
      <c r="D141" s="174" t="s">
        <v>155</v>
      </c>
      <c r="E141" s="176" t="str">
        <f>任务!H7</f>
        <v>钻石</v>
      </c>
      <c r="F141" s="174">
        <v>7</v>
      </c>
      <c r="G141" s="176" t="str">
        <f t="shared" si="11"/>
        <v>钻石</v>
      </c>
      <c r="H141" s="176">
        <f>任务!I7*F141</f>
        <v>350</v>
      </c>
      <c r="I141" s="176">
        <f t="shared" si="12"/>
        <v>350</v>
      </c>
      <c r="J141" s="174" t="s">
        <v>36</v>
      </c>
      <c r="K141" s="174" t="s">
        <v>156</v>
      </c>
    </row>
    <row r="142" ht="22" customHeight="1" spans="1:11">
      <c r="A142" s="174" t="s">
        <v>16</v>
      </c>
      <c r="B142" s="174" t="s">
        <v>154</v>
      </c>
      <c r="C142" s="174" t="s">
        <v>16</v>
      </c>
      <c r="D142" s="174" t="s">
        <v>157</v>
      </c>
      <c r="E142" s="176" t="str">
        <f>任务!H9</f>
        <v>钻石</v>
      </c>
      <c r="F142" s="174">
        <v>7</v>
      </c>
      <c r="G142" s="176" t="str">
        <f t="shared" si="11"/>
        <v>钻石</v>
      </c>
      <c r="H142" s="176">
        <f>任务!I9*F142</f>
        <v>350</v>
      </c>
      <c r="I142" s="176">
        <f t="shared" si="12"/>
        <v>350</v>
      </c>
      <c r="J142" s="174" t="s">
        <v>36</v>
      </c>
      <c r="K142" s="174" t="s">
        <v>156</v>
      </c>
    </row>
    <row r="143" ht="22" customHeight="1" spans="1:11">
      <c r="A143" s="174" t="s">
        <v>16</v>
      </c>
      <c r="B143" s="174" t="s">
        <v>158</v>
      </c>
      <c r="C143" s="174" t="s">
        <v>16</v>
      </c>
      <c r="D143" s="174" t="s">
        <v>159</v>
      </c>
      <c r="E143" s="176" t="str">
        <f>任务!C42</f>
        <v>角色抽卡券限时</v>
      </c>
      <c r="F143" s="174">
        <v>1</v>
      </c>
      <c r="G143" s="176" t="str">
        <f t="shared" si="11"/>
        <v>角色抽卡券限时</v>
      </c>
      <c r="H143" s="176">
        <f>任务!D42*F143</f>
        <v>10</v>
      </c>
      <c r="I143" s="176">
        <f t="shared" si="12"/>
        <v>1500</v>
      </c>
      <c r="J143" s="174" t="s">
        <v>36</v>
      </c>
      <c r="K143" s="174" t="s">
        <v>160</v>
      </c>
    </row>
    <row r="144" ht="22" customHeight="1" spans="1:11">
      <c r="A144" s="174" t="s">
        <v>16</v>
      </c>
      <c r="B144" s="174" t="s">
        <v>158</v>
      </c>
      <c r="C144" s="174" t="s">
        <v>16</v>
      </c>
      <c r="D144" s="174" t="s">
        <v>161</v>
      </c>
      <c r="E144" s="176" t="str">
        <f>任务!C48</f>
        <v>角色抽卡券限时</v>
      </c>
      <c r="F144" s="174">
        <v>1</v>
      </c>
      <c r="G144" s="176" t="str">
        <f t="shared" si="11"/>
        <v>角色抽卡券限时</v>
      </c>
      <c r="H144" s="176">
        <f>任务!D48*F144</f>
        <v>10</v>
      </c>
      <c r="I144" s="176">
        <f t="shared" si="12"/>
        <v>1500</v>
      </c>
      <c r="J144" s="174" t="s">
        <v>36</v>
      </c>
      <c r="K144" s="174" t="s">
        <v>160</v>
      </c>
    </row>
    <row r="145" ht="22" customHeight="1" spans="1:11">
      <c r="A145" s="174" t="s">
        <v>16</v>
      </c>
      <c r="B145" s="174" t="s">
        <v>158</v>
      </c>
      <c r="C145" s="174" t="s">
        <v>16</v>
      </c>
      <c r="D145" s="174" t="s">
        <v>162</v>
      </c>
      <c r="E145" s="176" t="str">
        <f>任务!C56</f>
        <v>角色抽卡券限时</v>
      </c>
      <c r="F145" s="174">
        <v>1</v>
      </c>
      <c r="G145" s="176" t="str">
        <f t="shared" si="11"/>
        <v>角色抽卡券限时</v>
      </c>
      <c r="H145" s="176">
        <f>任务!D56*F145</f>
        <v>10</v>
      </c>
      <c r="I145" s="176">
        <f t="shared" si="12"/>
        <v>1500</v>
      </c>
      <c r="J145" s="174" t="s">
        <v>36</v>
      </c>
      <c r="K145" s="174" t="s">
        <v>160</v>
      </c>
    </row>
    <row r="146" ht="22" customHeight="1" spans="1:11">
      <c r="A146" s="174" t="s">
        <v>16</v>
      </c>
      <c r="B146" s="174" t="s">
        <v>158</v>
      </c>
      <c r="C146" s="174" t="s">
        <v>16</v>
      </c>
      <c r="D146" s="174" t="s">
        <v>163</v>
      </c>
      <c r="E146" s="176" t="str">
        <f>任务!C64</f>
        <v>角色抽卡券限时</v>
      </c>
      <c r="F146" s="174">
        <v>1</v>
      </c>
      <c r="G146" s="176" t="str">
        <f t="shared" si="11"/>
        <v>角色抽卡券限时</v>
      </c>
      <c r="H146" s="176">
        <f>任务!D64*F146</f>
        <v>10</v>
      </c>
      <c r="I146" s="176">
        <f t="shared" si="12"/>
        <v>1500</v>
      </c>
      <c r="J146" s="174" t="s">
        <v>36</v>
      </c>
      <c r="K146" s="174" t="s">
        <v>160</v>
      </c>
    </row>
    <row r="147" ht="22" customHeight="1" spans="1:11">
      <c r="A147" s="174" t="s">
        <v>16</v>
      </c>
      <c r="B147" s="174" t="s">
        <v>158</v>
      </c>
      <c r="C147" s="174" t="s">
        <v>16</v>
      </c>
      <c r="D147" s="174" t="s">
        <v>164</v>
      </c>
      <c r="E147" s="176" t="str">
        <f>任务!C65</f>
        <v>专武抽卡券限时</v>
      </c>
      <c r="F147" s="174">
        <v>1</v>
      </c>
      <c r="G147" s="176" t="str">
        <f t="shared" si="11"/>
        <v>专武抽卡券限时</v>
      </c>
      <c r="H147" s="176">
        <f>任务!D65*F147</f>
        <v>10</v>
      </c>
      <c r="I147" s="176">
        <f t="shared" si="12"/>
        <v>1500</v>
      </c>
      <c r="J147" s="174" t="s">
        <v>36</v>
      </c>
      <c r="K147" s="174" t="s">
        <v>160</v>
      </c>
    </row>
    <row r="148" ht="22" customHeight="1" spans="1:11">
      <c r="A148" s="174" t="s">
        <v>16</v>
      </c>
      <c r="B148" s="174" t="s">
        <v>158</v>
      </c>
      <c r="C148" s="174" t="s">
        <v>16</v>
      </c>
      <c r="D148" s="174" t="s">
        <v>165</v>
      </c>
      <c r="E148" s="176" t="str">
        <f>任务!F42</f>
        <v>钻石</v>
      </c>
      <c r="F148" s="174">
        <v>1</v>
      </c>
      <c r="G148" s="176" t="str">
        <f t="shared" si="11"/>
        <v>钻石</v>
      </c>
      <c r="H148" s="176">
        <f>任务!G42*F148</f>
        <v>30</v>
      </c>
      <c r="I148" s="176">
        <f t="shared" si="12"/>
        <v>30</v>
      </c>
      <c r="J148" s="174" t="s">
        <v>36</v>
      </c>
      <c r="K148" s="174" t="s">
        <v>160</v>
      </c>
    </row>
    <row r="149" ht="22" customHeight="1" spans="1:11">
      <c r="A149" s="174" t="s">
        <v>16</v>
      </c>
      <c r="B149" s="174" t="s">
        <v>158</v>
      </c>
      <c r="C149" s="174" t="s">
        <v>16</v>
      </c>
      <c r="D149" s="174" t="s">
        <v>166</v>
      </c>
      <c r="E149" s="176" t="str">
        <f>任务!F43</f>
        <v>钻石</v>
      </c>
      <c r="F149" s="174">
        <v>1</v>
      </c>
      <c r="G149" s="176" t="str">
        <f t="shared" si="11"/>
        <v>钻石</v>
      </c>
      <c r="H149" s="176">
        <f>任务!G43*F149</f>
        <v>50</v>
      </c>
      <c r="I149" s="176">
        <f t="shared" si="12"/>
        <v>50</v>
      </c>
      <c r="J149" s="174" t="s">
        <v>36</v>
      </c>
      <c r="K149" s="174" t="s">
        <v>160</v>
      </c>
    </row>
    <row r="150" ht="22" customHeight="1" spans="1:11">
      <c r="A150" s="174" t="s">
        <v>16</v>
      </c>
      <c r="B150" s="174" t="s">
        <v>158</v>
      </c>
      <c r="C150" s="174" t="s">
        <v>16</v>
      </c>
      <c r="D150" s="174" t="s">
        <v>167</v>
      </c>
      <c r="E150" s="176" t="str">
        <f>任务!F46</f>
        <v>钻石</v>
      </c>
      <c r="F150" s="174">
        <v>1</v>
      </c>
      <c r="G150" s="176" t="str">
        <f t="shared" si="11"/>
        <v>钻石</v>
      </c>
      <c r="H150" s="176">
        <f>任务!G46*F150</f>
        <v>50</v>
      </c>
      <c r="I150" s="176">
        <f t="shared" si="12"/>
        <v>50</v>
      </c>
      <c r="J150" s="174" t="s">
        <v>36</v>
      </c>
      <c r="K150" s="174" t="s">
        <v>160</v>
      </c>
    </row>
    <row r="151" ht="22" customHeight="1" spans="1:11">
      <c r="A151" s="174" t="s">
        <v>16</v>
      </c>
      <c r="B151" s="174" t="s">
        <v>158</v>
      </c>
      <c r="C151" s="174" t="s">
        <v>16</v>
      </c>
      <c r="D151" s="174" t="s">
        <v>168</v>
      </c>
      <c r="E151" s="176" t="str">
        <f>任务!F48</f>
        <v>钻石</v>
      </c>
      <c r="F151" s="174">
        <v>1</v>
      </c>
      <c r="G151" s="176" t="str">
        <f t="shared" si="11"/>
        <v>钻石</v>
      </c>
      <c r="H151" s="176">
        <f>任务!G48*F151</f>
        <v>20</v>
      </c>
      <c r="I151" s="176">
        <f t="shared" si="12"/>
        <v>20</v>
      </c>
      <c r="J151" s="174" t="s">
        <v>36</v>
      </c>
      <c r="K151" s="174" t="s">
        <v>160</v>
      </c>
    </row>
    <row r="152" ht="22" customHeight="1" spans="1:11">
      <c r="A152" s="174" t="s">
        <v>16</v>
      </c>
      <c r="B152" s="174" t="s">
        <v>158</v>
      </c>
      <c r="C152" s="174" t="s">
        <v>16</v>
      </c>
      <c r="D152" s="174" t="s">
        <v>169</v>
      </c>
      <c r="E152" s="176" t="str">
        <f>任务!F49</f>
        <v>钻石</v>
      </c>
      <c r="F152" s="174">
        <v>1</v>
      </c>
      <c r="G152" s="176" t="str">
        <f t="shared" ref="G152:G215" si="13">IF(E152="钻石","钻石",IF(ISNUMBER(SEARCH("角色抽卡券限时",E152)),"角色抽卡券限时",IF(ISNUMBER(SEARCH("专武抽卡券限时",E152)),"专武抽卡券限时",IF(ISNUMBER(SEARCH("角色抽卡券",E152)),"角色抽卡券普通",IF(ISNUMBER(SEARCH("专武抽卡券",E152)),"专武抽卡券普通","")))))</f>
        <v>钻石</v>
      </c>
      <c r="H152" s="176">
        <f>任务!G49*F152</f>
        <v>30</v>
      </c>
      <c r="I152" s="176">
        <f t="shared" ref="I152:I215" si="14">IF(G152="钻石",H152,H152*150)</f>
        <v>30</v>
      </c>
      <c r="J152" s="174" t="s">
        <v>36</v>
      </c>
      <c r="K152" s="174" t="s">
        <v>160</v>
      </c>
    </row>
    <row r="153" ht="22" customHeight="1" spans="1:11">
      <c r="A153" s="174" t="s">
        <v>16</v>
      </c>
      <c r="B153" s="174" t="s">
        <v>158</v>
      </c>
      <c r="C153" s="174" t="s">
        <v>16</v>
      </c>
      <c r="D153" s="174" t="s">
        <v>170</v>
      </c>
      <c r="E153" s="176" t="str">
        <f>任务!F50</f>
        <v>钻石</v>
      </c>
      <c r="F153" s="174">
        <v>1</v>
      </c>
      <c r="G153" s="176" t="str">
        <f t="shared" si="13"/>
        <v>钻石</v>
      </c>
      <c r="H153" s="176">
        <f>任务!G50*F153</f>
        <v>50</v>
      </c>
      <c r="I153" s="176">
        <f t="shared" si="14"/>
        <v>50</v>
      </c>
      <c r="J153" s="174" t="s">
        <v>36</v>
      </c>
      <c r="K153" s="174" t="s">
        <v>160</v>
      </c>
    </row>
    <row r="154" ht="22" customHeight="1" spans="1:11">
      <c r="A154" s="174" t="s">
        <v>16</v>
      </c>
      <c r="B154" s="174" t="s">
        <v>158</v>
      </c>
      <c r="C154" s="174" t="s">
        <v>16</v>
      </c>
      <c r="D154" s="174" t="s">
        <v>171</v>
      </c>
      <c r="E154" s="176" t="str">
        <f>任务!F54</f>
        <v>钻石</v>
      </c>
      <c r="F154" s="174">
        <v>1</v>
      </c>
      <c r="G154" s="176" t="str">
        <f t="shared" si="13"/>
        <v>钻石</v>
      </c>
      <c r="H154" s="176">
        <f>任务!G54*F154</f>
        <v>50</v>
      </c>
      <c r="I154" s="176">
        <f t="shared" si="14"/>
        <v>50</v>
      </c>
      <c r="J154" s="174" t="s">
        <v>36</v>
      </c>
      <c r="K154" s="174" t="s">
        <v>160</v>
      </c>
    </row>
    <row r="155" ht="22" customHeight="1" spans="1:11">
      <c r="A155" s="174" t="s">
        <v>16</v>
      </c>
      <c r="B155" s="174" t="s">
        <v>158</v>
      </c>
      <c r="C155" s="174" t="s">
        <v>16</v>
      </c>
      <c r="D155" s="174" t="s">
        <v>172</v>
      </c>
      <c r="E155" s="176" t="str">
        <f>任务!F56</f>
        <v>钻石</v>
      </c>
      <c r="F155" s="174">
        <v>1</v>
      </c>
      <c r="G155" s="176" t="str">
        <f t="shared" si="13"/>
        <v>钻石</v>
      </c>
      <c r="H155" s="176">
        <f>任务!G56*F155</f>
        <v>20</v>
      </c>
      <c r="I155" s="176">
        <f t="shared" si="14"/>
        <v>20</v>
      </c>
      <c r="J155" s="174" t="s">
        <v>36</v>
      </c>
      <c r="K155" s="174" t="s">
        <v>160</v>
      </c>
    </row>
    <row r="156" ht="22" customHeight="1" spans="1:11">
      <c r="A156" s="174" t="s">
        <v>16</v>
      </c>
      <c r="B156" s="174" t="s">
        <v>158</v>
      </c>
      <c r="C156" s="174" t="s">
        <v>16</v>
      </c>
      <c r="D156" s="174" t="s">
        <v>173</v>
      </c>
      <c r="E156" s="176" t="str">
        <f>任务!F57</f>
        <v>钻石</v>
      </c>
      <c r="F156" s="174">
        <v>1</v>
      </c>
      <c r="G156" s="176" t="str">
        <f t="shared" si="13"/>
        <v>钻石</v>
      </c>
      <c r="H156" s="176">
        <f>任务!G57*F156</f>
        <v>30</v>
      </c>
      <c r="I156" s="176">
        <f t="shared" si="14"/>
        <v>30</v>
      </c>
      <c r="J156" s="174" t="s">
        <v>36</v>
      </c>
      <c r="K156" s="174" t="s">
        <v>160</v>
      </c>
    </row>
    <row r="157" ht="22" customHeight="1" spans="1:11">
      <c r="A157" s="174" t="s">
        <v>16</v>
      </c>
      <c r="B157" s="174" t="s">
        <v>158</v>
      </c>
      <c r="C157" s="174" t="s">
        <v>16</v>
      </c>
      <c r="D157" s="174" t="s">
        <v>174</v>
      </c>
      <c r="E157" s="176" t="str">
        <f>任务!F58</f>
        <v>钻石</v>
      </c>
      <c r="F157" s="174">
        <v>1</v>
      </c>
      <c r="G157" s="176" t="str">
        <f t="shared" si="13"/>
        <v>钻石</v>
      </c>
      <c r="H157" s="176">
        <f>任务!G58*F157</f>
        <v>50</v>
      </c>
      <c r="I157" s="176">
        <f t="shared" si="14"/>
        <v>50</v>
      </c>
      <c r="J157" s="174" t="s">
        <v>36</v>
      </c>
      <c r="K157" s="174" t="s">
        <v>160</v>
      </c>
    </row>
    <row r="158" ht="22" customHeight="1" spans="1:11">
      <c r="A158" s="174" t="s">
        <v>16</v>
      </c>
      <c r="B158" s="174" t="s">
        <v>158</v>
      </c>
      <c r="C158" s="174" t="s">
        <v>16</v>
      </c>
      <c r="D158" s="174" t="s">
        <v>175</v>
      </c>
      <c r="E158" s="176" t="str">
        <f>任务!F62</f>
        <v>钻石</v>
      </c>
      <c r="F158" s="174">
        <v>1</v>
      </c>
      <c r="G158" s="176" t="str">
        <f t="shared" si="13"/>
        <v>钻石</v>
      </c>
      <c r="H158" s="176">
        <f>任务!G62*F158</f>
        <v>50</v>
      </c>
      <c r="I158" s="176">
        <f t="shared" si="14"/>
        <v>50</v>
      </c>
      <c r="J158" s="174" t="s">
        <v>36</v>
      </c>
      <c r="K158" s="174" t="s">
        <v>160</v>
      </c>
    </row>
    <row r="159" ht="22" customHeight="1" spans="1:11">
      <c r="A159" s="174" t="s">
        <v>16</v>
      </c>
      <c r="B159" s="174" t="s">
        <v>158</v>
      </c>
      <c r="C159" s="174" t="s">
        <v>16</v>
      </c>
      <c r="D159" s="174" t="s">
        <v>176</v>
      </c>
      <c r="E159" s="176" t="str">
        <f>任务!F64</f>
        <v>钻石</v>
      </c>
      <c r="F159" s="174">
        <v>1</v>
      </c>
      <c r="G159" s="176" t="str">
        <f t="shared" si="13"/>
        <v>钻石</v>
      </c>
      <c r="H159" s="176">
        <f>任务!G64*F159</f>
        <v>20</v>
      </c>
      <c r="I159" s="176">
        <f t="shared" si="14"/>
        <v>20</v>
      </c>
      <c r="J159" s="174" t="s">
        <v>36</v>
      </c>
      <c r="K159" s="174" t="s">
        <v>160</v>
      </c>
    </row>
    <row r="160" ht="22" customHeight="1" spans="1:11">
      <c r="A160" s="174" t="s">
        <v>16</v>
      </c>
      <c r="B160" s="174" t="s">
        <v>158</v>
      </c>
      <c r="C160" s="174" t="s">
        <v>16</v>
      </c>
      <c r="D160" s="174" t="s">
        <v>177</v>
      </c>
      <c r="E160" s="176" t="str">
        <f>任务!F65</f>
        <v>钻石</v>
      </c>
      <c r="F160" s="174">
        <v>1</v>
      </c>
      <c r="G160" s="176" t="str">
        <f t="shared" si="13"/>
        <v>钻石</v>
      </c>
      <c r="H160" s="176">
        <f>任务!G65*F160</f>
        <v>30</v>
      </c>
      <c r="I160" s="176">
        <f t="shared" si="14"/>
        <v>30</v>
      </c>
      <c r="J160" s="174" t="s">
        <v>36</v>
      </c>
      <c r="K160" s="174" t="s">
        <v>160</v>
      </c>
    </row>
    <row r="161" ht="22" customHeight="1" spans="1:11">
      <c r="A161" s="174" t="s">
        <v>16</v>
      </c>
      <c r="B161" s="174" t="s">
        <v>158</v>
      </c>
      <c r="C161" s="174" t="s">
        <v>16</v>
      </c>
      <c r="D161" s="174" t="s">
        <v>178</v>
      </c>
      <c r="E161" s="176" t="str">
        <f>任务!F66</f>
        <v>钻石</v>
      </c>
      <c r="F161" s="174">
        <v>1</v>
      </c>
      <c r="G161" s="176" t="str">
        <f t="shared" si="13"/>
        <v>钻石</v>
      </c>
      <c r="H161" s="176">
        <f>任务!G66*F161</f>
        <v>50</v>
      </c>
      <c r="I161" s="176">
        <f t="shared" si="14"/>
        <v>50</v>
      </c>
      <c r="J161" s="174" t="s">
        <v>36</v>
      </c>
      <c r="K161" s="174" t="s">
        <v>160</v>
      </c>
    </row>
    <row r="162" ht="22" customHeight="1" spans="1:11">
      <c r="A162" s="174" t="s">
        <v>16</v>
      </c>
      <c r="B162" s="174" t="s">
        <v>158</v>
      </c>
      <c r="C162" s="174" t="s">
        <v>16</v>
      </c>
      <c r="D162" s="174" t="s">
        <v>179</v>
      </c>
      <c r="E162" s="176" t="str">
        <f>任务!F70</f>
        <v>钻石</v>
      </c>
      <c r="F162" s="174">
        <v>1</v>
      </c>
      <c r="G162" s="176" t="str">
        <f t="shared" si="13"/>
        <v>钻石</v>
      </c>
      <c r="H162" s="176">
        <f>任务!G70*F162</f>
        <v>50</v>
      </c>
      <c r="I162" s="176">
        <f t="shared" si="14"/>
        <v>50</v>
      </c>
      <c r="J162" s="174" t="s">
        <v>36</v>
      </c>
      <c r="K162" s="174" t="s">
        <v>160</v>
      </c>
    </row>
    <row r="163" ht="22" customHeight="1" spans="1:11">
      <c r="A163" s="174" t="s">
        <v>17</v>
      </c>
      <c r="B163" s="174" t="s">
        <v>180</v>
      </c>
      <c r="C163" s="174" t="s">
        <v>17</v>
      </c>
      <c r="D163" s="174" t="s">
        <v>181</v>
      </c>
      <c r="E163" s="176" t="str">
        <f>大秘境!M10</f>
        <v>角色抽卡券限时</v>
      </c>
      <c r="F163" s="174">
        <v>1</v>
      </c>
      <c r="G163" s="176" t="str">
        <f t="shared" si="13"/>
        <v>角色抽卡券限时</v>
      </c>
      <c r="H163" s="176">
        <f>大秘境!N10*F163</f>
        <v>1</v>
      </c>
      <c r="I163" s="176">
        <f t="shared" si="14"/>
        <v>150</v>
      </c>
      <c r="J163" s="174" t="s">
        <v>36</v>
      </c>
      <c r="K163" s="174" t="s">
        <v>182</v>
      </c>
    </row>
    <row r="164" ht="22" customHeight="1" spans="1:11">
      <c r="A164" s="174" t="s">
        <v>17</v>
      </c>
      <c r="B164" s="174" t="s">
        <v>180</v>
      </c>
      <c r="C164" s="174" t="s">
        <v>17</v>
      </c>
      <c r="D164" s="174" t="s">
        <v>183</v>
      </c>
      <c r="E164" s="176" t="str">
        <f>大秘境!M11</f>
        <v>角色抽卡券限时</v>
      </c>
      <c r="F164" s="174">
        <v>1</v>
      </c>
      <c r="G164" s="176" t="str">
        <f t="shared" si="13"/>
        <v>角色抽卡券限时</v>
      </c>
      <c r="H164" s="176">
        <f>大秘境!N11*F164</f>
        <v>1</v>
      </c>
      <c r="I164" s="176">
        <f t="shared" si="14"/>
        <v>150</v>
      </c>
      <c r="J164" s="174" t="s">
        <v>36</v>
      </c>
      <c r="K164" s="174" t="s">
        <v>182</v>
      </c>
    </row>
    <row r="165" ht="22" customHeight="1" spans="1:11">
      <c r="A165" s="174" t="s">
        <v>17</v>
      </c>
      <c r="B165" s="174" t="s">
        <v>180</v>
      </c>
      <c r="C165" s="174" t="s">
        <v>17</v>
      </c>
      <c r="D165" s="174" t="s">
        <v>184</v>
      </c>
      <c r="E165" s="176" t="str">
        <f>大秘境!M12</f>
        <v>角色抽卡券限时</v>
      </c>
      <c r="F165" s="174">
        <v>1</v>
      </c>
      <c r="G165" s="176" t="str">
        <f t="shared" si="13"/>
        <v>角色抽卡券限时</v>
      </c>
      <c r="H165" s="176">
        <f>大秘境!N12*F165</f>
        <v>1</v>
      </c>
      <c r="I165" s="176">
        <f t="shared" si="14"/>
        <v>150</v>
      </c>
      <c r="J165" s="174" t="s">
        <v>36</v>
      </c>
      <c r="K165" s="174" t="s">
        <v>182</v>
      </c>
    </row>
    <row r="166" ht="22" customHeight="1" spans="1:11">
      <c r="A166" s="174" t="s">
        <v>17</v>
      </c>
      <c r="B166" s="174" t="s">
        <v>180</v>
      </c>
      <c r="C166" s="174" t="s">
        <v>17</v>
      </c>
      <c r="D166" s="174" t="s">
        <v>185</v>
      </c>
      <c r="E166" s="176" t="str">
        <f>大秘境!M13</f>
        <v>角色抽卡券限时</v>
      </c>
      <c r="F166" s="174">
        <v>1</v>
      </c>
      <c r="G166" s="176" t="str">
        <f t="shared" si="13"/>
        <v>角色抽卡券限时</v>
      </c>
      <c r="H166" s="176">
        <f>大秘境!N13*F166</f>
        <v>1</v>
      </c>
      <c r="I166" s="176">
        <f t="shared" si="14"/>
        <v>150</v>
      </c>
      <c r="J166" s="174" t="s">
        <v>36</v>
      </c>
      <c r="K166" s="174" t="s">
        <v>182</v>
      </c>
    </row>
    <row r="167" ht="22" customHeight="1" spans="1:11">
      <c r="A167" s="174" t="s">
        <v>17</v>
      </c>
      <c r="B167" s="174" t="s">
        <v>180</v>
      </c>
      <c r="C167" s="174" t="s">
        <v>17</v>
      </c>
      <c r="D167" s="174" t="s">
        <v>186</v>
      </c>
      <c r="E167" s="176" t="str">
        <f>大秘境!M14</f>
        <v>角色抽卡券限时</v>
      </c>
      <c r="F167" s="174">
        <v>1</v>
      </c>
      <c r="G167" s="176" t="str">
        <f t="shared" si="13"/>
        <v>角色抽卡券限时</v>
      </c>
      <c r="H167" s="176">
        <f>大秘境!N14*F167</f>
        <v>1</v>
      </c>
      <c r="I167" s="176">
        <f t="shared" si="14"/>
        <v>150</v>
      </c>
      <c r="J167" s="174" t="s">
        <v>36</v>
      </c>
      <c r="K167" s="174" t="s">
        <v>182</v>
      </c>
    </row>
    <row r="168" ht="22" customHeight="1" spans="1:11">
      <c r="A168" s="174" t="s">
        <v>17</v>
      </c>
      <c r="B168" s="174" t="s">
        <v>180</v>
      </c>
      <c r="C168" s="174" t="s">
        <v>17</v>
      </c>
      <c r="D168" s="174" t="s">
        <v>187</v>
      </c>
      <c r="E168" s="176" t="str">
        <f>大秘境!M8</f>
        <v>角色抽卡券限时</v>
      </c>
      <c r="F168" s="174">
        <v>1</v>
      </c>
      <c r="G168" s="176" t="str">
        <f t="shared" si="13"/>
        <v>角色抽卡券限时</v>
      </c>
      <c r="H168" s="176">
        <f>大秘境!N8*F168</f>
        <v>1</v>
      </c>
      <c r="I168" s="176">
        <f t="shared" si="14"/>
        <v>150</v>
      </c>
      <c r="J168" s="174" t="s">
        <v>36</v>
      </c>
      <c r="K168" s="174" t="s">
        <v>182</v>
      </c>
    </row>
    <row r="169" ht="22" customHeight="1" spans="1:11">
      <c r="A169" s="174" t="s">
        <v>17</v>
      </c>
      <c r="B169" s="174" t="s">
        <v>180</v>
      </c>
      <c r="C169" s="174" t="s">
        <v>17</v>
      </c>
      <c r="D169" s="174" t="s">
        <v>188</v>
      </c>
      <c r="E169" s="176" t="str">
        <f>大秘境!M9</f>
        <v>角色抽卡券限时</v>
      </c>
      <c r="F169" s="174">
        <v>1</v>
      </c>
      <c r="G169" s="176" t="str">
        <f t="shared" si="13"/>
        <v>角色抽卡券限时</v>
      </c>
      <c r="H169" s="176">
        <f>大秘境!N9*F169</f>
        <v>1</v>
      </c>
      <c r="I169" s="176">
        <f t="shared" si="14"/>
        <v>150</v>
      </c>
      <c r="J169" s="174" t="s">
        <v>36</v>
      </c>
      <c r="K169" s="174" t="s">
        <v>182</v>
      </c>
    </row>
    <row r="170" ht="22" customHeight="1" spans="1:11">
      <c r="A170" s="174" t="s">
        <v>17</v>
      </c>
      <c r="B170" s="174" t="s">
        <v>180</v>
      </c>
      <c r="C170" s="174" t="s">
        <v>17</v>
      </c>
      <c r="D170" s="174" t="s">
        <v>189</v>
      </c>
      <c r="E170" s="176" t="str">
        <f>大秘境!O14</f>
        <v>专武抽卡券限时</v>
      </c>
      <c r="F170" s="174">
        <v>1</v>
      </c>
      <c r="G170" s="176" t="str">
        <f t="shared" si="13"/>
        <v>专武抽卡券限时</v>
      </c>
      <c r="H170" s="176">
        <f>大秘境!P14*F170</f>
        <v>1</v>
      </c>
      <c r="I170" s="176">
        <f t="shared" si="14"/>
        <v>150</v>
      </c>
      <c r="J170" s="174" t="s">
        <v>36</v>
      </c>
      <c r="K170" s="174" t="s">
        <v>182</v>
      </c>
    </row>
    <row r="171" ht="22" customHeight="1" spans="1:11">
      <c r="A171" s="174" t="s">
        <v>18</v>
      </c>
      <c r="B171" s="174" t="s">
        <v>190</v>
      </c>
      <c r="C171" s="174" t="s">
        <v>191</v>
      </c>
      <c r="D171" s="174" t="s">
        <v>192</v>
      </c>
      <c r="E171" s="176" t="str">
        <f>'配置页-无限挑战'!G15</f>
        <v>角色抽卡券限时</v>
      </c>
      <c r="F171" s="174">
        <v>1</v>
      </c>
      <c r="G171" s="176" t="str">
        <f t="shared" si="13"/>
        <v>角色抽卡券限时</v>
      </c>
      <c r="H171" s="176" t="e">
        <f>'配置页-无限挑战'!#REF!*F171</f>
        <v>#REF!</v>
      </c>
      <c r="I171" s="176" t="e">
        <f t="shared" si="14"/>
        <v>#REF!</v>
      </c>
      <c r="J171" s="174" t="s">
        <v>36</v>
      </c>
      <c r="K171" s="174" t="s">
        <v>193</v>
      </c>
    </row>
    <row r="172" ht="22" customHeight="1" spans="1:11">
      <c r="A172" s="174" t="s">
        <v>18</v>
      </c>
      <c r="B172" s="174" t="s">
        <v>190</v>
      </c>
      <c r="C172" s="174" t="s">
        <v>191</v>
      </c>
      <c r="D172" s="174" t="s">
        <v>194</v>
      </c>
      <c r="E172" s="176" t="str">
        <f>'配置页-无限挑战'!G18</f>
        <v>钻石</v>
      </c>
      <c r="F172" s="174">
        <v>1</v>
      </c>
      <c r="G172" s="176" t="str">
        <f t="shared" si="13"/>
        <v>钻石</v>
      </c>
      <c r="H172" s="176" t="e">
        <f>'配置页-无限挑战'!#REF!*F172</f>
        <v>#REF!</v>
      </c>
      <c r="I172" s="176" t="e">
        <f t="shared" si="14"/>
        <v>#REF!</v>
      </c>
      <c r="J172" s="174" t="s">
        <v>36</v>
      </c>
      <c r="K172" s="174" t="s">
        <v>193</v>
      </c>
    </row>
    <row r="173" ht="22" customHeight="1" spans="1:11">
      <c r="A173" s="174" t="s">
        <v>18</v>
      </c>
      <c r="B173" s="174" t="s">
        <v>190</v>
      </c>
      <c r="C173" s="174" t="s">
        <v>191</v>
      </c>
      <c r="D173" s="174" t="s">
        <v>195</v>
      </c>
      <c r="E173" s="176" t="str">
        <f>'配置页-无限挑战'!G24</f>
        <v>角色抽卡券普通</v>
      </c>
      <c r="F173" s="174">
        <v>1</v>
      </c>
      <c r="G173" s="176" t="str">
        <f t="shared" si="13"/>
        <v>角色抽卡券普通</v>
      </c>
      <c r="H173" s="176" t="e">
        <f>'配置页-无限挑战'!#REF!*F173</f>
        <v>#REF!</v>
      </c>
      <c r="I173" s="176" t="e">
        <f t="shared" si="14"/>
        <v>#REF!</v>
      </c>
      <c r="J173" s="174" t="s">
        <v>36</v>
      </c>
      <c r="K173" s="174" t="s">
        <v>193</v>
      </c>
    </row>
    <row r="174" ht="22" customHeight="1" spans="1:11">
      <c r="A174" s="174" t="s">
        <v>18</v>
      </c>
      <c r="B174" s="174" t="s">
        <v>190</v>
      </c>
      <c r="C174" s="174" t="s">
        <v>191</v>
      </c>
      <c r="D174" s="174" t="s">
        <v>196</v>
      </c>
      <c r="E174" s="176" t="str">
        <f>'配置页-无限挑战'!G27</f>
        <v>角色抽卡券限时</v>
      </c>
      <c r="F174" s="174">
        <v>1</v>
      </c>
      <c r="G174" s="176" t="str">
        <f t="shared" si="13"/>
        <v>角色抽卡券限时</v>
      </c>
      <c r="H174" s="176" t="e">
        <f>'配置页-无限挑战'!#REF!*F174</f>
        <v>#REF!</v>
      </c>
      <c r="I174" s="176" t="e">
        <f t="shared" si="14"/>
        <v>#REF!</v>
      </c>
      <c r="J174" s="174" t="s">
        <v>36</v>
      </c>
      <c r="K174" s="174" t="s">
        <v>193</v>
      </c>
    </row>
    <row r="175" ht="22" customHeight="1" spans="1:11">
      <c r="A175" s="174" t="s">
        <v>18</v>
      </c>
      <c r="B175" s="174" t="s">
        <v>190</v>
      </c>
      <c r="C175" s="174" t="s">
        <v>191</v>
      </c>
      <c r="D175" s="174" t="s">
        <v>197</v>
      </c>
      <c r="E175" s="176" t="str">
        <f>'配置页-无限挑战'!G33</f>
        <v>映射之匙</v>
      </c>
      <c r="F175" s="174">
        <v>1</v>
      </c>
      <c r="G175" s="176" t="str">
        <f t="shared" si="13"/>
        <v/>
      </c>
      <c r="H175" s="176" t="e">
        <f>'配置页-无限挑战'!#REF!*F175</f>
        <v>#REF!</v>
      </c>
      <c r="I175" s="176" t="e">
        <f t="shared" si="14"/>
        <v>#REF!</v>
      </c>
      <c r="J175" s="174" t="s">
        <v>36</v>
      </c>
      <c r="K175" s="174" t="s">
        <v>193</v>
      </c>
    </row>
    <row r="176" ht="22" customHeight="1" spans="1:11">
      <c r="A176" s="174" t="s">
        <v>18</v>
      </c>
      <c r="B176" s="174" t="s">
        <v>190</v>
      </c>
      <c r="C176" s="174" t="s">
        <v>191</v>
      </c>
      <c r="D176" s="174" t="s">
        <v>198</v>
      </c>
      <c r="E176" s="176" t="str">
        <f>'配置页-无限挑战'!G6</f>
        <v>钻石</v>
      </c>
      <c r="F176" s="174">
        <v>1</v>
      </c>
      <c r="G176" s="176" t="str">
        <f t="shared" si="13"/>
        <v>钻石</v>
      </c>
      <c r="H176" s="176" t="e">
        <f>'配置页-无限挑战'!#REF!*F176</f>
        <v>#REF!</v>
      </c>
      <c r="I176" s="176" t="e">
        <f t="shared" si="14"/>
        <v>#REF!</v>
      </c>
      <c r="J176" s="174" t="s">
        <v>36</v>
      </c>
      <c r="K176" s="174" t="s">
        <v>193</v>
      </c>
    </row>
    <row r="177" ht="22" customHeight="1" spans="1:11">
      <c r="A177" s="174" t="s">
        <v>18</v>
      </c>
      <c r="B177" s="174" t="s">
        <v>190</v>
      </c>
      <c r="C177" s="174" t="s">
        <v>191</v>
      </c>
      <c r="D177" s="174" t="s">
        <v>199</v>
      </c>
      <c r="E177" s="176" t="str">
        <f>'配置页-无限挑战'!G9</f>
        <v>映射之匙</v>
      </c>
      <c r="F177" s="174">
        <v>1</v>
      </c>
      <c r="G177" s="176" t="str">
        <f t="shared" si="13"/>
        <v/>
      </c>
      <c r="H177" s="176" t="e">
        <f>'配置页-无限挑战'!#REF!*F177</f>
        <v>#REF!</v>
      </c>
      <c r="I177" s="176" t="e">
        <f t="shared" si="14"/>
        <v>#REF!</v>
      </c>
      <c r="J177" s="174" t="s">
        <v>36</v>
      </c>
      <c r="K177" s="174" t="s">
        <v>193</v>
      </c>
    </row>
    <row r="178" ht="22" customHeight="1" spans="1:11">
      <c r="A178" s="174" t="s">
        <v>19</v>
      </c>
      <c r="B178" s="174" t="s">
        <v>200</v>
      </c>
      <c r="C178" s="174" t="s">
        <v>201</v>
      </c>
      <c r="D178" s="174" t="s">
        <v>202</v>
      </c>
      <c r="E178" s="176">
        <f>'配置页-爬塔'!E11</f>
        <v>24000005</v>
      </c>
      <c r="F178" s="174">
        <v>1</v>
      </c>
      <c r="G178" s="176" t="str">
        <f t="shared" si="13"/>
        <v/>
      </c>
      <c r="H178" s="176">
        <f>'配置页-爬塔'!H11*F178</f>
        <v>3</v>
      </c>
      <c r="I178" s="176">
        <f t="shared" si="14"/>
        <v>450</v>
      </c>
      <c r="J178" s="174" t="s">
        <v>36</v>
      </c>
      <c r="K178" s="174" t="s">
        <v>203</v>
      </c>
    </row>
    <row r="179" ht="22" customHeight="1" spans="1:11">
      <c r="A179" s="174" t="s">
        <v>19</v>
      </c>
      <c r="B179" s="174" t="s">
        <v>200</v>
      </c>
      <c r="C179" s="174" t="s">
        <v>201</v>
      </c>
      <c r="D179" s="174" t="s">
        <v>204</v>
      </c>
      <c r="E179" s="176">
        <f>'配置页-爬塔'!E16</f>
        <v>24000008</v>
      </c>
      <c r="F179" s="174">
        <v>1</v>
      </c>
      <c r="G179" s="176" t="str">
        <f t="shared" si="13"/>
        <v/>
      </c>
      <c r="H179" s="176">
        <f>'配置页-爬塔'!H16*F179</f>
        <v>9</v>
      </c>
      <c r="I179" s="176">
        <f t="shared" si="14"/>
        <v>1350</v>
      </c>
      <c r="J179" s="174" t="s">
        <v>36</v>
      </c>
      <c r="K179" s="174" t="s">
        <v>203</v>
      </c>
    </row>
    <row r="180" ht="22" customHeight="1" spans="1:11">
      <c r="A180" s="174" t="s">
        <v>19</v>
      </c>
      <c r="B180" s="174" t="s">
        <v>200</v>
      </c>
      <c r="C180" s="174" t="s">
        <v>201</v>
      </c>
      <c r="D180" s="174" t="s">
        <v>205</v>
      </c>
      <c r="E180" s="176">
        <f>'配置页-爬塔'!E21</f>
        <v>24000011</v>
      </c>
      <c r="F180" s="174">
        <v>1</v>
      </c>
      <c r="G180" s="176" t="str">
        <f t="shared" si="13"/>
        <v/>
      </c>
      <c r="H180" s="176">
        <f>'配置页-爬塔'!H21*F180</f>
        <v>30000</v>
      </c>
      <c r="I180" s="176">
        <f t="shared" si="14"/>
        <v>4500000</v>
      </c>
      <c r="J180" s="174" t="s">
        <v>36</v>
      </c>
      <c r="K180" s="174" t="s">
        <v>203</v>
      </c>
    </row>
    <row r="181" ht="22" customHeight="1" spans="1:11">
      <c r="A181" s="174" t="s">
        <v>19</v>
      </c>
      <c r="B181" s="174" t="s">
        <v>200</v>
      </c>
      <c r="C181" s="174" t="s">
        <v>201</v>
      </c>
      <c r="D181" s="174" t="s">
        <v>206</v>
      </c>
      <c r="E181" s="176">
        <f>'配置页-爬塔'!E26</f>
        <v>24000013</v>
      </c>
      <c r="F181" s="174">
        <v>1</v>
      </c>
      <c r="G181" s="176" t="str">
        <f t="shared" si="13"/>
        <v/>
      </c>
      <c r="H181" s="176">
        <f>'配置页-爬塔'!H26*F181</f>
        <v>1</v>
      </c>
      <c r="I181" s="176">
        <f t="shared" si="14"/>
        <v>150</v>
      </c>
      <c r="J181" s="174" t="s">
        <v>36</v>
      </c>
      <c r="K181" s="174" t="s">
        <v>203</v>
      </c>
    </row>
    <row r="182" ht="22" customHeight="1" spans="1:11">
      <c r="A182" s="174" t="s">
        <v>19</v>
      </c>
      <c r="B182" s="174" t="s">
        <v>200</v>
      </c>
      <c r="C182" s="174" t="s">
        <v>201</v>
      </c>
      <c r="D182" s="174" t="s">
        <v>207</v>
      </c>
      <c r="E182" s="176">
        <f>'配置页-爬塔'!E31</f>
        <v>24000016</v>
      </c>
      <c r="F182" s="174">
        <v>1</v>
      </c>
      <c r="G182" s="176" t="str">
        <f t="shared" si="13"/>
        <v/>
      </c>
      <c r="H182" s="176">
        <f>'配置页-爬塔'!H31*F182</f>
        <v>30000</v>
      </c>
      <c r="I182" s="176">
        <f t="shared" si="14"/>
        <v>4500000</v>
      </c>
      <c r="J182" s="174" t="s">
        <v>36</v>
      </c>
      <c r="K182" s="174" t="s">
        <v>203</v>
      </c>
    </row>
    <row r="183" ht="22" customHeight="1" spans="1:11">
      <c r="A183" s="174" t="s">
        <v>19</v>
      </c>
      <c r="B183" s="174" t="s">
        <v>200</v>
      </c>
      <c r="C183" s="174" t="s">
        <v>201</v>
      </c>
      <c r="D183" s="174" t="s">
        <v>208</v>
      </c>
      <c r="E183" s="176">
        <f>'配置页-爬塔'!E36</f>
        <v>24000018</v>
      </c>
      <c r="F183" s="174">
        <v>1</v>
      </c>
      <c r="G183" s="176" t="str">
        <f t="shared" si="13"/>
        <v/>
      </c>
      <c r="H183" s="176">
        <f>'配置页-爬塔'!H36*F183</f>
        <v>1</v>
      </c>
      <c r="I183" s="176">
        <f t="shared" si="14"/>
        <v>150</v>
      </c>
      <c r="J183" s="174" t="s">
        <v>36</v>
      </c>
      <c r="K183" s="174" t="s">
        <v>203</v>
      </c>
    </row>
    <row r="184" ht="22" customHeight="1" spans="1:11">
      <c r="A184" s="174" t="s">
        <v>19</v>
      </c>
      <c r="B184" s="174" t="s">
        <v>200</v>
      </c>
      <c r="C184" s="174" t="s">
        <v>201</v>
      </c>
      <c r="D184" s="174" t="s">
        <v>209</v>
      </c>
      <c r="E184" s="176">
        <f>'配置页-爬塔'!E41</f>
        <v>24000021</v>
      </c>
      <c r="F184" s="174">
        <v>1</v>
      </c>
      <c r="G184" s="176" t="str">
        <f t="shared" si="13"/>
        <v/>
      </c>
      <c r="H184" s="176">
        <f>'配置页-爬塔'!H41*F184</f>
        <v>1</v>
      </c>
      <c r="I184" s="176">
        <f t="shared" si="14"/>
        <v>150</v>
      </c>
      <c r="J184" s="174" t="s">
        <v>36</v>
      </c>
      <c r="K184" s="174" t="s">
        <v>203</v>
      </c>
    </row>
    <row r="185" ht="22" customHeight="1" spans="1:11">
      <c r="A185" s="174" t="s">
        <v>19</v>
      </c>
      <c r="B185" s="174" t="s">
        <v>200</v>
      </c>
      <c r="C185" s="174" t="s">
        <v>201</v>
      </c>
      <c r="D185" s="174" t="s">
        <v>210</v>
      </c>
      <c r="E185" s="176">
        <f>'配置页-爬塔'!E6</f>
        <v>24000003</v>
      </c>
      <c r="F185" s="174">
        <v>1</v>
      </c>
      <c r="G185" s="176" t="str">
        <f t="shared" si="13"/>
        <v/>
      </c>
      <c r="H185" s="176">
        <f>'配置页-爬塔'!H6*F185</f>
        <v>9</v>
      </c>
      <c r="I185" s="176">
        <f t="shared" si="14"/>
        <v>1350</v>
      </c>
      <c r="J185" s="174" t="s">
        <v>36</v>
      </c>
      <c r="K185" s="174" t="s">
        <v>203</v>
      </c>
    </row>
    <row r="186" ht="22" customHeight="1" spans="1:11">
      <c r="A186" s="174" t="s">
        <v>20</v>
      </c>
      <c r="B186" s="174" t="s">
        <v>211</v>
      </c>
      <c r="C186" s="174" t="s">
        <v>212</v>
      </c>
      <c r="D186" s="174" t="s">
        <v>213</v>
      </c>
      <c r="E186" s="176" t="str">
        <f>'配置页-竞技场'!J14</f>
        <v>炮台升级小材料</v>
      </c>
      <c r="F186" s="174">
        <v>1</v>
      </c>
      <c r="G186" s="176" t="str">
        <f t="shared" si="13"/>
        <v/>
      </c>
      <c r="H186" s="176">
        <f>'配置页-竞技场'!L14*F186</f>
        <v>800</v>
      </c>
      <c r="I186" s="176">
        <f t="shared" si="14"/>
        <v>120000</v>
      </c>
      <c r="J186" s="174" t="s">
        <v>36</v>
      </c>
      <c r="K186" s="174" t="s">
        <v>214</v>
      </c>
    </row>
    <row r="187" ht="22" customHeight="1" spans="1:11">
      <c r="A187" s="174" t="s">
        <v>20</v>
      </c>
      <c r="B187" s="174" t="s">
        <v>211</v>
      </c>
      <c r="C187" s="174" t="s">
        <v>212</v>
      </c>
      <c r="D187" s="174" t="s">
        <v>215</v>
      </c>
      <c r="E187" s="176" t="str">
        <f>'配置页-竞技场'!J20</f>
        <v>炮台升级小材料</v>
      </c>
      <c r="F187" s="174">
        <v>1</v>
      </c>
      <c r="G187" s="176" t="str">
        <f t="shared" si="13"/>
        <v/>
      </c>
      <c r="H187" s="176">
        <f>'配置页-竞技场'!L20*F187</f>
        <v>1000</v>
      </c>
      <c r="I187" s="176">
        <f t="shared" si="14"/>
        <v>150000</v>
      </c>
      <c r="J187" s="174" t="s">
        <v>36</v>
      </c>
      <c r="K187" s="174" t="s">
        <v>214</v>
      </c>
    </row>
    <row r="188" ht="22" customHeight="1" spans="1:11">
      <c r="A188" s="174" t="s">
        <v>20</v>
      </c>
      <c r="B188" s="174" t="s">
        <v>211</v>
      </c>
      <c r="C188" s="174" t="s">
        <v>212</v>
      </c>
      <c r="D188" s="174" t="s">
        <v>216</v>
      </c>
      <c r="E188" s="176" t="e">
        <f>'配置页-竞技场'!J26</f>
        <v>#N/A</v>
      </c>
      <c r="F188" s="174">
        <v>1</v>
      </c>
      <c r="G188" s="176" t="e">
        <f t="shared" si="13"/>
        <v>#N/A</v>
      </c>
      <c r="H188" s="176" t="e">
        <f>'配置页-竞技场'!L26*F188</f>
        <v>#N/A</v>
      </c>
      <c r="I188" s="176" t="e">
        <f t="shared" si="14"/>
        <v>#N/A</v>
      </c>
      <c r="J188" s="174" t="s">
        <v>36</v>
      </c>
      <c r="K188" s="174" t="s">
        <v>214</v>
      </c>
    </row>
    <row r="189" ht="22" customHeight="1" spans="1:11">
      <c r="A189" s="174" t="s">
        <v>20</v>
      </c>
      <c r="B189" s="174" t="s">
        <v>211</v>
      </c>
      <c r="C189" s="174" t="s">
        <v>212</v>
      </c>
      <c r="D189" s="174" t="s">
        <v>217</v>
      </c>
      <c r="E189" s="176" t="str">
        <f>'配置页-竞技场'!J4</f>
        <v>钻石</v>
      </c>
      <c r="F189" s="174">
        <v>1</v>
      </c>
      <c r="G189" s="176" t="str">
        <f t="shared" si="13"/>
        <v>钻石</v>
      </c>
      <c r="H189" s="176">
        <f>'配置页-竞技场'!L4*F189</f>
        <v>600</v>
      </c>
      <c r="I189" s="176">
        <f t="shared" si="14"/>
        <v>600</v>
      </c>
      <c r="J189" s="174" t="s">
        <v>36</v>
      </c>
      <c r="K189" s="174" t="s">
        <v>214</v>
      </c>
    </row>
    <row r="190" ht="22" customHeight="1" spans="1:11">
      <c r="A190" s="174" t="s">
        <v>20</v>
      </c>
      <c r="B190" s="174" t="s">
        <v>211</v>
      </c>
      <c r="C190" s="174" t="s">
        <v>212</v>
      </c>
      <c r="D190" s="174" t="s">
        <v>218</v>
      </c>
      <c r="E190" s="176" t="str">
        <f>'配置页-竞技场'!J8</f>
        <v>炮台升级小材料</v>
      </c>
      <c r="F190" s="174">
        <v>1</v>
      </c>
      <c r="G190" s="176" t="str">
        <f t="shared" si="13"/>
        <v/>
      </c>
      <c r="H190" s="176">
        <f>'配置页-竞技场'!L8*F190</f>
        <v>600</v>
      </c>
      <c r="I190" s="176">
        <f t="shared" si="14"/>
        <v>90000</v>
      </c>
      <c r="J190" s="174" t="s">
        <v>36</v>
      </c>
      <c r="K190" s="174" t="s">
        <v>214</v>
      </c>
    </row>
    <row r="191" ht="22" customHeight="1" spans="1:11">
      <c r="A191" s="174" t="s">
        <v>21</v>
      </c>
      <c r="B191" s="174" t="s">
        <v>219</v>
      </c>
      <c r="C191" s="174" t="s">
        <v>21</v>
      </c>
      <c r="D191" s="174" t="s">
        <v>220</v>
      </c>
      <c r="E191" s="176" t="str">
        <f>签到!K3</f>
        <v>钻石</v>
      </c>
      <c r="F191" s="174">
        <v>1</v>
      </c>
      <c r="G191" s="176" t="str">
        <f t="shared" si="13"/>
        <v>钻石</v>
      </c>
      <c r="H191" s="176">
        <f>签到!L3*F191</f>
        <v>50</v>
      </c>
      <c r="I191" s="176">
        <f t="shared" si="14"/>
        <v>50</v>
      </c>
      <c r="J191" s="174" t="s">
        <v>36</v>
      </c>
      <c r="K191" s="174" t="s">
        <v>221</v>
      </c>
    </row>
    <row r="192" ht="22" customHeight="1" spans="1:11">
      <c r="A192" s="174" t="s">
        <v>21</v>
      </c>
      <c r="B192" s="174" t="s">
        <v>222</v>
      </c>
      <c r="C192" s="174" t="s">
        <v>21</v>
      </c>
      <c r="D192" s="174" t="s">
        <v>223</v>
      </c>
      <c r="E192" s="176" t="str">
        <f>签到!K10</f>
        <v>角色抽卡券</v>
      </c>
      <c r="F192" s="174">
        <v>1</v>
      </c>
      <c r="G192" s="176" t="str">
        <f t="shared" si="13"/>
        <v>角色抽卡券普通</v>
      </c>
      <c r="H192" s="176">
        <f>签到!L10*F192</f>
        <v>2</v>
      </c>
      <c r="I192" s="176">
        <f t="shared" si="14"/>
        <v>300</v>
      </c>
      <c r="J192" s="174" t="s">
        <v>36</v>
      </c>
      <c r="K192" s="174" t="s">
        <v>224</v>
      </c>
    </row>
    <row r="193" ht="22" customHeight="1" spans="1:11">
      <c r="A193" s="174" t="s">
        <v>21</v>
      </c>
      <c r="B193" s="174" t="s">
        <v>222</v>
      </c>
      <c r="C193" s="174" t="s">
        <v>21</v>
      </c>
      <c r="D193" s="174" t="s">
        <v>157</v>
      </c>
      <c r="E193" s="176" t="str">
        <f>签到!K9</f>
        <v>钻石</v>
      </c>
      <c r="F193" s="174">
        <v>1</v>
      </c>
      <c r="G193" s="176" t="str">
        <f t="shared" si="13"/>
        <v>钻石</v>
      </c>
      <c r="H193" s="176">
        <f>签到!L9*F193</f>
        <v>100</v>
      </c>
      <c r="I193" s="176">
        <f t="shared" si="14"/>
        <v>100</v>
      </c>
      <c r="J193" s="174" t="s">
        <v>36</v>
      </c>
      <c r="K193" s="174" t="s">
        <v>224</v>
      </c>
    </row>
    <row r="194" ht="22" customHeight="1" spans="1:11">
      <c r="A194" s="174" t="s">
        <v>22</v>
      </c>
      <c r="B194" s="174" t="s">
        <v>225</v>
      </c>
      <c r="C194" s="174" t="s">
        <v>226</v>
      </c>
      <c r="D194" s="174" t="s">
        <v>227</v>
      </c>
      <c r="E194" s="265" t="str">
        <f>'配置页-通行证'!L2</f>
        <v>钻石</v>
      </c>
      <c r="F194" s="174">
        <v>1</v>
      </c>
      <c r="G194" s="265" t="str">
        <f t="shared" si="13"/>
        <v>钻石</v>
      </c>
      <c r="H194" s="265">
        <f>'配置页-通行证'!N2*F194</f>
        <v>680</v>
      </c>
      <c r="I194" s="265">
        <f t="shared" si="14"/>
        <v>680</v>
      </c>
      <c r="J194" s="174" t="s">
        <v>228</v>
      </c>
      <c r="K194" s="174" t="s">
        <v>229</v>
      </c>
    </row>
    <row r="195" ht="22" customHeight="1" spans="1:11">
      <c r="A195" s="174" t="s">
        <v>23</v>
      </c>
      <c r="B195" s="174" t="s">
        <v>230</v>
      </c>
      <c r="C195" s="174" t="s">
        <v>231</v>
      </c>
      <c r="D195" s="174" t="s">
        <v>232</v>
      </c>
      <c r="E195" s="176" t="s">
        <v>5</v>
      </c>
      <c r="F195" s="174">
        <v>1</v>
      </c>
      <c r="G195" s="176" t="str">
        <f t="shared" si="13"/>
        <v>钻石</v>
      </c>
      <c r="H195" s="176">
        <f>高难主线关卡!AC10*F195</f>
        <v>50</v>
      </c>
      <c r="I195" s="176">
        <f t="shared" si="14"/>
        <v>50</v>
      </c>
      <c r="J195" s="174" t="s">
        <v>36</v>
      </c>
      <c r="K195" s="174" t="s">
        <v>233</v>
      </c>
    </row>
    <row r="196" ht="22" customHeight="1" spans="1:11">
      <c r="A196" s="174" t="s">
        <v>23</v>
      </c>
      <c r="B196" s="174" t="s">
        <v>230</v>
      </c>
      <c r="C196" s="174" t="s">
        <v>231</v>
      </c>
      <c r="D196" s="174" t="s">
        <v>234</v>
      </c>
      <c r="E196" s="176" t="s">
        <v>5</v>
      </c>
      <c r="F196" s="174">
        <v>1</v>
      </c>
      <c r="G196" s="176" t="str">
        <f t="shared" si="13"/>
        <v>钻石</v>
      </c>
      <c r="H196" s="176">
        <f>高难主线关卡!AC11*F196</f>
        <v>50</v>
      </c>
      <c r="I196" s="176">
        <f t="shared" si="14"/>
        <v>50</v>
      </c>
      <c r="J196" s="174" t="s">
        <v>36</v>
      </c>
      <c r="K196" s="174" t="s">
        <v>233</v>
      </c>
    </row>
    <row r="197" ht="22" customHeight="1" spans="1:11">
      <c r="A197" s="174" t="s">
        <v>23</v>
      </c>
      <c r="B197" s="174" t="s">
        <v>230</v>
      </c>
      <c r="C197" s="174" t="s">
        <v>231</v>
      </c>
      <c r="D197" s="174" t="s">
        <v>235</v>
      </c>
      <c r="E197" s="176" t="s">
        <v>5</v>
      </c>
      <c r="F197" s="174">
        <v>1</v>
      </c>
      <c r="G197" s="176" t="str">
        <f t="shared" si="13"/>
        <v>钻石</v>
      </c>
      <c r="H197" s="176">
        <f>高难主线关卡!AC12*F197</f>
        <v>50</v>
      </c>
      <c r="I197" s="176">
        <f t="shared" si="14"/>
        <v>50</v>
      </c>
      <c r="J197" s="174" t="s">
        <v>36</v>
      </c>
      <c r="K197" s="174" t="s">
        <v>233</v>
      </c>
    </row>
    <row r="198" ht="22" customHeight="1" spans="1:11">
      <c r="A198" s="174" t="s">
        <v>23</v>
      </c>
      <c r="B198" s="174" t="s">
        <v>230</v>
      </c>
      <c r="C198" s="174" t="s">
        <v>231</v>
      </c>
      <c r="D198" s="174" t="s">
        <v>236</v>
      </c>
      <c r="E198" s="176" t="s">
        <v>5</v>
      </c>
      <c r="F198" s="174">
        <v>1</v>
      </c>
      <c r="G198" s="176" t="str">
        <f t="shared" si="13"/>
        <v>钻石</v>
      </c>
      <c r="H198" s="176">
        <f>高难主线关卡!AC13*F198</f>
        <v>50</v>
      </c>
      <c r="I198" s="176">
        <f t="shared" si="14"/>
        <v>50</v>
      </c>
      <c r="J198" s="174" t="s">
        <v>36</v>
      </c>
      <c r="K198" s="174" t="s">
        <v>233</v>
      </c>
    </row>
    <row r="199" ht="22" customHeight="1" spans="1:11">
      <c r="A199" s="174" t="s">
        <v>23</v>
      </c>
      <c r="B199" s="174" t="s">
        <v>230</v>
      </c>
      <c r="C199" s="174" t="s">
        <v>231</v>
      </c>
      <c r="D199" s="174" t="s">
        <v>237</v>
      </c>
      <c r="E199" s="176" t="s">
        <v>5</v>
      </c>
      <c r="F199" s="174">
        <v>1</v>
      </c>
      <c r="G199" s="176" t="str">
        <f t="shared" si="13"/>
        <v>钻石</v>
      </c>
      <c r="H199" s="176">
        <f>高难主线关卡!AC14*F199</f>
        <v>50</v>
      </c>
      <c r="I199" s="176">
        <f t="shared" si="14"/>
        <v>50</v>
      </c>
      <c r="J199" s="174" t="s">
        <v>36</v>
      </c>
      <c r="K199" s="174" t="s">
        <v>233</v>
      </c>
    </row>
    <row r="200" ht="22" customHeight="1" spans="1:11">
      <c r="A200" s="174" t="s">
        <v>23</v>
      </c>
      <c r="B200" s="174" t="s">
        <v>230</v>
      </c>
      <c r="C200" s="174" t="s">
        <v>231</v>
      </c>
      <c r="D200" s="174" t="s">
        <v>238</v>
      </c>
      <c r="E200" s="176" t="s">
        <v>5</v>
      </c>
      <c r="F200" s="174">
        <v>1</v>
      </c>
      <c r="G200" s="176" t="str">
        <f t="shared" si="13"/>
        <v>钻石</v>
      </c>
      <c r="H200" s="176">
        <f>高难主线关卡!AC15*F200</f>
        <v>50</v>
      </c>
      <c r="I200" s="176">
        <f t="shared" si="14"/>
        <v>50</v>
      </c>
      <c r="J200" s="174" t="s">
        <v>36</v>
      </c>
      <c r="K200" s="174" t="s">
        <v>233</v>
      </c>
    </row>
    <row r="201" ht="22" customHeight="1" spans="1:11">
      <c r="A201" s="174" t="s">
        <v>23</v>
      </c>
      <c r="B201" s="174" t="s">
        <v>230</v>
      </c>
      <c r="C201" s="174" t="s">
        <v>231</v>
      </c>
      <c r="D201" s="174" t="s">
        <v>239</v>
      </c>
      <c r="E201" s="176" t="s">
        <v>5</v>
      </c>
      <c r="F201" s="174">
        <v>1</v>
      </c>
      <c r="G201" s="176" t="str">
        <f t="shared" si="13"/>
        <v>钻石</v>
      </c>
      <c r="H201" s="176">
        <f>高难主线关卡!AC16*F201</f>
        <v>50</v>
      </c>
      <c r="I201" s="176">
        <f t="shared" si="14"/>
        <v>50</v>
      </c>
      <c r="J201" s="174" t="s">
        <v>36</v>
      </c>
      <c r="K201" s="174" t="s">
        <v>233</v>
      </c>
    </row>
    <row r="202" ht="22" customHeight="1" spans="1:11">
      <c r="A202" s="174" t="s">
        <v>23</v>
      </c>
      <c r="B202" s="174" t="s">
        <v>230</v>
      </c>
      <c r="C202" s="174" t="s">
        <v>231</v>
      </c>
      <c r="D202" s="174" t="s">
        <v>240</v>
      </c>
      <c r="E202" s="176" t="s">
        <v>5</v>
      </c>
      <c r="F202" s="174">
        <v>1</v>
      </c>
      <c r="G202" s="176" t="str">
        <f t="shared" si="13"/>
        <v>钻石</v>
      </c>
      <c r="H202" s="176">
        <f>高难主线关卡!AC17*F202</f>
        <v>50</v>
      </c>
      <c r="I202" s="176">
        <f t="shared" si="14"/>
        <v>50</v>
      </c>
      <c r="J202" s="174" t="s">
        <v>36</v>
      </c>
      <c r="K202" s="174" t="s">
        <v>233</v>
      </c>
    </row>
    <row r="203" ht="22" customHeight="1" spans="1:11">
      <c r="A203" s="174" t="s">
        <v>23</v>
      </c>
      <c r="B203" s="174" t="s">
        <v>230</v>
      </c>
      <c r="C203" s="174" t="s">
        <v>231</v>
      </c>
      <c r="D203" s="174" t="s">
        <v>241</v>
      </c>
      <c r="E203" s="176" t="s">
        <v>5</v>
      </c>
      <c r="F203" s="174">
        <v>1</v>
      </c>
      <c r="G203" s="176" t="str">
        <f t="shared" si="13"/>
        <v>钻石</v>
      </c>
      <c r="H203" s="176">
        <f>高难主线关卡!AC18*F203</f>
        <v>50</v>
      </c>
      <c r="I203" s="176">
        <f t="shared" si="14"/>
        <v>50</v>
      </c>
      <c r="J203" s="174" t="s">
        <v>36</v>
      </c>
      <c r="K203" s="174" t="s">
        <v>233</v>
      </c>
    </row>
    <row r="204" ht="22" customHeight="1" spans="1:11">
      <c r="A204" s="174" t="s">
        <v>23</v>
      </c>
      <c r="B204" s="174" t="s">
        <v>230</v>
      </c>
      <c r="C204" s="174" t="s">
        <v>231</v>
      </c>
      <c r="D204" s="174" t="s">
        <v>242</v>
      </c>
      <c r="E204" s="176" t="s">
        <v>5</v>
      </c>
      <c r="F204" s="174">
        <v>1</v>
      </c>
      <c r="G204" s="176" t="str">
        <f t="shared" si="13"/>
        <v>钻石</v>
      </c>
      <c r="H204" s="176">
        <f>高难主线关卡!AC19*F204</f>
        <v>50</v>
      </c>
      <c r="I204" s="176">
        <f t="shared" si="14"/>
        <v>50</v>
      </c>
      <c r="J204" s="174" t="s">
        <v>36</v>
      </c>
      <c r="K204" s="174" t="s">
        <v>233</v>
      </c>
    </row>
    <row r="205" ht="22" customHeight="1" spans="1:11">
      <c r="A205" s="174" t="s">
        <v>23</v>
      </c>
      <c r="B205" s="174" t="s">
        <v>230</v>
      </c>
      <c r="C205" s="174" t="s">
        <v>231</v>
      </c>
      <c r="D205" s="174" t="s">
        <v>243</v>
      </c>
      <c r="E205" s="176" t="s">
        <v>5</v>
      </c>
      <c r="F205" s="174">
        <v>1</v>
      </c>
      <c r="G205" s="176" t="str">
        <f t="shared" si="13"/>
        <v>钻石</v>
      </c>
      <c r="H205" s="176">
        <f>高难主线关卡!AC20*F205</f>
        <v>50</v>
      </c>
      <c r="I205" s="176">
        <f t="shared" si="14"/>
        <v>50</v>
      </c>
      <c r="J205" s="174" t="s">
        <v>36</v>
      </c>
      <c r="K205" s="174" t="s">
        <v>233</v>
      </c>
    </row>
    <row r="206" ht="22" customHeight="1" spans="1:11">
      <c r="A206" s="174" t="s">
        <v>23</v>
      </c>
      <c r="B206" s="174" t="s">
        <v>230</v>
      </c>
      <c r="C206" s="174" t="s">
        <v>231</v>
      </c>
      <c r="D206" s="174" t="s">
        <v>244</v>
      </c>
      <c r="E206" s="176" t="s">
        <v>5</v>
      </c>
      <c r="F206" s="174">
        <v>1</v>
      </c>
      <c r="G206" s="176" t="str">
        <f t="shared" si="13"/>
        <v>钻石</v>
      </c>
      <c r="H206" s="176">
        <f>高难主线关卡!AC21*F206</f>
        <v>50</v>
      </c>
      <c r="I206" s="176">
        <f t="shared" si="14"/>
        <v>50</v>
      </c>
      <c r="J206" s="174" t="s">
        <v>36</v>
      </c>
      <c r="K206" s="174" t="s">
        <v>233</v>
      </c>
    </row>
    <row r="207" ht="22" customHeight="1" spans="1:11">
      <c r="A207" s="174" t="s">
        <v>23</v>
      </c>
      <c r="B207" s="174" t="s">
        <v>230</v>
      </c>
      <c r="C207" s="174" t="s">
        <v>231</v>
      </c>
      <c r="D207" s="174" t="s">
        <v>245</v>
      </c>
      <c r="E207" s="176" t="s">
        <v>5</v>
      </c>
      <c r="F207" s="174">
        <v>1</v>
      </c>
      <c r="G207" s="176" t="str">
        <f t="shared" si="13"/>
        <v>钻石</v>
      </c>
      <c r="H207" s="176">
        <f>高难主线关卡!AC22*F207</f>
        <v>50</v>
      </c>
      <c r="I207" s="176">
        <f t="shared" si="14"/>
        <v>50</v>
      </c>
      <c r="J207" s="174" t="s">
        <v>36</v>
      </c>
      <c r="K207" s="174" t="s">
        <v>233</v>
      </c>
    </row>
    <row r="208" ht="22" customHeight="1" spans="1:11">
      <c r="A208" s="174" t="s">
        <v>23</v>
      </c>
      <c r="B208" s="174" t="s">
        <v>230</v>
      </c>
      <c r="C208" s="174" t="s">
        <v>231</v>
      </c>
      <c r="D208" s="174" t="s">
        <v>246</v>
      </c>
      <c r="E208" s="176" t="s">
        <v>5</v>
      </c>
      <c r="F208" s="174">
        <v>1</v>
      </c>
      <c r="G208" s="176" t="str">
        <f t="shared" si="13"/>
        <v>钻石</v>
      </c>
      <c r="H208" s="176">
        <f>高难主线关卡!AC8*F208</f>
        <v>50</v>
      </c>
      <c r="I208" s="176">
        <f t="shared" si="14"/>
        <v>50</v>
      </c>
      <c r="J208" s="174" t="s">
        <v>36</v>
      </c>
      <c r="K208" s="174" t="s">
        <v>233</v>
      </c>
    </row>
    <row r="209" ht="22" customHeight="1" spans="1:11">
      <c r="A209" s="174" t="s">
        <v>23</v>
      </c>
      <c r="B209" s="174" t="s">
        <v>230</v>
      </c>
      <c r="C209" s="174" t="s">
        <v>231</v>
      </c>
      <c r="D209" s="174" t="s">
        <v>247</v>
      </c>
      <c r="E209" s="176" t="s">
        <v>5</v>
      </c>
      <c r="F209" s="174">
        <v>1</v>
      </c>
      <c r="G209" s="176" t="str">
        <f t="shared" si="13"/>
        <v>钻石</v>
      </c>
      <c r="H209" s="176">
        <f>高难主线关卡!AC9*F209</f>
        <v>50</v>
      </c>
      <c r="I209" s="176">
        <f t="shared" si="14"/>
        <v>50</v>
      </c>
      <c r="J209" s="174" t="s">
        <v>36</v>
      </c>
      <c r="K209" s="174" t="s">
        <v>233</v>
      </c>
    </row>
    <row r="210" ht="22" customHeight="1" spans="1:11">
      <c r="A210" s="174" t="s">
        <v>23</v>
      </c>
      <c r="B210" s="174" t="s">
        <v>248</v>
      </c>
      <c r="C210" s="174" t="s">
        <v>231</v>
      </c>
      <c r="D210" s="174" t="s">
        <v>90</v>
      </c>
      <c r="E210" s="176" t="str">
        <f>高难主线关卡!AG8</f>
        <v>角色抽卡券限时</v>
      </c>
      <c r="F210" s="174">
        <v>1</v>
      </c>
      <c r="G210" s="176" t="str">
        <f t="shared" si="13"/>
        <v>角色抽卡券限时</v>
      </c>
      <c r="H210" s="176">
        <f>高难主线关卡!AH8*F210</f>
        <v>1</v>
      </c>
      <c r="I210" s="176">
        <f t="shared" si="14"/>
        <v>150</v>
      </c>
      <c r="J210" s="174" t="s">
        <v>36</v>
      </c>
      <c r="K210" s="174" t="s">
        <v>249</v>
      </c>
    </row>
    <row r="211" ht="22" customHeight="1" spans="1:11">
      <c r="A211" s="174" t="s">
        <v>23</v>
      </c>
      <c r="B211" s="174" t="s">
        <v>248</v>
      </c>
      <c r="C211" s="174" t="s">
        <v>231</v>
      </c>
      <c r="D211" s="174" t="s">
        <v>250</v>
      </c>
      <c r="E211" s="176" t="str">
        <f>高难主线关卡!AG9</f>
        <v>角色抽卡券限时</v>
      </c>
      <c r="F211" s="174">
        <v>1</v>
      </c>
      <c r="G211" s="176" t="str">
        <f t="shared" si="13"/>
        <v>角色抽卡券限时</v>
      </c>
      <c r="H211" s="176">
        <f>高难主线关卡!AH9*F211</f>
        <v>1</v>
      </c>
      <c r="I211" s="176">
        <f t="shared" si="14"/>
        <v>150</v>
      </c>
      <c r="J211" s="174" t="s">
        <v>36</v>
      </c>
      <c r="K211" s="174" t="s">
        <v>249</v>
      </c>
    </row>
    <row r="212" ht="33" customHeight="1" spans="1:11">
      <c r="A212" s="174" t="s">
        <v>23</v>
      </c>
      <c r="B212" s="174" t="s">
        <v>248</v>
      </c>
      <c r="C212" s="174" t="s">
        <v>231</v>
      </c>
      <c r="D212" s="174" t="s">
        <v>251</v>
      </c>
      <c r="E212" s="176" t="str">
        <f>高难主线关卡!AI9</f>
        <v>映射之匙</v>
      </c>
      <c r="F212" s="174">
        <v>1</v>
      </c>
      <c r="G212" s="176" t="str">
        <f t="shared" si="13"/>
        <v/>
      </c>
      <c r="H212" s="176">
        <f>高难主线关卡!AJ9*F212</f>
        <v>3</v>
      </c>
      <c r="I212" s="176">
        <f t="shared" si="14"/>
        <v>450</v>
      </c>
      <c r="J212" s="174" t="s">
        <v>36</v>
      </c>
      <c r="K212" s="174" t="s">
        <v>249</v>
      </c>
    </row>
    <row r="213" ht="33" customHeight="1" spans="1:11">
      <c r="A213" s="174" t="s">
        <v>23</v>
      </c>
      <c r="B213" s="174" t="s">
        <v>248</v>
      </c>
      <c r="C213" s="174" t="s">
        <v>231</v>
      </c>
      <c r="D213" s="174" t="s">
        <v>252</v>
      </c>
      <c r="E213" s="176" t="str">
        <f>高难主线关卡!AG10</f>
        <v>角色抽卡券限时</v>
      </c>
      <c r="F213" s="174">
        <v>1</v>
      </c>
      <c r="G213" s="176" t="str">
        <f t="shared" si="13"/>
        <v>角色抽卡券限时</v>
      </c>
      <c r="H213" s="176">
        <f>高难主线关卡!AH10*F213</f>
        <v>3</v>
      </c>
      <c r="I213" s="176">
        <f t="shared" si="14"/>
        <v>450</v>
      </c>
      <c r="J213" s="174" t="s">
        <v>36</v>
      </c>
      <c r="K213" s="174" t="s">
        <v>249</v>
      </c>
    </row>
    <row r="214" ht="33" customHeight="1" spans="1:11">
      <c r="A214" s="174" t="s">
        <v>23</v>
      </c>
      <c r="B214" s="174" t="s">
        <v>248</v>
      </c>
      <c r="C214" s="174" t="s">
        <v>231</v>
      </c>
      <c r="D214" s="174" t="s">
        <v>253</v>
      </c>
      <c r="E214" s="176" t="str">
        <f>高难主线关卡!AI10</f>
        <v>映射之匙</v>
      </c>
      <c r="F214" s="174">
        <v>1</v>
      </c>
      <c r="G214" s="176" t="str">
        <f t="shared" si="13"/>
        <v/>
      </c>
      <c r="H214" s="176">
        <f>高难主线关卡!AJ10*F214</f>
        <v>5</v>
      </c>
      <c r="I214" s="176">
        <f t="shared" si="14"/>
        <v>750</v>
      </c>
      <c r="J214" s="174" t="s">
        <v>36</v>
      </c>
      <c r="K214" s="174" t="s">
        <v>249</v>
      </c>
    </row>
    <row r="215" ht="33" customHeight="1" spans="1:11">
      <c r="A215" s="174" t="s">
        <v>23</v>
      </c>
      <c r="B215" s="174" t="s">
        <v>248</v>
      </c>
      <c r="C215" s="174" t="s">
        <v>231</v>
      </c>
      <c r="D215" s="174" t="s">
        <v>254</v>
      </c>
      <c r="E215" s="176" t="str">
        <f>高难主线关卡!AG11</f>
        <v>角色抽卡券限时</v>
      </c>
      <c r="F215" s="174">
        <v>1</v>
      </c>
      <c r="G215" s="176" t="str">
        <f t="shared" si="13"/>
        <v>角色抽卡券限时</v>
      </c>
      <c r="H215" s="176">
        <f>高难主线关卡!AH11*F215</f>
        <v>1</v>
      </c>
      <c r="I215" s="176">
        <f t="shared" si="14"/>
        <v>150</v>
      </c>
      <c r="J215" s="174" t="s">
        <v>36</v>
      </c>
      <c r="K215" s="174" t="s">
        <v>249</v>
      </c>
    </row>
    <row r="216" ht="33" customHeight="1" spans="1:11">
      <c r="A216" s="174" t="s">
        <v>23</v>
      </c>
      <c r="B216" s="174" t="s">
        <v>248</v>
      </c>
      <c r="C216" s="174" t="s">
        <v>231</v>
      </c>
      <c r="D216" s="174" t="s">
        <v>83</v>
      </c>
      <c r="E216" s="176" t="str">
        <f>高难主线关卡!AG12</f>
        <v>角色抽卡券限时</v>
      </c>
      <c r="F216" s="174">
        <v>1</v>
      </c>
      <c r="G216" s="176" t="str">
        <f t="shared" ref="G216:G224" si="15">IF(E216="钻石","钻石",IF(ISNUMBER(SEARCH("角色抽卡券限时",E216)),"角色抽卡券限时",IF(ISNUMBER(SEARCH("专武抽卡券限时",E216)),"专武抽卡券限时",IF(ISNUMBER(SEARCH("角色抽卡券",E216)),"角色抽卡券普通",IF(ISNUMBER(SEARCH("专武抽卡券",E216)),"专武抽卡券普通","")))))</f>
        <v>角色抽卡券限时</v>
      </c>
      <c r="H216" s="176">
        <f>高难主线关卡!AH12*F216</f>
        <v>1</v>
      </c>
      <c r="I216" s="176">
        <f t="shared" ref="I216:I224" si="16">IF(G216="钻石",H216,H216*150)</f>
        <v>150</v>
      </c>
      <c r="J216" s="174" t="s">
        <v>36</v>
      </c>
      <c r="K216" s="174" t="s">
        <v>249</v>
      </c>
    </row>
    <row r="217" ht="33" customHeight="1" spans="1:11">
      <c r="A217" s="174" t="s">
        <v>23</v>
      </c>
      <c r="B217" s="174" t="s">
        <v>248</v>
      </c>
      <c r="C217" s="174" t="s">
        <v>231</v>
      </c>
      <c r="D217" s="174" t="s">
        <v>255</v>
      </c>
      <c r="E217" s="176" t="str">
        <f>高难主线关卡!AI12</f>
        <v>映射之匙</v>
      </c>
      <c r="F217" s="174">
        <v>1</v>
      </c>
      <c r="G217" s="176" t="str">
        <f t="shared" si="15"/>
        <v/>
      </c>
      <c r="H217" s="176">
        <f>高难主线关卡!AJ12*F217</f>
        <v>3</v>
      </c>
      <c r="I217" s="176">
        <f t="shared" si="16"/>
        <v>450</v>
      </c>
      <c r="J217" s="174" t="s">
        <v>36</v>
      </c>
      <c r="K217" s="174" t="s">
        <v>249</v>
      </c>
    </row>
    <row r="218" ht="33" customHeight="1" spans="1:11">
      <c r="A218" s="174" t="s">
        <v>23</v>
      </c>
      <c r="B218" s="174" t="s">
        <v>248</v>
      </c>
      <c r="C218" s="174" t="s">
        <v>231</v>
      </c>
      <c r="D218" s="174" t="s">
        <v>256</v>
      </c>
      <c r="E218" s="176" t="str">
        <f>高难主线关卡!AG13</f>
        <v>角色抽卡券限时</v>
      </c>
      <c r="F218" s="174">
        <v>1</v>
      </c>
      <c r="G218" s="176" t="str">
        <f t="shared" si="15"/>
        <v>角色抽卡券限时</v>
      </c>
      <c r="H218" s="176">
        <f>高难主线关卡!AH13*F218</f>
        <v>3</v>
      </c>
      <c r="I218" s="176">
        <f t="shared" si="16"/>
        <v>450</v>
      </c>
      <c r="J218" s="174" t="s">
        <v>36</v>
      </c>
      <c r="K218" s="174" t="s">
        <v>249</v>
      </c>
    </row>
    <row r="219" ht="33" customHeight="1" spans="1:11">
      <c r="A219" s="174" t="s">
        <v>23</v>
      </c>
      <c r="B219" s="174" t="s">
        <v>248</v>
      </c>
      <c r="C219" s="174" t="s">
        <v>231</v>
      </c>
      <c r="D219" s="174" t="s">
        <v>257</v>
      </c>
      <c r="E219" s="176" t="str">
        <f>高难主线关卡!AI13</f>
        <v>映射之匙</v>
      </c>
      <c r="F219" s="174">
        <v>1</v>
      </c>
      <c r="G219" s="176" t="str">
        <f t="shared" si="15"/>
        <v/>
      </c>
      <c r="H219" s="176">
        <f>高难主线关卡!AJ13*F219</f>
        <v>5</v>
      </c>
      <c r="I219" s="176">
        <f t="shared" si="16"/>
        <v>750</v>
      </c>
      <c r="J219" s="174" t="s">
        <v>36</v>
      </c>
      <c r="K219" s="174" t="s">
        <v>249</v>
      </c>
    </row>
    <row r="220" ht="33" customHeight="1" spans="1:11">
      <c r="A220" s="174" t="s">
        <v>23</v>
      </c>
      <c r="B220" s="174" t="s">
        <v>248</v>
      </c>
      <c r="C220" s="174" t="s">
        <v>231</v>
      </c>
      <c r="D220" s="174" t="s">
        <v>258</v>
      </c>
      <c r="E220" s="176" t="str">
        <f>高难主线关卡!AG14</f>
        <v>角色抽卡券限时</v>
      </c>
      <c r="F220" s="174">
        <v>1</v>
      </c>
      <c r="G220" s="176" t="str">
        <f t="shared" si="15"/>
        <v>角色抽卡券限时</v>
      </c>
      <c r="H220" s="176">
        <f>高难主线关卡!AH14*F220</f>
        <v>1</v>
      </c>
      <c r="I220" s="176">
        <f t="shared" si="16"/>
        <v>150</v>
      </c>
      <c r="J220" s="174" t="s">
        <v>36</v>
      </c>
      <c r="K220" s="174" t="s">
        <v>249</v>
      </c>
    </row>
    <row r="221" ht="33" customHeight="1" spans="1:11">
      <c r="A221" s="174" t="s">
        <v>23</v>
      </c>
      <c r="B221" s="174" t="s">
        <v>248</v>
      </c>
      <c r="C221" s="174" t="s">
        <v>231</v>
      </c>
      <c r="D221" s="174" t="s">
        <v>259</v>
      </c>
      <c r="E221" s="176" t="str">
        <f>高难主线关卡!AG15</f>
        <v>角色抽卡券限时</v>
      </c>
      <c r="F221" s="174">
        <v>1</v>
      </c>
      <c r="G221" s="176" t="str">
        <f t="shared" si="15"/>
        <v>角色抽卡券限时</v>
      </c>
      <c r="H221" s="176">
        <f>高难主线关卡!AH15*F221</f>
        <v>1</v>
      </c>
      <c r="I221" s="176">
        <f t="shared" si="16"/>
        <v>150</v>
      </c>
      <c r="J221" s="174" t="s">
        <v>36</v>
      </c>
      <c r="K221" s="174" t="s">
        <v>249</v>
      </c>
    </row>
    <row r="222" ht="33" customHeight="1" spans="1:11">
      <c r="A222" s="174" t="s">
        <v>23</v>
      </c>
      <c r="B222" s="174" t="s">
        <v>248</v>
      </c>
      <c r="C222" s="174" t="s">
        <v>231</v>
      </c>
      <c r="D222" s="174" t="s">
        <v>260</v>
      </c>
      <c r="E222" s="176" t="str">
        <f>高难主线关卡!AI15</f>
        <v>映射之匙</v>
      </c>
      <c r="F222" s="174">
        <v>1</v>
      </c>
      <c r="G222" s="176" t="str">
        <f t="shared" si="15"/>
        <v/>
      </c>
      <c r="H222" s="176">
        <f>高难主线关卡!AJ15*F222</f>
        <v>3</v>
      </c>
      <c r="I222" s="176">
        <f t="shared" si="16"/>
        <v>450</v>
      </c>
      <c r="J222" s="174" t="s">
        <v>36</v>
      </c>
      <c r="K222" s="174" t="s">
        <v>249</v>
      </c>
    </row>
    <row r="223" ht="33" customHeight="1" spans="1:11">
      <c r="A223" s="174" t="s">
        <v>23</v>
      </c>
      <c r="B223" s="174" t="s">
        <v>248</v>
      </c>
      <c r="C223" s="174" t="s">
        <v>231</v>
      </c>
      <c r="D223" s="174" t="s">
        <v>261</v>
      </c>
      <c r="E223" s="176" t="str">
        <f>高难主线关卡!AG16</f>
        <v>角色抽卡券限时</v>
      </c>
      <c r="F223" s="174">
        <v>1</v>
      </c>
      <c r="G223" s="176" t="str">
        <f t="shared" si="15"/>
        <v>角色抽卡券限时</v>
      </c>
      <c r="H223" s="176">
        <f>高难主线关卡!AH16*F223</f>
        <v>3</v>
      </c>
      <c r="I223" s="176">
        <f t="shared" si="16"/>
        <v>450</v>
      </c>
      <c r="J223" s="174" t="s">
        <v>36</v>
      </c>
      <c r="K223" s="174" t="s">
        <v>249</v>
      </c>
    </row>
    <row r="224" ht="33" customHeight="1" spans="1:11">
      <c r="A224" s="174" t="s">
        <v>23</v>
      </c>
      <c r="B224" s="174" t="s">
        <v>248</v>
      </c>
      <c r="C224" s="174" t="s">
        <v>231</v>
      </c>
      <c r="D224" s="174" t="s">
        <v>262</v>
      </c>
      <c r="E224" s="176" t="str">
        <f>高难主线关卡!AI16</f>
        <v>映射之匙</v>
      </c>
      <c r="F224" s="174">
        <v>1</v>
      </c>
      <c r="G224" s="176" t="str">
        <f t="shared" si="15"/>
        <v/>
      </c>
      <c r="H224" s="176">
        <f>高难主线关卡!AJ16*F224</f>
        <v>5</v>
      </c>
      <c r="I224" s="176">
        <f t="shared" si="16"/>
        <v>750</v>
      </c>
      <c r="J224" s="174" t="s">
        <v>36</v>
      </c>
      <c r="K224" s="174" t="s">
        <v>249</v>
      </c>
    </row>
  </sheetData>
  <autoFilter xmlns:etc="http://www.wps.cn/officeDocument/2017/etCustomData" ref="A23:K224" etc:filterBottomFollowUsedRange="0">
    <extLst/>
  </autoFilter>
  <mergeCells count="4">
    <mergeCell ref="A1:J1"/>
    <mergeCell ref="A2:J2"/>
    <mergeCell ref="A3:J3"/>
    <mergeCell ref="A4:J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6"/>
  <sheetViews>
    <sheetView workbookViewId="0">
      <selection activeCell="F27" sqref="F27"/>
    </sheetView>
  </sheetViews>
  <sheetFormatPr defaultColWidth="9" defaultRowHeight="13.5"/>
  <cols>
    <col min="1" max="1" width="14" style="14" customWidth="1"/>
    <col min="2" max="2" width="16" style="14" customWidth="1"/>
    <col min="3" max="3" width="18" style="14" customWidth="1"/>
    <col min="4" max="4" width="14" style="14" customWidth="1"/>
    <col min="5" max="6" width="20" style="14" customWidth="1"/>
    <col min="7" max="7" width="12" style="14" customWidth="1"/>
    <col min="8" max="8" width="14" style="14" customWidth="1"/>
    <col min="9" max="9" width="34" style="14" customWidth="1"/>
  </cols>
  <sheetData>
    <row r="1" ht="22" customHeight="1" spans="1:9">
      <c r="A1" s="260" t="s">
        <v>263</v>
      </c>
    </row>
    <row r="2" ht="22" customHeight="1" spans="1:9">
      <c r="A2" s="261" t="s">
        <v>264</v>
      </c>
    </row>
    <row r="3" ht="22" customHeight="1"/>
    <row r="4" ht="22" customHeight="1" spans="1:9">
      <c r="A4" s="96" t="s">
        <v>4</v>
      </c>
      <c r="B4" s="96" t="s">
        <v>5</v>
      </c>
      <c r="C4" s="96" t="s">
        <v>6</v>
      </c>
      <c r="D4" s="96" t="s">
        <v>7</v>
      </c>
      <c r="E4" s="96" t="s">
        <v>8</v>
      </c>
      <c r="F4" s="96" t="s">
        <v>9</v>
      </c>
      <c r="G4" s="96" t="s">
        <v>10</v>
      </c>
      <c r="H4" s="96" t="s">
        <v>11</v>
      </c>
      <c r="I4" s="96" t="s">
        <v>13</v>
      </c>
    </row>
    <row r="5" ht="22" customHeight="1" spans="1:9">
      <c r="A5" s="83" t="s">
        <v>14</v>
      </c>
      <c r="B5" s="83">
        <f t="shared" ref="B5:B16" si="0">SUMIFS($G$20:$G$999,$A$20:$A$999,$A5,$F$20:$F$999,B$4)</f>
        <v>1500</v>
      </c>
      <c r="C5" s="83">
        <f t="shared" ref="C5:C16" si="1">SUMIFS($G$20:$G$999,$A$20:$A$999,$A5,$F$20:$F$999,C$4)</f>
        <v>20</v>
      </c>
      <c r="D5" s="83">
        <f t="shared" ref="D5:D16" si="2">SUMIFS($G$20:$G$999,$A$20:$A$999,$A5,$F$20:$F$999,D$4)</f>
        <v>10</v>
      </c>
      <c r="E5" s="83">
        <f t="shared" ref="E5:E16" si="3">SUMIFS($G$20:$G$999,$A$20:$A$999,$A5,$F$20:$F$999,E$4)</f>
        <v>0</v>
      </c>
      <c r="F5" s="83">
        <f t="shared" ref="F5:F16" si="4">SUMIFS($G$20:$G$999,$A$20:$A$999,$A5,$F$20:$F$999,F$4)</f>
        <v>0</v>
      </c>
      <c r="G5" s="83">
        <f t="shared" ref="G5:G16" si="5">SUM(C5:F5)</f>
        <v>30</v>
      </c>
      <c r="H5" s="83">
        <f t="shared" ref="H5:H16" si="6">SUMIFS($H$20:$H$999,$A$20:$A$999,$A5)</f>
        <v>6000</v>
      </c>
      <c r="I5" s="83" t="s">
        <v>265</v>
      </c>
    </row>
    <row r="6" ht="22" customHeight="1" spans="1:9">
      <c r="A6" s="83" t="s">
        <v>15</v>
      </c>
      <c r="B6" s="83">
        <f t="shared" si="0"/>
        <v>1600</v>
      </c>
      <c r="C6" s="83">
        <f t="shared" si="1"/>
        <v>0</v>
      </c>
      <c r="D6" s="83">
        <f t="shared" si="2"/>
        <v>0</v>
      </c>
      <c r="E6" s="83">
        <f t="shared" si="3"/>
        <v>9</v>
      </c>
      <c r="F6" s="83">
        <f t="shared" si="4"/>
        <v>0</v>
      </c>
      <c r="G6" s="83">
        <f t="shared" si="5"/>
        <v>9</v>
      </c>
      <c r="H6" s="83">
        <f t="shared" si="6"/>
        <v>2950</v>
      </c>
      <c r="I6" s="83" t="s">
        <v>265</v>
      </c>
    </row>
    <row r="7" ht="22" customHeight="1" spans="1:9">
      <c r="A7" s="83" t="s">
        <v>16</v>
      </c>
      <c r="B7" s="83">
        <f t="shared" si="0"/>
        <v>1280</v>
      </c>
      <c r="C7" s="83">
        <f t="shared" si="1"/>
        <v>0</v>
      </c>
      <c r="D7" s="83">
        <f t="shared" si="2"/>
        <v>0</v>
      </c>
      <c r="E7" s="83">
        <f t="shared" si="3"/>
        <v>40</v>
      </c>
      <c r="F7" s="83">
        <f t="shared" si="4"/>
        <v>10</v>
      </c>
      <c r="G7" s="83">
        <f t="shared" si="5"/>
        <v>50</v>
      </c>
      <c r="H7" s="83">
        <f t="shared" si="6"/>
        <v>8780</v>
      </c>
      <c r="I7" s="83" t="s">
        <v>265</v>
      </c>
    </row>
    <row r="8" ht="22" customHeight="1" spans="1:9">
      <c r="A8" s="83" t="s">
        <v>266</v>
      </c>
      <c r="B8" s="83">
        <f t="shared" si="0"/>
        <v>150</v>
      </c>
      <c r="C8" s="83">
        <f t="shared" si="1"/>
        <v>1</v>
      </c>
      <c r="D8" s="83">
        <f t="shared" si="2"/>
        <v>1</v>
      </c>
      <c r="E8" s="83">
        <f t="shared" si="3"/>
        <v>0</v>
      </c>
      <c r="F8" s="83">
        <f t="shared" si="4"/>
        <v>0</v>
      </c>
      <c r="G8" s="83">
        <f t="shared" si="5"/>
        <v>2</v>
      </c>
      <c r="H8" s="83">
        <f t="shared" si="6"/>
        <v>450</v>
      </c>
      <c r="I8" s="83" t="s">
        <v>265</v>
      </c>
    </row>
    <row r="9" ht="22" customHeight="1" spans="1:9">
      <c r="A9" s="83" t="s">
        <v>17</v>
      </c>
      <c r="B9" s="83">
        <f t="shared" si="0"/>
        <v>1254</v>
      </c>
      <c r="C9" s="83">
        <f t="shared" si="1"/>
        <v>4</v>
      </c>
      <c r="D9" s="83">
        <f t="shared" si="2"/>
        <v>4</v>
      </c>
      <c r="E9" s="83">
        <f t="shared" si="3"/>
        <v>38</v>
      </c>
      <c r="F9" s="83">
        <f t="shared" si="4"/>
        <v>26</v>
      </c>
      <c r="G9" s="83">
        <f t="shared" si="5"/>
        <v>72</v>
      </c>
      <c r="H9" s="83">
        <f t="shared" si="6"/>
        <v>12054</v>
      </c>
      <c r="I9" s="83" t="s">
        <v>265</v>
      </c>
    </row>
    <row r="10" ht="22" customHeight="1" spans="1:9">
      <c r="A10" s="83" t="s">
        <v>18</v>
      </c>
      <c r="B10" s="83" t="e">
        <f t="shared" si="0"/>
        <v>#REF!</v>
      </c>
      <c r="C10" s="83" t="e">
        <f t="shared" si="1"/>
        <v>#REF!</v>
      </c>
      <c r="D10" s="83">
        <f t="shared" si="2"/>
        <v>0</v>
      </c>
      <c r="E10" s="83" t="e">
        <f t="shared" si="3"/>
        <v>#REF!</v>
      </c>
      <c r="F10" s="83" t="e">
        <f t="shared" si="4"/>
        <v>#REF!</v>
      </c>
      <c r="G10" s="83" t="e">
        <f t="shared" si="5"/>
        <v>#REF!</v>
      </c>
      <c r="H10" s="83" t="e">
        <f t="shared" si="6"/>
        <v>#REF!</v>
      </c>
      <c r="I10" s="83" t="s">
        <v>265</v>
      </c>
    </row>
    <row r="11" ht="22" customHeight="1" spans="1:9">
      <c r="A11" s="83" t="s">
        <v>19</v>
      </c>
      <c r="B11" s="83">
        <f t="shared" si="0"/>
        <v>0</v>
      </c>
      <c r="C11" s="83">
        <f t="shared" si="1"/>
        <v>0</v>
      </c>
      <c r="D11" s="83">
        <f t="shared" si="2"/>
        <v>0</v>
      </c>
      <c r="E11" s="83">
        <f t="shared" si="3"/>
        <v>0</v>
      </c>
      <c r="F11" s="83">
        <f t="shared" si="4"/>
        <v>0</v>
      </c>
      <c r="G11" s="83">
        <f t="shared" si="5"/>
        <v>0</v>
      </c>
      <c r="H11" s="83">
        <f t="shared" si="6"/>
        <v>0</v>
      </c>
      <c r="I11" s="83" t="s">
        <v>265</v>
      </c>
    </row>
    <row r="12" ht="22" customHeight="1" spans="1:9">
      <c r="A12" s="83" t="s">
        <v>20</v>
      </c>
      <c r="B12" s="83">
        <f t="shared" si="0"/>
        <v>6100</v>
      </c>
      <c r="C12" s="83">
        <f t="shared" si="1"/>
        <v>0</v>
      </c>
      <c r="D12" s="83">
        <f t="shared" si="2"/>
        <v>0</v>
      </c>
      <c r="E12" s="83">
        <f t="shared" si="3"/>
        <v>0</v>
      </c>
      <c r="F12" s="83">
        <f t="shared" si="4"/>
        <v>0</v>
      </c>
      <c r="G12" s="83">
        <f t="shared" si="5"/>
        <v>0</v>
      </c>
      <c r="H12" s="83" t="e">
        <f t="shared" si="6"/>
        <v>#N/A</v>
      </c>
      <c r="I12" s="83" t="s">
        <v>265</v>
      </c>
    </row>
    <row r="13" ht="22" customHeight="1" spans="1:9">
      <c r="A13" s="83" t="s">
        <v>21</v>
      </c>
      <c r="B13" s="83">
        <f t="shared" si="0"/>
        <v>250</v>
      </c>
      <c r="C13" s="83">
        <f t="shared" si="1"/>
        <v>8</v>
      </c>
      <c r="D13" s="83">
        <f t="shared" si="2"/>
        <v>0</v>
      </c>
      <c r="E13" s="83">
        <f t="shared" si="3"/>
        <v>0</v>
      </c>
      <c r="F13" s="83">
        <f t="shared" si="4"/>
        <v>0</v>
      </c>
      <c r="G13" s="83">
        <f t="shared" si="5"/>
        <v>8</v>
      </c>
      <c r="H13" s="83">
        <f t="shared" si="6"/>
        <v>1450</v>
      </c>
      <c r="I13" s="83" t="s">
        <v>265</v>
      </c>
    </row>
    <row r="14" ht="22" customHeight="1" spans="1:9">
      <c r="A14" s="83" t="s">
        <v>22</v>
      </c>
      <c r="B14" s="83">
        <f t="shared" si="0"/>
        <v>2130</v>
      </c>
      <c r="C14" s="83">
        <f t="shared" si="1"/>
        <v>10</v>
      </c>
      <c r="D14" s="83">
        <f t="shared" si="2"/>
        <v>10</v>
      </c>
      <c r="E14" s="83">
        <f t="shared" si="3"/>
        <v>0</v>
      </c>
      <c r="F14" s="83">
        <f t="shared" si="4"/>
        <v>0</v>
      </c>
      <c r="G14" s="83">
        <f t="shared" si="5"/>
        <v>20</v>
      </c>
      <c r="H14" s="83">
        <f t="shared" si="6"/>
        <v>5130</v>
      </c>
      <c r="I14" s="83" t="s">
        <v>265</v>
      </c>
    </row>
    <row r="15" ht="22" customHeight="1" spans="1:9">
      <c r="A15" s="83" t="s">
        <v>23</v>
      </c>
      <c r="B15" s="83">
        <f t="shared" si="0"/>
        <v>750</v>
      </c>
      <c r="C15" s="83">
        <f t="shared" si="1"/>
        <v>0</v>
      </c>
      <c r="D15" s="83">
        <f t="shared" si="2"/>
        <v>0</v>
      </c>
      <c r="E15" s="83">
        <f t="shared" si="3"/>
        <v>15</v>
      </c>
      <c r="F15" s="83">
        <f t="shared" si="4"/>
        <v>0</v>
      </c>
      <c r="G15" s="83">
        <f t="shared" si="5"/>
        <v>15</v>
      </c>
      <c r="H15" s="83">
        <f t="shared" si="6"/>
        <v>3000</v>
      </c>
      <c r="I15" s="83" t="s">
        <v>265</v>
      </c>
    </row>
    <row r="16" ht="22" customHeight="1" spans="1:9">
      <c r="A16" s="83" t="s">
        <v>267</v>
      </c>
      <c r="B16" s="83">
        <f t="shared" si="0"/>
        <v>4750</v>
      </c>
      <c r="C16" s="83">
        <f t="shared" si="1"/>
        <v>0</v>
      </c>
      <c r="D16" s="83">
        <f t="shared" si="2"/>
        <v>15</v>
      </c>
      <c r="E16" s="83">
        <f t="shared" si="3"/>
        <v>0</v>
      </c>
      <c r="F16" s="83">
        <f t="shared" si="4"/>
        <v>0</v>
      </c>
      <c r="G16" s="83">
        <f t="shared" si="5"/>
        <v>15</v>
      </c>
      <c r="H16" s="83">
        <f t="shared" si="6"/>
        <v>7000</v>
      </c>
      <c r="I16" s="83" t="s">
        <v>268</v>
      </c>
    </row>
    <row r="17" ht="22" customHeight="1" spans="1:9">
      <c r="A17" s="83" t="s">
        <v>269</v>
      </c>
      <c r="B17" s="83" t="e">
        <f t="shared" ref="B17:H17" si="7">SUM(B5:B16)</f>
        <v>#REF!</v>
      </c>
      <c r="C17" s="83" t="e">
        <f t="shared" si="7"/>
        <v>#REF!</v>
      </c>
      <c r="D17" s="83">
        <f t="shared" si="7"/>
        <v>40</v>
      </c>
      <c r="E17" s="83" t="e">
        <f t="shared" si="7"/>
        <v>#REF!</v>
      </c>
      <c r="F17" s="83" t="e">
        <f t="shared" si="7"/>
        <v>#REF!</v>
      </c>
      <c r="G17" s="83" t="e">
        <f t="shared" si="7"/>
        <v>#REF!</v>
      </c>
      <c r="H17" s="83" t="e">
        <f t="shared" si="7"/>
        <v>#REF!</v>
      </c>
      <c r="I17" s="83"/>
    </row>
    <row r="18" ht="22" customHeight="1"/>
    <row r="19" ht="22" customHeight="1" spans="1:9">
      <c r="A19" s="262" t="s">
        <v>4</v>
      </c>
      <c r="B19" s="262" t="s">
        <v>25</v>
      </c>
      <c r="C19" s="262" t="s">
        <v>26</v>
      </c>
      <c r="D19" s="262" t="s">
        <v>27</v>
      </c>
      <c r="E19" s="262" t="s">
        <v>28</v>
      </c>
      <c r="F19" s="262" t="s">
        <v>30</v>
      </c>
      <c r="G19" s="262" t="s">
        <v>270</v>
      </c>
      <c r="H19" s="262" t="s">
        <v>32</v>
      </c>
      <c r="I19" s="262" t="s">
        <v>13</v>
      </c>
    </row>
    <row r="20" ht="22" customHeight="1" spans="1:9">
      <c r="A20" s="174" t="s">
        <v>14</v>
      </c>
      <c r="B20" s="174" t="s">
        <v>34</v>
      </c>
      <c r="C20" s="174" t="s">
        <v>14</v>
      </c>
      <c r="D20" s="174" t="s">
        <v>35</v>
      </c>
      <c r="E20" s="176" t="str">
        <f>'7日任务'!I16</f>
        <v>体力药</v>
      </c>
      <c r="F20" s="176" t="str">
        <f t="shared" ref="F20:F83" si="8">IF(E20="钻石","钻石",IF(ISNUMBER(SEARCH("角色抽卡券限时",E20)),"角色抽卡券限时",IF(ISNUMBER(SEARCH("专武抽卡券限时",E20)),"专武抽卡券限时",IF(ISNUMBER(SEARCH("角色抽卡券",E20)),"角色抽卡券普通",IF(ISNUMBER(SEARCH("专武抽卡券",E20)),"专武抽卡券普通","")))))</f>
        <v/>
      </c>
      <c r="G20" s="176">
        <f>'7日任务'!J16</f>
        <v>2</v>
      </c>
      <c r="H20" s="176">
        <f t="shared" ref="H20:H83" si="9">IF(F20="",0,IF(F20="钻石",G20,G20*150))</f>
        <v>0</v>
      </c>
      <c r="I20" s="174" t="s">
        <v>265</v>
      </c>
    </row>
    <row r="21" ht="22" customHeight="1" spans="1:9">
      <c r="A21" s="174" t="s">
        <v>14</v>
      </c>
      <c r="B21" s="174" t="s">
        <v>34</v>
      </c>
      <c r="C21" s="174" t="s">
        <v>14</v>
      </c>
      <c r="D21" s="174" t="s">
        <v>38</v>
      </c>
      <c r="E21" s="176" t="str">
        <f>'7日任务'!I27</f>
        <v>体力药</v>
      </c>
      <c r="F21" s="176" t="str">
        <f t="shared" si="8"/>
        <v/>
      </c>
      <c r="G21" s="176">
        <f>'7日任务'!J27</f>
        <v>2</v>
      </c>
      <c r="H21" s="176">
        <f t="shared" si="9"/>
        <v>0</v>
      </c>
      <c r="I21" s="174" t="s">
        <v>265</v>
      </c>
    </row>
    <row r="22" ht="22" customHeight="1" spans="1:9">
      <c r="A22" s="174" t="s">
        <v>14</v>
      </c>
      <c r="B22" s="174" t="s">
        <v>34</v>
      </c>
      <c r="C22" s="174" t="s">
        <v>14</v>
      </c>
      <c r="D22" s="174" t="s">
        <v>39</v>
      </c>
      <c r="E22" s="176" t="str">
        <f>'7日任务'!I39</f>
        <v>体力药</v>
      </c>
      <c r="F22" s="176" t="str">
        <f t="shared" si="8"/>
        <v/>
      </c>
      <c r="G22" s="176">
        <f>'7日任务'!J39</f>
        <v>2</v>
      </c>
      <c r="H22" s="176">
        <f t="shared" si="9"/>
        <v>0</v>
      </c>
      <c r="I22" s="174" t="s">
        <v>265</v>
      </c>
    </row>
    <row r="23" ht="22" customHeight="1" spans="1:9">
      <c r="A23" s="174" t="s">
        <v>14</v>
      </c>
      <c r="B23" s="174" t="s">
        <v>34</v>
      </c>
      <c r="C23" s="174" t="s">
        <v>14</v>
      </c>
      <c r="D23" s="174" t="s">
        <v>40</v>
      </c>
      <c r="E23" s="176" t="str">
        <f>'7日任务'!I51</f>
        <v>体力药</v>
      </c>
      <c r="F23" s="176" t="str">
        <f t="shared" si="8"/>
        <v/>
      </c>
      <c r="G23" s="176">
        <f>'7日任务'!J51</f>
        <v>2</v>
      </c>
      <c r="H23" s="176">
        <f t="shared" si="9"/>
        <v>0</v>
      </c>
      <c r="I23" s="174" t="s">
        <v>265</v>
      </c>
    </row>
    <row r="24" ht="22" customHeight="1" spans="1:9">
      <c r="A24" s="174" t="s">
        <v>14</v>
      </c>
      <c r="B24" s="174" t="s">
        <v>34</v>
      </c>
      <c r="C24" s="174" t="s">
        <v>14</v>
      </c>
      <c r="D24" s="174" t="s">
        <v>41</v>
      </c>
      <c r="E24" s="176" t="str">
        <f>'7日任务'!I63</f>
        <v>体力药</v>
      </c>
      <c r="F24" s="176" t="str">
        <f t="shared" si="8"/>
        <v/>
      </c>
      <c r="G24" s="176">
        <f>'7日任务'!J63</f>
        <v>2</v>
      </c>
      <c r="H24" s="176">
        <f t="shared" si="9"/>
        <v>0</v>
      </c>
      <c r="I24" s="174" t="s">
        <v>265</v>
      </c>
    </row>
    <row r="25" ht="22" customHeight="1" spans="1:9">
      <c r="A25" s="174" t="s">
        <v>14</v>
      </c>
      <c r="B25" s="174" t="s">
        <v>34</v>
      </c>
      <c r="C25" s="174" t="s">
        <v>14</v>
      </c>
      <c r="D25" s="174" t="s">
        <v>42</v>
      </c>
      <c r="E25" s="176" t="str">
        <f>'7日任务'!I75</f>
        <v>体力药</v>
      </c>
      <c r="F25" s="176" t="str">
        <f t="shared" si="8"/>
        <v/>
      </c>
      <c r="G25" s="176">
        <f>'7日任务'!J75</f>
        <v>2</v>
      </c>
      <c r="H25" s="176">
        <f t="shared" si="9"/>
        <v>0</v>
      </c>
      <c r="I25" s="174" t="s">
        <v>265</v>
      </c>
    </row>
    <row r="26" ht="22" customHeight="1" spans="1:9">
      <c r="A26" s="174" t="s">
        <v>14</v>
      </c>
      <c r="B26" s="174" t="s">
        <v>34</v>
      </c>
      <c r="C26" s="174" t="s">
        <v>14</v>
      </c>
      <c r="D26" s="174" t="s">
        <v>43</v>
      </c>
      <c r="E26" s="176" t="str">
        <f>'7日任务'!I87</f>
        <v>体力药</v>
      </c>
      <c r="F26" s="176" t="str">
        <f t="shared" si="8"/>
        <v/>
      </c>
      <c r="G26" s="176">
        <f>'7日任务'!J87</f>
        <v>2</v>
      </c>
      <c r="H26" s="176">
        <f t="shared" si="9"/>
        <v>0</v>
      </c>
      <c r="I26" s="174" t="s">
        <v>265</v>
      </c>
    </row>
    <row r="27" ht="22" customHeight="1" spans="1:9">
      <c r="A27" s="174" t="s">
        <v>14</v>
      </c>
      <c r="B27" s="174" t="s">
        <v>44</v>
      </c>
      <c r="C27" s="174" t="s">
        <v>14</v>
      </c>
      <c r="D27" s="174" t="s">
        <v>45</v>
      </c>
      <c r="E27" s="176" t="str">
        <f>'7日任务'!B105</f>
        <v>角色抽卡券普通</v>
      </c>
      <c r="F27" s="176" t="str">
        <f t="shared" si="8"/>
        <v>角色抽卡券普通</v>
      </c>
      <c r="G27" s="176">
        <f>'7日任务'!C105</f>
        <v>10</v>
      </c>
      <c r="H27" s="176">
        <f t="shared" si="9"/>
        <v>1500</v>
      </c>
      <c r="I27" s="174" t="s">
        <v>265</v>
      </c>
    </row>
    <row r="28" ht="22" customHeight="1" spans="1:9">
      <c r="A28" s="174" t="s">
        <v>14</v>
      </c>
      <c r="B28" s="174" t="s">
        <v>44</v>
      </c>
      <c r="C28" s="174" t="s">
        <v>14</v>
      </c>
      <c r="D28" s="174" t="s">
        <v>47</v>
      </c>
      <c r="E28" s="176" t="str">
        <f>'7日任务'!B106</f>
        <v>角色抽卡券普通</v>
      </c>
      <c r="F28" s="176" t="str">
        <f t="shared" si="8"/>
        <v>角色抽卡券普通</v>
      </c>
      <c r="G28" s="176">
        <f>'7日任务'!C106</f>
        <v>10</v>
      </c>
      <c r="H28" s="176">
        <f t="shared" si="9"/>
        <v>1500</v>
      </c>
      <c r="I28" s="174" t="s">
        <v>265</v>
      </c>
    </row>
    <row r="29" ht="22" customHeight="1" spans="1:9">
      <c r="A29" s="174" t="s">
        <v>14</v>
      </c>
      <c r="B29" s="174" t="s">
        <v>44</v>
      </c>
      <c r="C29" s="174" t="s">
        <v>14</v>
      </c>
      <c r="D29" s="174" t="s">
        <v>48</v>
      </c>
      <c r="E29" s="176" t="str">
        <f>'7日任务'!B107</f>
        <v>专武抽卡券普通</v>
      </c>
      <c r="F29" s="176" t="str">
        <f t="shared" si="8"/>
        <v>专武抽卡券普通</v>
      </c>
      <c r="G29" s="176">
        <f>'7日任务'!C107</f>
        <v>10</v>
      </c>
      <c r="H29" s="176">
        <f t="shared" si="9"/>
        <v>1500</v>
      </c>
      <c r="I29" s="174" t="s">
        <v>265</v>
      </c>
    </row>
    <row r="30" ht="22" customHeight="1" spans="1:9">
      <c r="A30" s="174" t="s">
        <v>14</v>
      </c>
      <c r="B30" s="174" t="s">
        <v>44</v>
      </c>
      <c r="C30" s="174" t="s">
        <v>14</v>
      </c>
      <c r="D30" s="174" t="s">
        <v>49</v>
      </c>
      <c r="E30" s="176" t="str">
        <f>'7日任务'!B108</f>
        <v>SSR角色</v>
      </c>
      <c r="F30" s="176" t="str">
        <f t="shared" si="8"/>
        <v/>
      </c>
      <c r="G30" s="176">
        <f>'7日任务'!C108</f>
        <v>1</v>
      </c>
      <c r="H30" s="176">
        <f t="shared" si="9"/>
        <v>0</v>
      </c>
      <c r="I30" s="174" t="s">
        <v>265</v>
      </c>
    </row>
    <row r="31" ht="22" customHeight="1" spans="1:9">
      <c r="A31" s="174" t="s">
        <v>14</v>
      </c>
      <c r="B31" s="174" t="s">
        <v>44</v>
      </c>
      <c r="C31" s="174" t="s">
        <v>14</v>
      </c>
      <c r="D31" s="174" t="s">
        <v>50</v>
      </c>
      <c r="E31" s="176" t="str">
        <f>'7日任务'!B110</f>
        <v>SSR专武</v>
      </c>
      <c r="F31" s="176" t="str">
        <f t="shared" si="8"/>
        <v/>
      </c>
      <c r="G31" s="176">
        <f>'7日任务'!C110</f>
        <v>1</v>
      </c>
      <c r="H31" s="176">
        <f t="shared" si="9"/>
        <v>0</v>
      </c>
      <c r="I31" s="174" t="s">
        <v>265</v>
      </c>
    </row>
    <row r="32" ht="22" customHeight="1" spans="1:9">
      <c r="A32" s="174" t="s">
        <v>14</v>
      </c>
      <c r="B32" s="174" t="s">
        <v>44</v>
      </c>
      <c r="C32" s="174" t="s">
        <v>14</v>
      </c>
      <c r="D32" s="174" t="s">
        <v>51</v>
      </c>
      <c r="E32" s="176" t="str">
        <f>'7日任务'!D105</f>
        <v>钻石</v>
      </c>
      <c r="F32" s="176" t="str">
        <f t="shared" si="8"/>
        <v>钻石</v>
      </c>
      <c r="G32" s="176">
        <f>'7日任务'!E105</f>
        <v>500</v>
      </c>
      <c r="H32" s="176">
        <f t="shared" si="9"/>
        <v>500</v>
      </c>
      <c r="I32" s="174" t="s">
        <v>265</v>
      </c>
    </row>
    <row r="33" ht="22" customHeight="1" spans="1:9">
      <c r="A33" s="174" t="s">
        <v>14</v>
      </c>
      <c r="B33" s="174" t="s">
        <v>44</v>
      </c>
      <c r="C33" s="174" t="s">
        <v>14</v>
      </c>
      <c r="D33" s="174" t="s">
        <v>52</v>
      </c>
      <c r="E33" s="176" t="str">
        <f>'7日任务'!D106</f>
        <v>钻石</v>
      </c>
      <c r="F33" s="176" t="str">
        <f t="shared" si="8"/>
        <v>钻石</v>
      </c>
      <c r="G33" s="176">
        <f>'7日任务'!E106</f>
        <v>500</v>
      </c>
      <c r="H33" s="176">
        <f t="shared" si="9"/>
        <v>500</v>
      </c>
      <c r="I33" s="174" t="s">
        <v>265</v>
      </c>
    </row>
    <row r="34" ht="22" customHeight="1" spans="1:9">
      <c r="A34" s="174" t="s">
        <v>14</v>
      </c>
      <c r="B34" s="174" t="s">
        <v>44</v>
      </c>
      <c r="C34" s="174" t="s">
        <v>14</v>
      </c>
      <c r="D34" s="174" t="s">
        <v>53</v>
      </c>
      <c r="E34" s="176" t="str">
        <f>'7日任务'!D107</f>
        <v>钻石</v>
      </c>
      <c r="F34" s="176" t="str">
        <f t="shared" si="8"/>
        <v>钻石</v>
      </c>
      <c r="G34" s="176">
        <f>'7日任务'!E107</f>
        <v>500</v>
      </c>
      <c r="H34" s="176">
        <f t="shared" si="9"/>
        <v>500</v>
      </c>
      <c r="I34" s="174" t="s">
        <v>265</v>
      </c>
    </row>
    <row r="35" ht="22" customHeight="1" spans="1:9">
      <c r="A35" s="174" t="s">
        <v>14</v>
      </c>
      <c r="B35" s="174" t="s">
        <v>44</v>
      </c>
      <c r="C35" s="174" t="s">
        <v>14</v>
      </c>
      <c r="D35" s="174" t="s">
        <v>54</v>
      </c>
      <c r="E35" s="176">
        <f>'7日任务'!D108</f>
        <v>0</v>
      </c>
      <c r="F35" s="176" t="str">
        <f t="shared" si="8"/>
        <v/>
      </c>
      <c r="G35" s="176">
        <f>'7日任务'!E108</f>
        <v>0</v>
      </c>
      <c r="H35" s="176">
        <f t="shared" si="9"/>
        <v>0</v>
      </c>
      <c r="I35" s="174" t="s">
        <v>265</v>
      </c>
    </row>
    <row r="36" ht="22" customHeight="1" spans="1:9">
      <c r="A36" s="174" t="s">
        <v>14</v>
      </c>
      <c r="B36" s="174" t="s">
        <v>44</v>
      </c>
      <c r="C36" s="174" t="s">
        <v>14</v>
      </c>
      <c r="D36" s="174" t="s">
        <v>55</v>
      </c>
      <c r="E36" s="176">
        <f>'7日任务'!D110</f>
        <v>0</v>
      </c>
      <c r="F36" s="176" t="str">
        <f t="shared" si="8"/>
        <v/>
      </c>
      <c r="G36" s="176">
        <f>'7日任务'!E110</f>
        <v>0</v>
      </c>
      <c r="H36" s="176">
        <f t="shared" si="9"/>
        <v>0</v>
      </c>
      <c r="I36" s="174" t="s">
        <v>265</v>
      </c>
    </row>
    <row r="37" ht="22" customHeight="1" spans="1:9">
      <c r="A37" s="174" t="s">
        <v>15</v>
      </c>
      <c r="B37" s="174" t="s">
        <v>271</v>
      </c>
      <c r="C37" s="174" t="s">
        <v>272</v>
      </c>
      <c r="D37" s="174" t="s">
        <v>273</v>
      </c>
      <c r="E37" s="176" t="str">
        <f>'配置页-主线副本'!T10</f>
        <v>金币</v>
      </c>
      <c r="F37" s="176" t="str">
        <f t="shared" si="8"/>
        <v/>
      </c>
      <c r="G37" s="176" t="e">
        <f>'配置页-主线副本'!#REF!</f>
        <v>#REF!</v>
      </c>
      <c r="H37" s="176">
        <f t="shared" si="9"/>
        <v>0</v>
      </c>
      <c r="I37" s="174" t="s">
        <v>265</v>
      </c>
    </row>
    <row r="38" ht="22" customHeight="1" spans="1:9">
      <c r="A38" s="174" t="s">
        <v>15</v>
      </c>
      <c r="B38" s="174" t="s">
        <v>271</v>
      </c>
      <c r="C38" s="174" t="s">
        <v>272</v>
      </c>
      <c r="D38" s="174" t="s">
        <v>274</v>
      </c>
      <c r="E38" s="176" t="str">
        <f>'配置页-主线副本'!T101</f>
        <v>角色经验中</v>
      </c>
      <c r="F38" s="176" t="str">
        <f t="shared" si="8"/>
        <v/>
      </c>
      <c r="G38" s="176" t="e">
        <f>'配置页-主线副本'!#REF!</f>
        <v>#REF!</v>
      </c>
      <c r="H38" s="176">
        <f t="shared" si="9"/>
        <v>0</v>
      </c>
      <c r="I38" s="174" t="s">
        <v>265</v>
      </c>
    </row>
    <row r="39" ht="22" customHeight="1" spans="1:9">
      <c r="A39" s="174" t="s">
        <v>15</v>
      </c>
      <c r="B39" s="174" t="s">
        <v>271</v>
      </c>
      <c r="C39" s="174" t="s">
        <v>272</v>
      </c>
      <c r="D39" s="174" t="s">
        <v>275</v>
      </c>
      <c r="E39" s="176" t="str">
        <f>'配置页-主线副本'!T105</f>
        <v>星盘中级道具辅2</v>
      </c>
      <c r="F39" s="176" t="str">
        <f t="shared" si="8"/>
        <v/>
      </c>
      <c r="G39" s="176" t="e">
        <f>'配置页-主线副本'!#REF!</f>
        <v>#REF!</v>
      </c>
      <c r="H39" s="176">
        <f t="shared" si="9"/>
        <v>0</v>
      </c>
      <c r="I39" s="174" t="s">
        <v>265</v>
      </c>
    </row>
    <row r="40" ht="22" customHeight="1" spans="1:9">
      <c r="A40" s="174" t="s">
        <v>15</v>
      </c>
      <c r="B40" s="174" t="s">
        <v>271</v>
      </c>
      <c r="C40" s="174" t="s">
        <v>272</v>
      </c>
      <c r="D40" s="174" t="s">
        <v>276</v>
      </c>
      <c r="E40" s="176" t="str">
        <f>'配置页-主线副本'!T109</f>
        <v>金币</v>
      </c>
      <c r="F40" s="176" t="str">
        <f t="shared" si="8"/>
        <v/>
      </c>
      <c r="G40" s="176" t="e">
        <f>'配置页-主线副本'!#REF!</f>
        <v>#REF!</v>
      </c>
      <c r="H40" s="176">
        <f t="shared" si="9"/>
        <v>0</v>
      </c>
      <c r="I40" s="174" t="s">
        <v>265</v>
      </c>
    </row>
    <row r="41" ht="22" customHeight="1" spans="1:9">
      <c r="A41" s="174" t="s">
        <v>15</v>
      </c>
      <c r="B41" s="174" t="s">
        <v>271</v>
      </c>
      <c r="C41" s="174" t="s">
        <v>272</v>
      </c>
      <c r="D41" s="174" t="s">
        <v>277</v>
      </c>
      <c r="E41" s="176" t="str">
        <f>'配置页-主线副本'!T113</f>
        <v>角色经验中</v>
      </c>
      <c r="F41" s="176" t="str">
        <f t="shared" si="8"/>
        <v/>
      </c>
      <c r="G41" s="176" t="e">
        <f>'配置页-主线副本'!#REF!</f>
        <v>#REF!</v>
      </c>
      <c r="H41" s="176">
        <f t="shared" si="9"/>
        <v>0</v>
      </c>
      <c r="I41" s="174" t="s">
        <v>265</v>
      </c>
    </row>
    <row r="42" ht="22" customHeight="1" spans="1:9">
      <c r="A42" s="174" t="s">
        <v>15</v>
      </c>
      <c r="B42" s="174" t="s">
        <v>271</v>
      </c>
      <c r="C42" s="174" t="s">
        <v>272</v>
      </c>
      <c r="D42" s="174" t="s">
        <v>278</v>
      </c>
      <c r="E42" s="176" t="str">
        <f>'配置页-主线副本'!T117</f>
        <v>角色升阶材料中攻</v>
      </c>
      <c r="F42" s="176" t="str">
        <f t="shared" si="8"/>
        <v/>
      </c>
      <c r="G42" s="176" t="e">
        <f>'配置页-主线副本'!#REF!</f>
        <v>#REF!</v>
      </c>
      <c r="H42" s="176">
        <f t="shared" si="9"/>
        <v>0</v>
      </c>
      <c r="I42" s="174" t="s">
        <v>265</v>
      </c>
    </row>
    <row r="43" ht="22" customHeight="1" spans="1:9">
      <c r="A43" s="174" t="s">
        <v>15</v>
      </c>
      <c r="B43" s="174" t="s">
        <v>271</v>
      </c>
      <c r="C43" s="174" t="s">
        <v>272</v>
      </c>
      <c r="D43" s="174" t="s">
        <v>279</v>
      </c>
      <c r="E43" s="176" t="str">
        <f>'配置页-主线副本'!T121</f>
        <v>金币</v>
      </c>
      <c r="F43" s="176" t="str">
        <f t="shared" si="8"/>
        <v/>
      </c>
      <c r="G43" s="176" t="e">
        <f>'配置页-主线副本'!#REF!</f>
        <v>#REF!</v>
      </c>
      <c r="H43" s="176">
        <f t="shared" si="9"/>
        <v>0</v>
      </c>
      <c r="I43" s="174" t="s">
        <v>265</v>
      </c>
    </row>
    <row r="44" ht="22" customHeight="1" spans="1:9">
      <c r="A44" s="174" t="s">
        <v>15</v>
      </c>
      <c r="B44" s="174" t="s">
        <v>271</v>
      </c>
      <c r="C44" s="174" t="s">
        <v>272</v>
      </c>
      <c r="D44" s="174" t="s">
        <v>280</v>
      </c>
      <c r="E44" s="176" t="str">
        <f>'配置页-主线副本'!T125</f>
        <v>角色经验中</v>
      </c>
      <c r="F44" s="176" t="str">
        <f t="shared" si="8"/>
        <v/>
      </c>
      <c r="G44" s="176" t="e">
        <f>'配置页-主线副本'!#REF!</f>
        <v>#REF!</v>
      </c>
      <c r="H44" s="176">
        <f t="shared" si="9"/>
        <v>0</v>
      </c>
      <c r="I44" s="174" t="s">
        <v>265</v>
      </c>
    </row>
    <row r="45" ht="22" customHeight="1" spans="1:9">
      <c r="A45" s="174" t="s">
        <v>15</v>
      </c>
      <c r="B45" s="174" t="s">
        <v>271</v>
      </c>
      <c r="C45" s="174" t="s">
        <v>272</v>
      </c>
      <c r="D45" s="174" t="s">
        <v>281</v>
      </c>
      <c r="E45" s="176" t="str">
        <f>'配置页-主线副本'!T129</f>
        <v>星盘高级道具攻2</v>
      </c>
      <c r="F45" s="176" t="str">
        <f t="shared" si="8"/>
        <v/>
      </c>
      <c r="G45" s="176" t="e">
        <f>'配置页-主线副本'!#REF!</f>
        <v>#REF!</v>
      </c>
      <c r="H45" s="176">
        <f t="shared" si="9"/>
        <v>0</v>
      </c>
      <c r="I45" s="174" t="s">
        <v>265</v>
      </c>
    </row>
    <row r="46" ht="22" customHeight="1" spans="1:9">
      <c r="A46" s="174" t="s">
        <v>15</v>
      </c>
      <c r="B46" s="174" t="s">
        <v>271</v>
      </c>
      <c r="C46" s="174" t="s">
        <v>272</v>
      </c>
      <c r="D46" s="174" t="s">
        <v>282</v>
      </c>
      <c r="E46" s="176" t="str">
        <f>'配置页-主线副本'!T13</f>
        <v>金币</v>
      </c>
      <c r="F46" s="176" t="str">
        <f t="shared" si="8"/>
        <v/>
      </c>
      <c r="G46" s="176" t="e">
        <f>'配置页-主线副本'!#REF!</f>
        <v>#REF!</v>
      </c>
      <c r="H46" s="176">
        <f t="shared" si="9"/>
        <v>0</v>
      </c>
      <c r="I46" s="174" t="s">
        <v>265</v>
      </c>
    </row>
    <row r="47" ht="22" customHeight="1" spans="1:9">
      <c r="A47" s="174" t="s">
        <v>15</v>
      </c>
      <c r="B47" s="174" t="s">
        <v>271</v>
      </c>
      <c r="C47" s="174" t="s">
        <v>272</v>
      </c>
      <c r="D47" s="174" t="s">
        <v>283</v>
      </c>
      <c r="E47" s="176" t="str">
        <f>'配置页-主线副本'!T133</f>
        <v>金币</v>
      </c>
      <c r="F47" s="176" t="str">
        <f t="shared" si="8"/>
        <v/>
      </c>
      <c r="G47" s="176" t="e">
        <f>'配置页-主线副本'!#REF!</f>
        <v>#REF!</v>
      </c>
      <c r="H47" s="176">
        <f t="shared" si="9"/>
        <v>0</v>
      </c>
      <c r="I47" s="174" t="s">
        <v>265</v>
      </c>
    </row>
    <row r="48" ht="22" customHeight="1" spans="1:9">
      <c r="A48" s="174" t="s">
        <v>15</v>
      </c>
      <c r="B48" s="174" t="s">
        <v>271</v>
      </c>
      <c r="C48" s="174" t="s">
        <v>272</v>
      </c>
      <c r="D48" s="174" t="s">
        <v>284</v>
      </c>
      <c r="E48" s="176" t="str">
        <f>'配置页-主线副本'!T137</f>
        <v>角色经验中</v>
      </c>
      <c r="F48" s="176" t="str">
        <f t="shared" si="8"/>
        <v/>
      </c>
      <c r="G48" s="176" t="e">
        <f>'配置页-主线副本'!#REF!</f>
        <v>#REF!</v>
      </c>
      <c r="H48" s="176">
        <f t="shared" si="9"/>
        <v>0</v>
      </c>
      <c r="I48" s="174" t="s">
        <v>265</v>
      </c>
    </row>
    <row r="49" ht="22" customHeight="1" spans="1:9">
      <c r="A49" s="174" t="s">
        <v>15</v>
      </c>
      <c r="B49" s="174" t="s">
        <v>271</v>
      </c>
      <c r="C49" s="174" t="s">
        <v>272</v>
      </c>
      <c r="D49" s="174" t="s">
        <v>285</v>
      </c>
      <c r="E49" s="176" t="str">
        <f>'配置页-主线副本'!T141</f>
        <v>星盘高级道具辅2</v>
      </c>
      <c r="F49" s="176" t="str">
        <f t="shared" si="8"/>
        <v/>
      </c>
      <c r="G49" s="176" t="e">
        <f>'配置页-主线副本'!#REF!</f>
        <v>#REF!</v>
      </c>
      <c r="H49" s="176">
        <f t="shared" si="9"/>
        <v>0</v>
      </c>
      <c r="I49" s="174" t="s">
        <v>265</v>
      </c>
    </row>
    <row r="50" ht="22" customHeight="1" spans="1:9">
      <c r="A50" s="174" t="s">
        <v>15</v>
      </c>
      <c r="B50" s="174" t="s">
        <v>271</v>
      </c>
      <c r="C50" s="174" t="s">
        <v>272</v>
      </c>
      <c r="D50" s="174" t="s">
        <v>286</v>
      </c>
      <c r="E50" s="176" t="str">
        <f>'配置页-主线副本'!T145</f>
        <v>金币</v>
      </c>
      <c r="F50" s="176" t="str">
        <f t="shared" si="8"/>
        <v/>
      </c>
      <c r="G50" s="176" t="e">
        <f>'配置页-主线副本'!#REF!</f>
        <v>#REF!</v>
      </c>
      <c r="H50" s="176">
        <f t="shared" si="9"/>
        <v>0</v>
      </c>
      <c r="I50" s="174" t="s">
        <v>265</v>
      </c>
    </row>
    <row r="51" ht="22" customHeight="1" spans="1:9">
      <c r="A51" s="174" t="s">
        <v>15</v>
      </c>
      <c r="B51" s="174" t="s">
        <v>271</v>
      </c>
      <c r="C51" s="174" t="s">
        <v>272</v>
      </c>
      <c r="D51" s="174" t="s">
        <v>287</v>
      </c>
      <c r="E51" s="176" t="str">
        <f>'配置页-主线副本'!T149</f>
        <v>角色经验中</v>
      </c>
      <c r="F51" s="176" t="str">
        <f t="shared" si="8"/>
        <v/>
      </c>
      <c r="G51" s="176" t="e">
        <f>'配置页-主线副本'!#REF!</f>
        <v>#REF!</v>
      </c>
      <c r="H51" s="176">
        <f t="shared" si="9"/>
        <v>0</v>
      </c>
      <c r="I51" s="174" t="s">
        <v>265</v>
      </c>
    </row>
    <row r="52" ht="22" customHeight="1" spans="1:9">
      <c r="A52" s="174" t="s">
        <v>15</v>
      </c>
      <c r="B52" s="174" t="s">
        <v>271</v>
      </c>
      <c r="C52" s="174" t="s">
        <v>272</v>
      </c>
      <c r="D52" s="174" t="s">
        <v>288</v>
      </c>
      <c r="E52" s="176" t="str">
        <f>'配置页-主线副本'!T153</f>
        <v>星盘顶级道具攻1</v>
      </c>
      <c r="F52" s="176" t="str">
        <f t="shared" si="8"/>
        <v/>
      </c>
      <c r="G52" s="176" t="e">
        <f>'配置页-主线副本'!#REF!</f>
        <v>#REF!</v>
      </c>
      <c r="H52" s="176">
        <f t="shared" si="9"/>
        <v>0</v>
      </c>
      <c r="I52" s="174" t="s">
        <v>265</v>
      </c>
    </row>
    <row r="53" ht="22" customHeight="1" spans="1:9">
      <c r="A53" s="174" t="s">
        <v>15</v>
      </c>
      <c r="B53" s="174" t="s">
        <v>271</v>
      </c>
      <c r="C53" s="174" t="s">
        <v>272</v>
      </c>
      <c r="D53" s="174" t="s">
        <v>289</v>
      </c>
      <c r="E53" s="176" t="str">
        <f>'配置页-主线副本'!T157</f>
        <v>金币</v>
      </c>
      <c r="F53" s="176" t="str">
        <f t="shared" si="8"/>
        <v/>
      </c>
      <c r="G53" s="176" t="e">
        <f>'配置页-主线副本'!#REF!</f>
        <v>#REF!</v>
      </c>
      <c r="H53" s="176">
        <f t="shared" si="9"/>
        <v>0</v>
      </c>
      <c r="I53" s="174" t="s">
        <v>265</v>
      </c>
    </row>
    <row r="54" ht="22" customHeight="1" spans="1:9">
      <c r="A54" s="174" t="s">
        <v>15</v>
      </c>
      <c r="B54" s="174" t="s">
        <v>271</v>
      </c>
      <c r="C54" s="174" t="s">
        <v>272</v>
      </c>
      <c r="D54" s="174" t="s">
        <v>290</v>
      </c>
      <c r="E54" s="176" t="str">
        <f>'配置页-主线副本'!T161</f>
        <v>角色经验中</v>
      </c>
      <c r="F54" s="176" t="str">
        <f t="shared" si="8"/>
        <v/>
      </c>
      <c r="G54" s="176" t="e">
        <f>'配置页-主线副本'!#REF!</f>
        <v>#REF!</v>
      </c>
      <c r="H54" s="176">
        <f t="shared" si="9"/>
        <v>0</v>
      </c>
      <c r="I54" s="174" t="s">
        <v>265</v>
      </c>
    </row>
    <row r="55" ht="22" customHeight="1" spans="1:9">
      <c r="A55" s="174" t="s">
        <v>15</v>
      </c>
      <c r="B55" s="174" t="s">
        <v>271</v>
      </c>
      <c r="C55" s="174" t="s">
        <v>272</v>
      </c>
      <c r="D55" s="174" t="s">
        <v>291</v>
      </c>
      <c r="E55" s="176" t="str">
        <f>'配置页-主线副本'!T165</f>
        <v>星盘顶级道具辅1</v>
      </c>
      <c r="F55" s="176" t="str">
        <f t="shared" si="8"/>
        <v/>
      </c>
      <c r="G55" s="176" t="e">
        <f>'配置页-主线副本'!#REF!</f>
        <v>#REF!</v>
      </c>
      <c r="H55" s="176">
        <f t="shared" si="9"/>
        <v>0</v>
      </c>
      <c r="I55" s="174" t="s">
        <v>265</v>
      </c>
    </row>
    <row r="56" ht="22" customHeight="1" spans="1:9">
      <c r="A56" s="174" t="s">
        <v>15</v>
      </c>
      <c r="B56" s="174" t="s">
        <v>271</v>
      </c>
      <c r="C56" s="174" t="s">
        <v>272</v>
      </c>
      <c r="D56" s="174" t="s">
        <v>292</v>
      </c>
      <c r="E56" s="176">
        <f>'配置页-主线副本'!S169</f>
        <v>0</v>
      </c>
      <c r="F56" s="176" t="str">
        <f t="shared" si="8"/>
        <v/>
      </c>
      <c r="G56" s="176">
        <f>'配置页-主线副本'!U169</f>
        <v>0</v>
      </c>
      <c r="H56" s="176">
        <f t="shared" si="9"/>
        <v>0</v>
      </c>
      <c r="I56" s="174" t="s">
        <v>265</v>
      </c>
    </row>
    <row r="57" ht="22" customHeight="1" spans="1:9">
      <c r="A57" s="174" t="s">
        <v>15</v>
      </c>
      <c r="B57" s="174" t="s">
        <v>271</v>
      </c>
      <c r="C57" s="174" t="s">
        <v>272</v>
      </c>
      <c r="D57" s="174" t="s">
        <v>293</v>
      </c>
      <c r="E57" s="176" t="str">
        <f>'配置页-主线副本'!T17</f>
        <v>角色经验中</v>
      </c>
      <c r="F57" s="176" t="str">
        <f t="shared" si="8"/>
        <v/>
      </c>
      <c r="G57" s="176" t="e">
        <f>'配置页-主线副本'!#REF!</f>
        <v>#REF!</v>
      </c>
      <c r="H57" s="176">
        <f t="shared" si="9"/>
        <v>0</v>
      </c>
      <c r="I57" s="174" t="s">
        <v>265</v>
      </c>
    </row>
    <row r="58" ht="22" customHeight="1" spans="1:9">
      <c r="A58" s="174" t="s">
        <v>15</v>
      </c>
      <c r="B58" s="174" t="s">
        <v>271</v>
      </c>
      <c r="C58" s="174" t="s">
        <v>272</v>
      </c>
      <c r="D58" s="174" t="s">
        <v>294</v>
      </c>
      <c r="E58" s="176">
        <f>'配置页-主线副本'!S173</f>
        <v>0</v>
      </c>
      <c r="F58" s="176" t="str">
        <f t="shared" si="8"/>
        <v/>
      </c>
      <c r="G58" s="176">
        <f>'配置页-主线副本'!U173</f>
        <v>0</v>
      </c>
      <c r="H58" s="176">
        <f t="shared" si="9"/>
        <v>0</v>
      </c>
      <c r="I58" s="174" t="s">
        <v>265</v>
      </c>
    </row>
    <row r="59" ht="22" customHeight="1" spans="1:9">
      <c r="A59" s="174" t="s">
        <v>15</v>
      </c>
      <c r="B59" s="174" t="s">
        <v>271</v>
      </c>
      <c r="C59" s="174" t="s">
        <v>272</v>
      </c>
      <c r="D59" s="174" t="s">
        <v>295</v>
      </c>
      <c r="E59" s="176">
        <f>'配置页-主线副本'!S177</f>
        <v>0</v>
      </c>
      <c r="F59" s="176" t="str">
        <f t="shared" si="8"/>
        <v/>
      </c>
      <c r="G59" s="176">
        <f>'配置页-主线副本'!U177</f>
        <v>0</v>
      </c>
      <c r="H59" s="176">
        <f t="shared" si="9"/>
        <v>0</v>
      </c>
      <c r="I59" s="174" t="s">
        <v>265</v>
      </c>
    </row>
    <row r="60" ht="22" customHeight="1" spans="1:9">
      <c r="A60" s="174" t="s">
        <v>15</v>
      </c>
      <c r="B60" s="174" t="s">
        <v>271</v>
      </c>
      <c r="C60" s="174" t="s">
        <v>272</v>
      </c>
      <c r="D60" s="174" t="s">
        <v>296</v>
      </c>
      <c r="E60" s="176">
        <f>'配置页-主线副本'!S181</f>
        <v>0</v>
      </c>
      <c r="F60" s="176" t="str">
        <f t="shared" si="8"/>
        <v/>
      </c>
      <c r="G60" s="176">
        <f>'配置页-主线副本'!U181</f>
        <v>0</v>
      </c>
      <c r="H60" s="176">
        <f t="shared" si="9"/>
        <v>0</v>
      </c>
      <c r="I60" s="174" t="s">
        <v>265</v>
      </c>
    </row>
    <row r="61" ht="22" customHeight="1" spans="1:9">
      <c r="A61" s="174" t="s">
        <v>15</v>
      </c>
      <c r="B61" s="174" t="s">
        <v>271</v>
      </c>
      <c r="C61" s="174" t="s">
        <v>272</v>
      </c>
      <c r="D61" s="174" t="s">
        <v>297</v>
      </c>
      <c r="E61" s="176">
        <f>'配置页-主线副本'!S185</f>
        <v>0</v>
      </c>
      <c r="F61" s="176" t="str">
        <f t="shared" si="8"/>
        <v/>
      </c>
      <c r="G61" s="176">
        <f>'配置页-主线副本'!U185</f>
        <v>0</v>
      </c>
      <c r="H61" s="176">
        <f t="shared" si="9"/>
        <v>0</v>
      </c>
      <c r="I61" s="174" t="s">
        <v>265</v>
      </c>
    </row>
    <row r="62" ht="22" customHeight="1" spans="1:9">
      <c r="A62" s="174" t="s">
        <v>15</v>
      </c>
      <c r="B62" s="174" t="s">
        <v>271</v>
      </c>
      <c r="C62" s="174" t="s">
        <v>272</v>
      </c>
      <c r="D62" s="174" t="s">
        <v>298</v>
      </c>
      <c r="E62" s="176">
        <f>'配置页-主线副本'!S189</f>
        <v>0</v>
      </c>
      <c r="F62" s="176" t="str">
        <f t="shared" si="8"/>
        <v/>
      </c>
      <c r="G62" s="176">
        <f>'配置页-主线副本'!U189</f>
        <v>0</v>
      </c>
      <c r="H62" s="176">
        <f t="shared" si="9"/>
        <v>0</v>
      </c>
      <c r="I62" s="174" t="s">
        <v>265</v>
      </c>
    </row>
    <row r="63" ht="22" customHeight="1" spans="1:9">
      <c r="A63" s="174" t="s">
        <v>15</v>
      </c>
      <c r="B63" s="174" t="s">
        <v>271</v>
      </c>
      <c r="C63" s="174" t="s">
        <v>272</v>
      </c>
      <c r="D63" s="174" t="s">
        <v>299</v>
      </c>
      <c r="E63" s="176">
        <f>'配置页-主线副本'!S193</f>
        <v>0</v>
      </c>
      <c r="F63" s="176" t="str">
        <f t="shared" si="8"/>
        <v/>
      </c>
      <c r="G63" s="176">
        <f>'配置页-主线副本'!U193</f>
        <v>0</v>
      </c>
      <c r="H63" s="176">
        <f t="shared" si="9"/>
        <v>0</v>
      </c>
      <c r="I63" s="174" t="s">
        <v>265</v>
      </c>
    </row>
    <row r="64" ht="22" customHeight="1" spans="1:9">
      <c r="A64" s="174" t="s">
        <v>15</v>
      </c>
      <c r="B64" s="174" t="s">
        <v>271</v>
      </c>
      <c r="C64" s="174" t="s">
        <v>272</v>
      </c>
      <c r="D64" s="174" t="s">
        <v>300</v>
      </c>
      <c r="E64" s="176">
        <f>'配置页-主线副本'!S197</f>
        <v>0</v>
      </c>
      <c r="F64" s="176" t="str">
        <f t="shared" si="8"/>
        <v/>
      </c>
      <c r="G64" s="176">
        <f>'配置页-主线副本'!U197</f>
        <v>0</v>
      </c>
      <c r="H64" s="176">
        <f t="shared" si="9"/>
        <v>0</v>
      </c>
      <c r="I64" s="174" t="s">
        <v>265</v>
      </c>
    </row>
    <row r="65" ht="22" customHeight="1" spans="1:9">
      <c r="A65" s="174" t="s">
        <v>15</v>
      </c>
      <c r="B65" s="174" t="s">
        <v>271</v>
      </c>
      <c r="C65" s="174" t="s">
        <v>272</v>
      </c>
      <c r="D65" s="174" t="s">
        <v>301</v>
      </c>
      <c r="E65" s="176">
        <f>'配置页-主线副本'!S201</f>
        <v>0</v>
      </c>
      <c r="F65" s="176" t="str">
        <f t="shared" si="8"/>
        <v/>
      </c>
      <c r="G65" s="176">
        <f>'配置页-主线副本'!U201</f>
        <v>0</v>
      </c>
      <c r="H65" s="176">
        <f t="shared" si="9"/>
        <v>0</v>
      </c>
      <c r="I65" s="174" t="s">
        <v>265</v>
      </c>
    </row>
    <row r="66" ht="22" customHeight="1" spans="1:9">
      <c r="A66" s="174" t="s">
        <v>15</v>
      </c>
      <c r="B66" s="174" t="s">
        <v>271</v>
      </c>
      <c r="C66" s="174" t="s">
        <v>272</v>
      </c>
      <c r="D66" s="174" t="s">
        <v>302</v>
      </c>
      <c r="E66" s="176">
        <f>'配置页-主线副本'!S205</f>
        <v>0</v>
      </c>
      <c r="F66" s="176" t="str">
        <f t="shared" si="8"/>
        <v/>
      </c>
      <c r="G66" s="176">
        <f>'配置页-主线副本'!U205</f>
        <v>0</v>
      </c>
      <c r="H66" s="176">
        <f t="shared" si="9"/>
        <v>0</v>
      </c>
      <c r="I66" s="174" t="s">
        <v>265</v>
      </c>
    </row>
    <row r="67" ht="22" customHeight="1" spans="1:9">
      <c r="A67" s="174" t="s">
        <v>15</v>
      </c>
      <c r="B67" s="174" t="s">
        <v>271</v>
      </c>
      <c r="C67" s="174" t="s">
        <v>272</v>
      </c>
      <c r="D67" s="174" t="s">
        <v>303</v>
      </c>
      <c r="E67" s="176">
        <f>'配置页-主线副本'!S209</f>
        <v>0</v>
      </c>
      <c r="F67" s="176" t="str">
        <f t="shared" si="8"/>
        <v/>
      </c>
      <c r="G67" s="176">
        <f>'配置页-主线副本'!U209</f>
        <v>0</v>
      </c>
      <c r="H67" s="176">
        <f t="shared" si="9"/>
        <v>0</v>
      </c>
      <c r="I67" s="174" t="s">
        <v>265</v>
      </c>
    </row>
    <row r="68" ht="22" customHeight="1" spans="1:9">
      <c r="A68" s="174" t="s">
        <v>15</v>
      </c>
      <c r="B68" s="174" t="s">
        <v>271</v>
      </c>
      <c r="C68" s="174" t="s">
        <v>272</v>
      </c>
      <c r="D68" s="174" t="s">
        <v>304</v>
      </c>
      <c r="E68" s="176" t="str">
        <f>'配置页-主线副本'!T21</f>
        <v>星盘低级道具防2</v>
      </c>
      <c r="F68" s="176" t="str">
        <f t="shared" si="8"/>
        <v/>
      </c>
      <c r="G68" s="176" t="e">
        <f>'配置页-主线副本'!#REF!</f>
        <v>#REF!</v>
      </c>
      <c r="H68" s="176">
        <f t="shared" si="9"/>
        <v>0</v>
      </c>
      <c r="I68" s="174" t="s">
        <v>265</v>
      </c>
    </row>
    <row r="69" ht="22" customHeight="1" spans="1:9">
      <c r="A69" s="174" t="s">
        <v>15</v>
      </c>
      <c r="B69" s="174" t="s">
        <v>271</v>
      </c>
      <c r="C69" s="174" t="s">
        <v>272</v>
      </c>
      <c r="D69" s="174" t="s">
        <v>305</v>
      </c>
      <c r="E69" s="176">
        <f>'配置页-主线副本'!S213</f>
        <v>0</v>
      </c>
      <c r="F69" s="176" t="str">
        <f t="shared" si="8"/>
        <v/>
      </c>
      <c r="G69" s="176">
        <f>'配置页-主线副本'!U213</f>
        <v>0</v>
      </c>
      <c r="H69" s="176">
        <f t="shared" si="9"/>
        <v>0</v>
      </c>
      <c r="I69" s="174" t="s">
        <v>265</v>
      </c>
    </row>
    <row r="70" ht="22" customHeight="1" spans="1:9">
      <c r="A70" s="174" t="s">
        <v>15</v>
      </c>
      <c r="B70" s="174" t="s">
        <v>271</v>
      </c>
      <c r="C70" s="174" t="s">
        <v>272</v>
      </c>
      <c r="D70" s="174" t="s">
        <v>306</v>
      </c>
      <c r="E70" s="176">
        <f>'配置页-主线副本'!S217</f>
        <v>0</v>
      </c>
      <c r="F70" s="176" t="str">
        <f t="shared" si="8"/>
        <v/>
      </c>
      <c r="G70" s="176">
        <f>'配置页-主线副本'!U217</f>
        <v>0</v>
      </c>
      <c r="H70" s="176">
        <f t="shared" si="9"/>
        <v>0</v>
      </c>
      <c r="I70" s="174" t="s">
        <v>265</v>
      </c>
    </row>
    <row r="71" ht="22" customHeight="1" spans="1:9">
      <c r="A71" s="174" t="s">
        <v>15</v>
      </c>
      <c r="B71" s="174" t="s">
        <v>271</v>
      </c>
      <c r="C71" s="174" t="s">
        <v>272</v>
      </c>
      <c r="D71" s="174" t="s">
        <v>307</v>
      </c>
      <c r="E71" s="176">
        <f>'配置页-主线副本'!S221</f>
        <v>0</v>
      </c>
      <c r="F71" s="176" t="str">
        <f t="shared" si="8"/>
        <v/>
      </c>
      <c r="G71" s="176">
        <f>'配置页-主线副本'!U221</f>
        <v>0</v>
      </c>
      <c r="H71" s="176">
        <f t="shared" si="9"/>
        <v>0</v>
      </c>
      <c r="I71" s="174" t="s">
        <v>265</v>
      </c>
    </row>
    <row r="72" ht="22" customHeight="1" spans="1:9">
      <c r="A72" s="174" t="s">
        <v>15</v>
      </c>
      <c r="B72" s="174" t="s">
        <v>271</v>
      </c>
      <c r="C72" s="174" t="s">
        <v>272</v>
      </c>
      <c r="D72" s="174" t="s">
        <v>308</v>
      </c>
      <c r="E72" s="176">
        <f>'配置页-主线副本'!S225</f>
        <v>0</v>
      </c>
      <c r="F72" s="176" t="str">
        <f t="shared" si="8"/>
        <v/>
      </c>
      <c r="G72" s="176">
        <f>'配置页-主线副本'!U225</f>
        <v>0</v>
      </c>
      <c r="H72" s="176">
        <f t="shared" si="9"/>
        <v>0</v>
      </c>
      <c r="I72" s="174" t="s">
        <v>265</v>
      </c>
    </row>
    <row r="73" ht="22" customHeight="1" spans="1:9">
      <c r="A73" s="174" t="s">
        <v>15</v>
      </c>
      <c r="B73" s="174" t="s">
        <v>271</v>
      </c>
      <c r="C73" s="174" t="s">
        <v>272</v>
      </c>
      <c r="D73" s="174" t="s">
        <v>309</v>
      </c>
      <c r="E73" s="176" t="str">
        <f>'配置页-主线副本'!T25</f>
        <v>金币</v>
      </c>
      <c r="F73" s="176" t="str">
        <f t="shared" si="8"/>
        <v/>
      </c>
      <c r="G73" s="176" t="e">
        <f>'配置页-主线副本'!#REF!</f>
        <v>#REF!</v>
      </c>
      <c r="H73" s="176">
        <f t="shared" si="9"/>
        <v>0</v>
      </c>
      <c r="I73" s="174" t="s">
        <v>265</v>
      </c>
    </row>
    <row r="74" ht="22" customHeight="1" spans="1:9">
      <c r="A74" s="174" t="s">
        <v>15</v>
      </c>
      <c r="B74" s="174" t="s">
        <v>271</v>
      </c>
      <c r="C74" s="174" t="s">
        <v>272</v>
      </c>
      <c r="D74" s="174" t="s">
        <v>310</v>
      </c>
      <c r="E74" s="176" t="str">
        <f>'配置页-主线副本'!T29</f>
        <v>角色经验中</v>
      </c>
      <c r="F74" s="176" t="str">
        <f t="shared" si="8"/>
        <v/>
      </c>
      <c r="G74" s="176" t="e">
        <f>'配置页-主线副本'!#REF!</f>
        <v>#REF!</v>
      </c>
      <c r="H74" s="176">
        <f t="shared" si="9"/>
        <v>0</v>
      </c>
      <c r="I74" s="174" t="s">
        <v>265</v>
      </c>
    </row>
    <row r="75" ht="22" customHeight="1" spans="1:9">
      <c r="A75" s="174" t="s">
        <v>15</v>
      </c>
      <c r="B75" s="174" t="s">
        <v>271</v>
      </c>
      <c r="C75" s="174" t="s">
        <v>272</v>
      </c>
      <c r="D75" s="174" t="s">
        <v>311</v>
      </c>
      <c r="E75" s="176" t="str">
        <f>'配置页-主线副本'!T33</f>
        <v>角色经验中</v>
      </c>
      <c r="F75" s="176" t="str">
        <f t="shared" si="8"/>
        <v/>
      </c>
      <c r="G75" s="176" t="e">
        <f>'配置页-主线副本'!#REF!</f>
        <v>#REF!</v>
      </c>
      <c r="H75" s="176">
        <f t="shared" si="9"/>
        <v>0</v>
      </c>
      <c r="I75" s="174" t="s">
        <v>265</v>
      </c>
    </row>
    <row r="76" ht="22" customHeight="1" spans="1:9">
      <c r="A76" s="174" t="s">
        <v>15</v>
      </c>
      <c r="B76" s="174" t="s">
        <v>271</v>
      </c>
      <c r="C76" s="174" t="s">
        <v>272</v>
      </c>
      <c r="D76" s="174" t="s">
        <v>312</v>
      </c>
      <c r="E76" s="176" t="str">
        <f>'配置页-主线副本'!T37</f>
        <v>角色经验中</v>
      </c>
      <c r="F76" s="176" t="str">
        <f t="shared" si="8"/>
        <v/>
      </c>
      <c r="G76" s="176" t="e">
        <f>'配置页-主线副本'!#REF!</f>
        <v>#REF!</v>
      </c>
      <c r="H76" s="176">
        <f t="shared" si="9"/>
        <v>0</v>
      </c>
      <c r="I76" s="174" t="s">
        <v>265</v>
      </c>
    </row>
    <row r="77" ht="22" customHeight="1" spans="1:9">
      <c r="A77" s="174" t="s">
        <v>15</v>
      </c>
      <c r="B77" s="174" t="s">
        <v>271</v>
      </c>
      <c r="C77" s="174" t="s">
        <v>272</v>
      </c>
      <c r="D77" s="174" t="s">
        <v>313</v>
      </c>
      <c r="E77" s="176" t="str">
        <f>'配置页-主线副本'!T4</f>
        <v>金币</v>
      </c>
      <c r="F77" s="176" t="str">
        <f t="shared" si="8"/>
        <v/>
      </c>
      <c r="G77" s="176" t="e">
        <f>'配置页-主线副本'!#REF!</f>
        <v>#REF!</v>
      </c>
      <c r="H77" s="176">
        <f t="shared" si="9"/>
        <v>0</v>
      </c>
      <c r="I77" s="174" t="s">
        <v>265</v>
      </c>
    </row>
    <row r="78" ht="22" customHeight="1" spans="1:9">
      <c r="A78" s="174" t="s">
        <v>15</v>
      </c>
      <c r="B78" s="174" t="s">
        <v>271</v>
      </c>
      <c r="C78" s="174" t="s">
        <v>272</v>
      </c>
      <c r="D78" s="174" t="s">
        <v>314</v>
      </c>
      <c r="E78" s="176" t="str">
        <f>'配置页-主线副本'!T40</f>
        <v>金币</v>
      </c>
      <c r="F78" s="176" t="str">
        <f t="shared" si="8"/>
        <v/>
      </c>
      <c r="G78" s="176" t="e">
        <f>'配置页-主线副本'!#REF!</f>
        <v>#REF!</v>
      </c>
      <c r="H78" s="176">
        <f t="shared" si="9"/>
        <v>0</v>
      </c>
      <c r="I78" s="174" t="s">
        <v>265</v>
      </c>
    </row>
    <row r="79" ht="22" customHeight="1" spans="1:9">
      <c r="A79" s="174" t="s">
        <v>15</v>
      </c>
      <c r="B79" s="174" t="s">
        <v>271</v>
      </c>
      <c r="C79" s="174" t="s">
        <v>272</v>
      </c>
      <c r="D79" s="174" t="s">
        <v>315</v>
      </c>
      <c r="E79" s="176" t="str">
        <f>'配置页-主线副本'!T43</f>
        <v>金币</v>
      </c>
      <c r="F79" s="176" t="str">
        <f t="shared" si="8"/>
        <v/>
      </c>
      <c r="G79" s="176" t="e">
        <f>'配置页-主线副本'!#REF!</f>
        <v>#REF!</v>
      </c>
      <c r="H79" s="176">
        <f t="shared" si="9"/>
        <v>0</v>
      </c>
      <c r="I79" s="174" t="s">
        <v>265</v>
      </c>
    </row>
    <row r="80" ht="22" customHeight="1" spans="1:9">
      <c r="A80" s="174" t="s">
        <v>15</v>
      </c>
      <c r="B80" s="174" t="s">
        <v>271</v>
      </c>
      <c r="C80" s="174" t="s">
        <v>272</v>
      </c>
      <c r="D80" s="174" t="s">
        <v>316</v>
      </c>
      <c r="E80" s="176" t="str">
        <f>'配置页-主线副本'!T46</f>
        <v>金币</v>
      </c>
      <c r="F80" s="176" t="str">
        <f t="shared" si="8"/>
        <v/>
      </c>
      <c r="G80" s="176" t="e">
        <f>'配置页-主线副本'!#REF!</f>
        <v>#REF!</v>
      </c>
      <c r="H80" s="176">
        <f t="shared" si="9"/>
        <v>0</v>
      </c>
      <c r="I80" s="174" t="s">
        <v>265</v>
      </c>
    </row>
    <row r="81" ht="22" customHeight="1" spans="1:9">
      <c r="A81" s="174" t="s">
        <v>15</v>
      </c>
      <c r="B81" s="174" t="s">
        <v>271</v>
      </c>
      <c r="C81" s="174" t="s">
        <v>272</v>
      </c>
      <c r="D81" s="174" t="s">
        <v>317</v>
      </c>
      <c r="E81" s="176" t="str">
        <f>'配置页-主线副本'!T49</f>
        <v>金币</v>
      </c>
      <c r="F81" s="176" t="str">
        <f t="shared" si="8"/>
        <v/>
      </c>
      <c r="G81" s="176" t="e">
        <f>'配置页-主线副本'!#REF!</f>
        <v>#REF!</v>
      </c>
      <c r="H81" s="176">
        <f t="shared" si="9"/>
        <v>0</v>
      </c>
      <c r="I81" s="174" t="s">
        <v>265</v>
      </c>
    </row>
    <row r="82" ht="22" customHeight="1" spans="1:9">
      <c r="A82" s="174" t="s">
        <v>15</v>
      </c>
      <c r="B82" s="174" t="s">
        <v>271</v>
      </c>
      <c r="C82" s="174" t="s">
        <v>272</v>
      </c>
      <c r="D82" s="174" t="s">
        <v>318</v>
      </c>
      <c r="E82" s="176" t="str">
        <f>'配置页-主线副本'!T52</f>
        <v>金币</v>
      </c>
      <c r="F82" s="176" t="str">
        <f t="shared" si="8"/>
        <v/>
      </c>
      <c r="G82" s="176" t="e">
        <f>'配置页-主线副本'!#REF!</f>
        <v>#REF!</v>
      </c>
      <c r="H82" s="176">
        <f t="shared" si="9"/>
        <v>0</v>
      </c>
      <c r="I82" s="174" t="s">
        <v>265</v>
      </c>
    </row>
    <row r="83" ht="22" customHeight="1" spans="1:9">
      <c r="A83" s="174" t="s">
        <v>15</v>
      </c>
      <c r="B83" s="174" t="s">
        <v>271</v>
      </c>
      <c r="C83" s="174" t="s">
        <v>272</v>
      </c>
      <c r="D83" s="174" t="s">
        <v>319</v>
      </c>
      <c r="E83" s="176" t="str">
        <f>'配置页-主线副本'!T55</f>
        <v>金币</v>
      </c>
      <c r="F83" s="176" t="str">
        <f t="shared" si="8"/>
        <v/>
      </c>
      <c r="G83" s="176" t="e">
        <f>'配置页-主线副本'!#REF!</f>
        <v>#REF!</v>
      </c>
      <c r="H83" s="176">
        <f t="shared" si="9"/>
        <v>0</v>
      </c>
      <c r="I83" s="174" t="s">
        <v>265</v>
      </c>
    </row>
    <row r="84" ht="22" customHeight="1" spans="1:9">
      <c r="A84" s="174" t="s">
        <v>15</v>
      </c>
      <c r="B84" s="174" t="s">
        <v>271</v>
      </c>
      <c r="C84" s="174" t="s">
        <v>272</v>
      </c>
      <c r="D84" s="174" t="s">
        <v>320</v>
      </c>
      <c r="E84" s="176" t="str">
        <f>'配置页-主线副本'!T59</f>
        <v>角色经验中</v>
      </c>
      <c r="F84" s="176" t="str">
        <f t="shared" ref="F84:F147" si="10">IF(E84="钻石","钻石",IF(ISNUMBER(SEARCH("角色抽卡券限时",E84)),"角色抽卡券限时",IF(ISNUMBER(SEARCH("专武抽卡券限时",E84)),"专武抽卡券限时",IF(ISNUMBER(SEARCH("角色抽卡券",E84)),"角色抽卡券普通",IF(ISNUMBER(SEARCH("专武抽卡券",E84)),"专武抽卡券普通","")))))</f>
        <v/>
      </c>
      <c r="G84" s="176" t="e">
        <f>'配置页-主线副本'!#REF!</f>
        <v>#REF!</v>
      </c>
      <c r="H84" s="176">
        <f t="shared" ref="H84:H147" si="11">IF(F84="",0,IF(F84="钻石",G84,G84*150))</f>
        <v>0</v>
      </c>
      <c r="I84" s="174" t="s">
        <v>265</v>
      </c>
    </row>
    <row r="85" ht="22" customHeight="1" spans="1:9">
      <c r="A85" s="174" t="s">
        <v>15</v>
      </c>
      <c r="B85" s="174" t="s">
        <v>271</v>
      </c>
      <c r="C85" s="174" t="s">
        <v>272</v>
      </c>
      <c r="D85" s="174" t="s">
        <v>321</v>
      </c>
      <c r="E85" s="176" t="str">
        <f>'配置页-主线副本'!T63</f>
        <v>角色经验中</v>
      </c>
      <c r="F85" s="176" t="str">
        <f t="shared" si="10"/>
        <v/>
      </c>
      <c r="G85" s="176" t="e">
        <f>'配置页-主线副本'!#REF!</f>
        <v>#REF!</v>
      </c>
      <c r="H85" s="176">
        <f t="shared" si="11"/>
        <v>0</v>
      </c>
      <c r="I85" s="174" t="s">
        <v>265</v>
      </c>
    </row>
    <row r="86" ht="22" customHeight="1" spans="1:9">
      <c r="A86" s="174" t="s">
        <v>15</v>
      </c>
      <c r="B86" s="174" t="s">
        <v>271</v>
      </c>
      <c r="C86" s="174" t="s">
        <v>272</v>
      </c>
      <c r="D86" s="174" t="s">
        <v>322</v>
      </c>
      <c r="E86" s="176" t="str">
        <f>'配置页-主线副本'!T67</f>
        <v>角色经验中</v>
      </c>
      <c r="F86" s="176" t="str">
        <f t="shared" si="10"/>
        <v/>
      </c>
      <c r="G86" s="176" t="e">
        <f>'配置页-主线副本'!#REF!</f>
        <v>#REF!</v>
      </c>
      <c r="H86" s="176">
        <f t="shared" si="11"/>
        <v>0</v>
      </c>
      <c r="I86" s="174" t="s">
        <v>265</v>
      </c>
    </row>
    <row r="87" ht="22" customHeight="1" spans="1:9">
      <c r="A87" s="174" t="s">
        <v>15</v>
      </c>
      <c r="B87" s="174" t="s">
        <v>271</v>
      </c>
      <c r="C87" s="174" t="s">
        <v>272</v>
      </c>
      <c r="D87" s="174" t="s">
        <v>323</v>
      </c>
      <c r="E87" s="176" t="str">
        <f>'配置页-主线副本'!T7</f>
        <v>角色经验低</v>
      </c>
      <c r="F87" s="176" t="str">
        <f t="shared" si="10"/>
        <v/>
      </c>
      <c r="G87" s="176" t="e">
        <f>'配置页-主线副本'!#REF!</f>
        <v>#REF!</v>
      </c>
      <c r="H87" s="176">
        <f t="shared" si="11"/>
        <v>0</v>
      </c>
      <c r="I87" s="174" t="s">
        <v>265</v>
      </c>
    </row>
    <row r="88" ht="22" customHeight="1" spans="1:9">
      <c r="A88" s="174" t="s">
        <v>15</v>
      </c>
      <c r="B88" s="174" t="s">
        <v>271</v>
      </c>
      <c r="C88" s="174" t="s">
        <v>272</v>
      </c>
      <c r="D88" s="174" t="s">
        <v>324</v>
      </c>
      <c r="E88" s="176" t="str">
        <f>'配置页-主线副本'!T71</f>
        <v>角色经验中</v>
      </c>
      <c r="F88" s="176" t="str">
        <f t="shared" si="10"/>
        <v/>
      </c>
      <c r="G88" s="176" t="e">
        <f>'配置页-主线副本'!#REF!</f>
        <v>#REF!</v>
      </c>
      <c r="H88" s="176">
        <f t="shared" si="11"/>
        <v>0</v>
      </c>
      <c r="I88" s="174" t="s">
        <v>265</v>
      </c>
    </row>
    <row r="89" ht="22" customHeight="1" spans="1:9">
      <c r="A89" s="174" t="s">
        <v>15</v>
      </c>
      <c r="B89" s="174" t="s">
        <v>271</v>
      </c>
      <c r="C89" s="174" t="s">
        <v>272</v>
      </c>
      <c r="D89" s="174" t="s">
        <v>325</v>
      </c>
      <c r="E89" s="176" t="str">
        <f>'配置页-主线副本'!T75</f>
        <v>星盘中级道具攻2</v>
      </c>
      <c r="F89" s="176" t="str">
        <f t="shared" si="10"/>
        <v/>
      </c>
      <c r="G89" s="176" t="e">
        <f>'配置页-主线副本'!#REF!</f>
        <v>#REF!</v>
      </c>
      <c r="H89" s="176">
        <f t="shared" si="11"/>
        <v>0</v>
      </c>
      <c r="I89" s="174" t="s">
        <v>265</v>
      </c>
    </row>
    <row r="90" ht="22" customHeight="1" spans="1:9">
      <c r="A90" s="174" t="s">
        <v>15</v>
      </c>
      <c r="B90" s="174" t="s">
        <v>271</v>
      </c>
      <c r="C90" s="174" t="s">
        <v>272</v>
      </c>
      <c r="D90" s="174" t="s">
        <v>326</v>
      </c>
      <c r="E90" s="176" t="str">
        <f>'配置页-主线副本'!T79</f>
        <v>金币</v>
      </c>
      <c r="F90" s="176" t="str">
        <f t="shared" si="10"/>
        <v/>
      </c>
      <c r="G90" s="176" t="e">
        <f>'配置页-主线副本'!#REF!</f>
        <v>#REF!</v>
      </c>
      <c r="H90" s="176">
        <f t="shared" si="11"/>
        <v>0</v>
      </c>
      <c r="I90" s="174" t="s">
        <v>265</v>
      </c>
    </row>
    <row r="91" ht="22" customHeight="1" spans="1:9">
      <c r="A91" s="174" t="s">
        <v>15</v>
      </c>
      <c r="B91" s="174" t="s">
        <v>271</v>
      </c>
      <c r="C91" s="174" t="s">
        <v>272</v>
      </c>
      <c r="D91" s="174" t="s">
        <v>327</v>
      </c>
      <c r="E91" s="176" t="str">
        <f>'配置页-主线副本'!T82</f>
        <v>金币</v>
      </c>
      <c r="F91" s="176" t="str">
        <f t="shared" si="10"/>
        <v/>
      </c>
      <c r="G91" s="176" t="e">
        <f>'配置页-主线副本'!#REF!</f>
        <v>#REF!</v>
      </c>
      <c r="H91" s="176">
        <f t="shared" si="11"/>
        <v>0</v>
      </c>
      <c r="I91" s="174" t="s">
        <v>265</v>
      </c>
    </row>
    <row r="92" ht="22" customHeight="1" spans="1:9">
      <c r="A92" s="174" t="s">
        <v>15</v>
      </c>
      <c r="B92" s="174" t="s">
        <v>271</v>
      </c>
      <c r="C92" s="174" t="s">
        <v>272</v>
      </c>
      <c r="D92" s="174" t="s">
        <v>328</v>
      </c>
      <c r="E92" s="176" t="str">
        <f>'配置页-主线副本'!T85</f>
        <v>金币</v>
      </c>
      <c r="F92" s="176" t="str">
        <f t="shared" si="10"/>
        <v/>
      </c>
      <c r="G92" s="176" t="e">
        <f>'配置页-主线副本'!#REF!</f>
        <v>#REF!</v>
      </c>
      <c r="H92" s="176">
        <f t="shared" si="11"/>
        <v>0</v>
      </c>
      <c r="I92" s="174" t="s">
        <v>265</v>
      </c>
    </row>
    <row r="93" ht="22" customHeight="1" spans="1:9">
      <c r="A93" s="174" t="s">
        <v>15</v>
      </c>
      <c r="B93" s="174" t="s">
        <v>271</v>
      </c>
      <c r="C93" s="174" t="s">
        <v>272</v>
      </c>
      <c r="D93" s="174" t="s">
        <v>329</v>
      </c>
      <c r="E93" s="176" t="str">
        <f>'配置页-主线副本'!T88</f>
        <v>金币</v>
      </c>
      <c r="F93" s="176" t="str">
        <f t="shared" si="10"/>
        <v/>
      </c>
      <c r="G93" s="176" t="e">
        <f>'配置页-主线副本'!#REF!</f>
        <v>#REF!</v>
      </c>
      <c r="H93" s="176">
        <f t="shared" si="11"/>
        <v>0</v>
      </c>
      <c r="I93" s="174" t="s">
        <v>265</v>
      </c>
    </row>
    <row r="94" ht="22" customHeight="1" spans="1:9">
      <c r="A94" s="174" t="s">
        <v>15</v>
      </c>
      <c r="B94" s="174" t="s">
        <v>271</v>
      </c>
      <c r="C94" s="174" t="s">
        <v>272</v>
      </c>
      <c r="D94" s="174" t="s">
        <v>330</v>
      </c>
      <c r="E94" s="176" t="str">
        <f>'配置页-主线副本'!T91</f>
        <v>金币</v>
      </c>
      <c r="F94" s="176" t="str">
        <f t="shared" si="10"/>
        <v/>
      </c>
      <c r="G94" s="176" t="e">
        <f>'配置页-主线副本'!#REF!</f>
        <v>#REF!</v>
      </c>
      <c r="H94" s="176">
        <f t="shared" si="11"/>
        <v>0</v>
      </c>
      <c r="I94" s="174" t="s">
        <v>265</v>
      </c>
    </row>
    <row r="95" ht="22" customHeight="1" spans="1:9">
      <c r="A95" s="174" t="s">
        <v>15</v>
      </c>
      <c r="B95" s="174" t="s">
        <v>271</v>
      </c>
      <c r="C95" s="174" t="s">
        <v>272</v>
      </c>
      <c r="D95" s="174" t="s">
        <v>331</v>
      </c>
      <c r="E95" s="176" t="str">
        <f>'配置页-主线副本'!T94</f>
        <v>金币</v>
      </c>
      <c r="F95" s="176" t="str">
        <f t="shared" si="10"/>
        <v/>
      </c>
      <c r="G95" s="176" t="e">
        <f>'配置页-主线副本'!#REF!</f>
        <v>#REF!</v>
      </c>
      <c r="H95" s="176">
        <f t="shared" si="11"/>
        <v>0</v>
      </c>
      <c r="I95" s="174" t="s">
        <v>265</v>
      </c>
    </row>
    <row r="96" ht="22" customHeight="1" spans="1:9">
      <c r="A96" s="174" t="s">
        <v>15</v>
      </c>
      <c r="B96" s="174" t="s">
        <v>271</v>
      </c>
      <c r="C96" s="174" t="s">
        <v>272</v>
      </c>
      <c r="D96" s="174" t="s">
        <v>332</v>
      </c>
      <c r="E96" s="176" t="str">
        <f>'配置页-主线副本'!T97</f>
        <v>金币</v>
      </c>
      <c r="F96" s="176" t="str">
        <f t="shared" si="10"/>
        <v/>
      </c>
      <c r="G96" s="176" t="e">
        <f>'配置页-主线副本'!#REF!</f>
        <v>#REF!</v>
      </c>
      <c r="H96" s="176">
        <f t="shared" si="11"/>
        <v>0</v>
      </c>
      <c r="I96" s="174" t="s">
        <v>265</v>
      </c>
    </row>
    <row r="97" ht="22" customHeight="1" spans="1:9">
      <c r="A97" s="174" t="s">
        <v>15</v>
      </c>
      <c r="B97" s="174" t="s">
        <v>333</v>
      </c>
      <c r="C97" s="174" t="s">
        <v>272</v>
      </c>
      <c r="D97" s="174" t="s">
        <v>334</v>
      </c>
      <c r="E97" s="176" t="str">
        <f>'配置页-主线副本'!O16</f>
        <v>钻石</v>
      </c>
      <c r="F97" s="176" t="str">
        <f t="shared" si="10"/>
        <v>钻石</v>
      </c>
      <c r="G97" s="176">
        <f>'配置页-主线副本'!Q16</f>
        <v>50</v>
      </c>
      <c r="H97" s="176">
        <f t="shared" si="11"/>
        <v>50</v>
      </c>
      <c r="I97" s="174" t="s">
        <v>265</v>
      </c>
    </row>
    <row r="98" ht="22" customHeight="1" spans="1:9">
      <c r="A98" s="174" t="s">
        <v>15</v>
      </c>
      <c r="B98" s="174" t="s">
        <v>333</v>
      </c>
      <c r="C98" s="174" t="s">
        <v>272</v>
      </c>
      <c r="D98" s="174" t="s">
        <v>335</v>
      </c>
      <c r="E98" s="176" t="str">
        <f>'配置页-主线副本'!O19</f>
        <v>钻石</v>
      </c>
      <c r="F98" s="176" t="str">
        <f t="shared" si="10"/>
        <v>钻石</v>
      </c>
      <c r="G98" s="176">
        <f>'配置页-主线副本'!Q19</f>
        <v>50</v>
      </c>
      <c r="H98" s="176">
        <f t="shared" si="11"/>
        <v>50</v>
      </c>
      <c r="I98" s="174" t="s">
        <v>265</v>
      </c>
    </row>
    <row r="99" ht="22" customHeight="1" spans="1:9">
      <c r="A99" s="174" t="s">
        <v>15</v>
      </c>
      <c r="B99" s="174" t="s">
        <v>333</v>
      </c>
      <c r="C99" s="174" t="s">
        <v>272</v>
      </c>
      <c r="D99" s="174" t="s">
        <v>336</v>
      </c>
      <c r="E99" s="176" t="str">
        <f>'配置页-主线副本'!O22</f>
        <v>钻石</v>
      </c>
      <c r="F99" s="176" t="str">
        <f t="shared" si="10"/>
        <v>钻石</v>
      </c>
      <c r="G99" s="176">
        <f>'配置页-主线副本'!Q22</f>
        <v>150</v>
      </c>
      <c r="H99" s="176">
        <f t="shared" si="11"/>
        <v>150</v>
      </c>
      <c r="I99" s="174" t="s">
        <v>265</v>
      </c>
    </row>
    <row r="100" ht="22" customHeight="1" spans="1:9">
      <c r="A100" s="174" t="s">
        <v>15</v>
      </c>
      <c r="B100" s="174" t="s">
        <v>333</v>
      </c>
      <c r="C100" s="174" t="s">
        <v>272</v>
      </c>
      <c r="D100" s="174" t="s">
        <v>337</v>
      </c>
      <c r="E100" s="176" t="str">
        <f>'配置页-主线副本'!O24</f>
        <v>角色抽卡券限时</v>
      </c>
      <c r="F100" s="176" t="str">
        <f t="shared" si="10"/>
        <v>角色抽卡券限时</v>
      </c>
      <c r="G100" s="176">
        <f>'配置页-主线副本'!Q24</f>
        <v>3</v>
      </c>
      <c r="H100" s="176">
        <f t="shared" si="11"/>
        <v>450</v>
      </c>
      <c r="I100" s="174" t="s">
        <v>265</v>
      </c>
    </row>
    <row r="101" ht="22" customHeight="1" spans="1:9">
      <c r="A101" s="174" t="s">
        <v>15</v>
      </c>
      <c r="B101" s="174" t="s">
        <v>333</v>
      </c>
      <c r="C101" s="174" t="s">
        <v>272</v>
      </c>
      <c r="D101" s="174" t="s">
        <v>338</v>
      </c>
      <c r="E101" s="176" t="str">
        <f>'配置页-主线副本'!O25</f>
        <v>钻石</v>
      </c>
      <c r="F101" s="176" t="str">
        <f t="shared" si="10"/>
        <v>钻石</v>
      </c>
      <c r="G101" s="176">
        <f>'配置页-主线副本'!Q25</f>
        <v>50</v>
      </c>
      <c r="H101" s="176">
        <f t="shared" si="11"/>
        <v>50</v>
      </c>
      <c r="I101" s="174" t="s">
        <v>265</v>
      </c>
    </row>
    <row r="102" ht="22" customHeight="1" spans="1:9">
      <c r="A102" s="174" t="s">
        <v>15</v>
      </c>
      <c r="B102" s="174" t="s">
        <v>333</v>
      </c>
      <c r="C102" s="174" t="s">
        <v>272</v>
      </c>
      <c r="D102" s="174" t="s">
        <v>339</v>
      </c>
      <c r="E102" s="176" t="str">
        <f>'配置页-主线副本'!O28</f>
        <v>钻石</v>
      </c>
      <c r="F102" s="176" t="str">
        <f t="shared" si="10"/>
        <v>钻石</v>
      </c>
      <c r="G102" s="176">
        <f>'配置页-主线副本'!Q28</f>
        <v>50</v>
      </c>
      <c r="H102" s="176">
        <f t="shared" si="11"/>
        <v>50</v>
      </c>
      <c r="I102" s="174" t="s">
        <v>265</v>
      </c>
    </row>
    <row r="103" ht="22" customHeight="1" spans="1:9">
      <c r="A103" s="174" t="s">
        <v>15</v>
      </c>
      <c r="B103" s="174" t="s">
        <v>333</v>
      </c>
      <c r="C103" s="174" t="s">
        <v>272</v>
      </c>
      <c r="D103" s="174" t="s">
        <v>340</v>
      </c>
      <c r="E103" s="176" t="str">
        <f>'配置页-主线副本'!O31</f>
        <v>钻石</v>
      </c>
      <c r="F103" s="176" t="str">
        <f t="shared" si="10"/>
        <v>钻石</v>
      </c>
      <c r="G103" s="176">
        <f>'配置页-主线副本'!Q31</f>
        <v>50</v>
      </c>
      <c r="H103" s="176">
        <f t="shared" si="11"/>
        <v>50</v>
      </c>
      <c r="I103" s="174" t="s">
        <v>265</v>
      </c>
    </row>
    <row r="104" ht="22" customHeight="1" spans="1:9">
      <c r="A104" s="174" t="s">
        <v>15</v>
      </c>
      <c r="B104" s="174" t="s">
        <v>333</v>
      </c>
      <c r="C104" s="174" t="s">
        <v>272</v>
      </c>
      <c r="D104" s="174" t="s">
        <v>341</v>
      </c>
      <c r="E104" s="176" t="str">
        <f>'配置页-主线副本'!O34</f>
        <v>钻石</v>
      </c>
      <c r="F104" s="176" t="str">
        <f t="shared" si="10"/>
        <v>钻石</v>
      </c>
      <c r="G104" s="176">
        <f>'配置页-主线副本'!Q34</f>
        <v>150</v>
      </c>
      <c r="H104" s="176">
        <f t="shared" si="11"/>
        <v>150</v>
      </c>
      <c r="I104" s="174" t="s">
        <v>265</v>
      </c>
    </row>
    <row r="105" ht="22" customHeight="1" spans="1:9">
      <c r="A105" s="174" t="s">
        <v>15</v>
      </c>
      <c r="B105" s="174" t="s">
        <v>333</v>
      </c>
      <c r="C105" s="174" t="s">
        <v>272</v>
      </c>
      <c r="D105" s="174" t="s">
        <v>342</v>
      </c>
      <c r="E105" s="176" t="str">
        <f>'配置页-主线副本'!O36</f>
        <v>角色抽卡券限时</v>
      </c>
      <c r="F105" s="176" t="str">
        <f t="shared" si="10"/>
        <v>角色抽卡券限时</v>
      </c>
      <c r="G105" s="176">
        <f>'配置页-主线副本'!Q36</f>
        <v>3</v>
      </c>
      <c r="H105" s="176">
        <f t="shared" si="11"/>
        <v>450</v>
      </c>
      <c r="I105" s="174" t="s">
        <v>265</v>
      </c>
    </row>
    <row r="106" ht="22" customHeight="1" spans="1:9">
      <c r="A106" s="174" t="s">
        <v>15</v>
      </c>
      <c r="B106" s="174" t="s">
        <v>333</v>
      </c>
      <c r="C106" s="174" t="s">
        <v>272</v>
      </c>
      <c r="D106" s="174" t="s">
        <v>343</v>
      </c>
      <c r="E106" s="176" t="str">
        <f>'配置页-主线副本'!O37</f>
        <v>钻石</v>
      </c>
      <c r="F106" s="176" t="str">
        <f t="shared" si="10"/>
        <v>钻石</v>
      </c>
      <c r="G106" s="176">
        <f>'配置页-主线副本'!Q37</f>
        <v>50</v>
      </c>
      <c r="H106" s="176">
        <f t="shared" si="11"/>
        <v>50</v>
      </c>
      <c r="I106" s="174" t="s">
        <v>265</v>
      </c>
    </row>
    <row r="107" ht="22" customHeight="1" spans="1:9">
      <c r="A107" s="174" t="s">
        <v>15</v>
      </c>
      <c r="B107" s="174" t="s">
        <v>333</v>
      </c>
      <c r="C107" s="174" t="s">
        <v>272</v>
      </c>
      <c r="D107" s="174" t="s">
        <v>344</v>
      </c>
      <c r="E107" s="176" t="str">
        <f>'配置页-主线副本'!O40</f>
        <v>钻石</v>
      </c>
      <c r="F107" s="176" t="str">
        <f t="shared" si="10"/>
        <v>钻石</v>
      </c>
      <c r="G107" s="176">
        <f>'配置页-主线副本'!Q40</f>
        <v>50</v>
      </c>
      <c r="H107" s="176">
        <f t="shared" si="11"/>
        <v>50</v>
      </c>
      <c r="I107" s="174" t="s">
        <v>265</v>
      </c>
    </row>
    <row r="108" ht="22" customHeight="1" spans="1:9">
      <c r="A108" s="174" t="s">
        <v>15</v>
      </c>
      <c r="B108" s="174" t="s">
        <v>333</v>
      </c>
      <c r="C108" s="174" t="s">
        <v>272</v>
      </c>
      <c r="D108" s="174" t="s">
        <v>345</v>
      </c>
      <c r="E108" s="176" t="str">
        <f>'配置页-主线副本'!O43</f>
        <v>钻石</v>
      </c>
      <c r="F108" s="176" t="str">
        <f t="shared" si="10"/>
        <v>钻石</v>
      </c>
      <c r="G108" s="176">
        <f>'配置页-主线副本'!Q43</f>
        <v>50</v>
      </c>
      <c r="H108" s="176">
        <f t="shared" si="11"/>
        <v>50</v>
      </c>
      <c r="I108" s="174" t="s">
        <v>265</v>
      </c>
    </row>
    <row r="109" ht="22" customHeight="1" spans="1:9">
      <c r="A109" s="174" t="s">
        <v>15</v>
      </c>
      <c r="B109" s="174" t="s">
        <v>333</v>
      </c>
      <c r="C109" s="174" t="s">
        <v>272</v>
      </c>
      <c r="D109" s="174" t="s">
        <v>346</v>
      </c>
      <c r="E109" s="176" t="str">
        <f>'配置页-主线副本'!O46</f>
        <v>钻石</v>
      </c>
      <c r="F109" s="176" t="str">
        <f t="shared" si="10"/>
        <v>钻石</v>
      </c>
      <c r="G109" s="176">
        <f>'配置页-主线副本'!Q46</f>
        <v>50</v>
      </c>
      <c r="H109" s="176">
        <f t="shared" si="11"/>
        <v>50</v>
      </c>
      <c r="I109" s="174" t="s">
        <v>265</v>
      </c>
    </row>
    <row r="110" ht="22" customHeight="1" spans="1:9">
      <c r="A110" s="174" t="s">
        <v>15</v>
      </c>
      <c r="B110" s="174" t="s">
        <v>333</v>
      </c>
      <c r="C110" s="174" t="s">
        <v>272</v>
      </c>
      <c r="D110" s="174" t="s">
        <v>347</v>
      </c>
      <c r="E110" s="176" t="str">
        <f>'配置页-主线副本'!O49</f>
        <v>钻石</v>
      </c>
      <c r="F110" s="176" t="str">
        <f t="shared" si="10"/>
        <v>钻石</v>
      </c>
      <c r="G110" s="176">
        <f>'配置页-主线副本'!Q49</f>
        <v>150</v>
      </c>
      <c r="H110" s="176">
        <f t="shared" si="11"/>
        <v>150</v>
      </c>
      <c r="I110" s="174" t="s">
        <v>265</v>
      </c>
    </row>
    <row r="111" ht="22" customHeight="1" spans="1:9">
      <c r="A111" s="174" t="s">
        <v>15</v>
      </c>
      <c r="B111" s="174" t="s">
        <v>333</v>
      </c>
      <c r="C111" s="174" t="s">
        <v>272</v>
      </c>
      <c r="D111" s="174" t="s">
        <v>348</v>
      </c>
      <c r="E111" s="176" t="str">
        <f>'配置页-主线副本'!O51</f>
        <v>角色抽卡券限时</v>
      </c>
      <c r="F111" s="176" t="str">
        <f t="shared" si="10"/>
        <v>角色抽卡券限时</v>
      </c>
      <c r="G111" s="176">
        <f>'配置页-主线副本'!Q51</f>
        <v>3</v>
      </c>
      <c r="H111" s="176">
        <f t="shared" si="11"/>
        <v>450</v>
      </c>
      <c r="I111" s="174" t="s">
        <v>265</v>
      </c>
    </row>
    <row r="112" ht="22" customHeight="1" spans="1:9">
      <c r="A112" s="174" t="s">
        <v>15</v>
      </c>
      <c r="B112" s="174" t="s">
        <v>333</v>
      </c>
      <c r="C112" s="174" t="s">
        <v>272</v>
      </c>
      <c r="D112" s="174" t="s">
        <v>349</v>
      </c>
      <c r="E112" s="176" t="str">
        <f>'配置页-主线副本'!O52</f>
        <v>钻石</v>
      </c>
      <c r="F112" s="176" t="str">
        <f t="shared" si="10"/>
        <v>钻石</v>
      </c>
      <c r="G112" s="176">
        <f>'配置页-主线副本'!Q52</f>
        <v>50</v>
      </c>
      <c r="H112" s="176">
        <f t="shared" si="11"/>
        <v>50</v>
      </c>
      <c r="I112" s="174" t="s">
        <v>265</v>
      </c>
    </row>
    <row r="113" ht="22" customHeight="1" spans="1:9">
      <c r="A113" s="174" t="s">
        <v>15</v>
      </c>
      <c r="B113" s="174" t="s">
        <v>333</v>
      </c>
      <c r="C113" s="174" t="s">
        <v>272</v>
      </c>
      <c r="D113" s="174" t="s">
        <v>350</v>
      </c>
      <c r="E113" s="176" t="str">
        <f>'配置页-主线副本'!O54</f>
        <v>角色升阶材料中攻</v>
      </c>
      <c r="F113" s="176" t="str">
        <f t="shared" si="10"/>
        <v/>
      </c>
      <c r="G113" s="176">
        <f>'配置页-主线副本'!Q54</f>
        <v>6</v>
      </c>
      <c r="H113" s="176">
        <f t="shared" si="11"/>
        <v>0</v>
      </c>
      <c r="I113" s="174" t="s">
        <v>265</v>
      </c>
    </row>
    <row r="114" ht="22" customHeight="1" spans="1:9">
      <c r="A114" s="174" t="s">
        <v>15</v>
      </c>
      <c r="B114" s="174" t="s">
        <v>333</v>
      </c>
      <c r="C114" s="174" t="s">
        <v>272</v>
      </c>
      <c r="D114" s="174" t="s">
        <v>351</v>
      </c>
      <c r="E114" s="176" t="str">
        <f>'配置页-主线副本'!O55</f>
        <v>钻石</v>
      </c>
      <c r="F114" s="176" t="str">
        <f t="shared" si="10"/>
        <v>钻石</v>
      </c>
      <c r="G114" s="176">
        <f>'配置页-主线副本'!Q55</f>
        <v>50</v>
      </c>
      <c r="H114" s="176">
        <f t="shared" si="11"/>
        <v>50</v>
      </c>
      <c r="I114" s="174" t="s">
        <v>265</v>
      </c>
    </row>
    <row r="115" ht="22" customHeight="1" spans="1:9">
      <c r="A115" s="174" t="s">
        <v>15</v>
      </c>
      <c r="B115" s="174" t="s">
        <v>333</v>
      </c>
      <c r="C115" s="174" t="s">
        <v>272</v>
      </c>
      <c r="D115" s="174" t="s">
        <v>352</v>
      </c>
      <c r="E115" s="176" t="str">
        <f>'配置页-主线副本'!O58</f>
        <v>钻石</v>
      </c>
      <c r="F115" s="176" t="str">
        <f t="shared" si="10"/>
        <v>钻石</v>
      </c>
      <c r="G115" s="176">
        <f>'配置页-主线副本'!Q58</f>
        <v>50</v>
      </c>
      <c r="H115" s="176">
        <f t="shared" si="11"/>
        <v>50</v>
      </c>
      <c r="I115" s="174" t="s">
        <v>265</v>
      </c>
    </row>
    <row r="116" ht="22" customHeight="1" spans="1:9">
      <c r="A116" s="174" t="s">
        <v>15</v>
      </c>
      <c r="B116" s="174" t="s">
        <v>333</v>
      </c>
      <c r="C116" s="174" t="s">
        <v>272</v>
      </c>
      <c r="D116" s="174" t="s">
        <v>353</v>
      </c>
      <c r="E116" s="176" t="str">
        <f>'配置页-主线副本'!O61</f>
        <v>钻石</v>
      </c>
      <c r="F116" s="176" t="str">
        <f t="shared" si="10"/>
        <v>钻石</v>
      </c>
      <c r="G116" s="176">
        <f>'配置页-主线副本'!Q61</f>
        <v>50</v>
      </c>
      <c r="H116" s="176">
        <f t="shared" si="11"/>
        <v>50</v>
      </c>
      <c r="I116" s="174" t="s">
        <v>265</v>
      </c>
    </row>
    <row r="117" ht="22" customHeight="1" spans="1:9">
      <c r="A117" s="174" t="s">
        <v>15</v>
      </c>
      <c r="B117" s="174" t="s">
        <v>333</v>
      </c>
      <c r="C117" s="174" t="s">
        <v>272</v>
      </c>
      <c r="D117" s="174" t="s">
        <v>354</v>
      </c>
      <c r="E117" s="176" t="str">
        <f>'配置页-主线副本'!O64</f>
        <v>钻石</v>
      </c>
      <c r="F117" s="176" t="str">
        <f t="shared" si="10"/>
        <v>钻石</v>
      </c>
      <c r="G117" s="176">
        <f>'配置页-主线副本'!Q64</f>
        <v>150</v>
      </c>
      <c r="H117" s="176">
        <f t="shared" si="11"/>
        <v>150</v>
      </c>
      <c r="I117" s="174" t="s">
        <v>265</v>
      </c>
    </row>
    <row r="118" ht="22" customHeight="1" spans="1:9">
      <c r="A118" s="174" t="s">
        <v>15</v>
      </c>
      <c r="B118" s="174" t="s">
        <v>333</v>
      </c>
      <c r="C118" s="174" t="s">
        <v>272</v>
      </c>
      <c r="D118" s="174" t="s">
        <v>355</v>
      </c>
      <c r="E118" s="176" t="str">
        <f>'配置页-主线副本'!O67</f>
        <v>钻石</v>
      </c>
      <c r="F118" s="176" t="str">
        <f t="shared" si="10"/>
        <v>钻石</v>
      </c>
      <c r="G118" s="176">
        <f>'配置页-主线副本'!Q67</f>
        <v>50</v>
      </c>
      <c r="H118" s="176">
        <f t="shared" si="11"/>
        <v>50</v>
      </c>
      <c r="I118" s="174" t="s">
        <v>265</v>
      </c>
    </row>
    <row r="119" ht="22" customHeight="1" spans="1:9">
      <c r="A119" s="174" t="s">
        <v>15</v>
      </c>
      <c r="B119" s="174" t="s">
        <v>333</v>
      </c>
      <c r="C119" s="174" t="s">
        <v>272</v>
      </c>
      <c r="D119" s="174" t="s">
        <v>356</v>
      </c>
      <c r="E119" s="176" t="str">
        <f>'配置页-主线副本'!O69</f>
        <v>角色升阶材料中攻</v>
      </c>
      <c r="F119" s="176" t="str">
        <f t="shared" si="10"/>
        <v/>
      </c>
      <c r="G119" s="176">
        <f>'配置页-主线副本'!Q69</f>
        <v>9</v>
      </c>
      <c r="H119" s="176">
        <f t="shared" si="11"/>
        <v>0</v>
      </c>
      <c r="I119" s="174" t="s">
        <v>265</v>
      </c>
    </row>
    <row r="120" ht="22" customHeight="1" spans="1:9">
      <c r="A120" s="174" t="s">
        <v>15</v>
      </c>
      <c r="B120" s="174" t="s">
        <v>333</v>
      </c>
      <c r="C120" s="174" t="s">
        <v>272</v>
      </c>
      <c r="D120" s="174" t="s">
        <v>357</v>
      </c>
      <c r="E120" s="176" t="str">
        <f>'配置页-主线副本'!O70</f>
        <v>钻石</v>
      </c>
      <c r="F120" s="176" t="str">
        <f t="shared" si="10"/>
        <v>钻石</v>
      </c>
      <c r="G120" s="176">
        <f>'配置页-主线副本'!Q70</f>
        <v>50</v>
      </c>
      <c r="H120" s="176">
        <f t="shared" si="11"/>
        <v>50</v>
      </c>
      <c r="I120" s="174" t="s">
        <v>265</v>
      </c>
    </row>
    <row r="121" ht="22" customHeight="1" spans="1:9">
      <c r="A121" s="174" t="s">
        <v>15</v>
      </c>
      <c r="B121" s="174" t="s">
        <v>333</v>
      </c>
      <c r="C121" s="174" t="s">
        <v>272</v>
      </c>
      <c r="D121" s="174" t="s">
        <v>358</v>
      </c>
      <c r="E121" s="176" t="str">
        <f>'配置页-主线副本'!O72</f>
        <v>角色升阶材料中防</v>
      </c>
      <c r="F121" s="176" t="str">
        <f t="shared" si="10"/>
        <v/>
      </c>
      <c r="G121" s="176">
        <f>'配置页-主线副本'!Q72</f>
        <v>9</v>
      </c>
      <c r="H121" s="176">
        <f t="shared" si="11"/>
        <v>0</v>
      </c>
      <c r="I121" s="174" t="s">
        <v>265</v>
      </c>
    </row>
    <row r="122" ht="22" customHeight="1" spans="1:9">
      <c r="A122" s="174" t="s">
        <v>15</v>
      </c>
      <c r="B122" s="174" t="s">
        <v>333</v>
      </c>
      <c r="C122" s="174" t="s">
        <v>272</v>
      </c>
      <c r="D122" s="174" t="s">
        <v>359</v>
      </c>
      <c r="E122" s="176" t="str">
        <f>'配置页-主线副本'!O73</f>
        <v>钻石</v>
      </c>
      <c r="F122" s="176" t="str">
        <f t="shared" si="10"/>
        <v>钻石</v>
      </c>
      <c r="G122" s="176">
        <f>'配置页-主线副本'!Q73</f>
        <v>50</v>
      </c>
      <c r="H122" s="176">
        <f t="shared" si="11"/>
        <v>50</v>
      </c>
      <c r="I122" s="174" t="s">
        <v>265</v>
      </c>
    </row>
    <row r="123" ht="22" customHeight="1" spans="1:9">
      <c r="A123" s="174" t="s">
        <v>15</v>
      </c>
      <c r="B123" s="174" t="s">
        <v>333</v>
      </c>
      <c r="C123" s="174" t="s">
        <v>272</v>
      </c>
      <c r="D123" s="174" t="s">
        <v>360</v>
      </c>
      <c r="E123" s="176" t="str">
        <f>'配置页-主线副本'!O76</f>
        <v>钻石</v>
      </c>
      <c r="F123" s="176" t="str">
        <f t="shared" si="10"/>
        <v>钻石</v>
      </c>
      <c r="G123" s="176">
        <f>'配置页-主线副本'!Q76</f>
        <v>50</v>
      </c>
      <c r="H123" s="176">
        <f t="shared" si="11"/>
        <v>50</v>
      </c>
      <c r="I123" s="174" t="s">
        <v>265</v>
      </c>
    </row>
    <row r="124" ht="22" customHeight="1" spans="1:9">
      <c r="A124" s="174" t="s">
        <v>15</v>
      </c>
      <c r="B124" s="174" t="s">
        <v>333</v>
      </c>
      <c r="C124" s="174" t="s">
        <v>272</v>
      </c>
      <c r="D124" s="174" t="s">
        <v>361</v>
      </c>
      <c r="E124" s="176" t="str">
        <f>'配置页-主线副本'!O79</f>
        <v>钻石</v>
      </c>
      <c r="F124" s="176" t="str">
        <f t="shared" si="10"/>
        <v>钻石</v>
      </c>
      <c r="G124" s="176">
        <f>'配置页-主线副本'!Q79</f>
        <v>150</v>
      </c>
      <c r="H124" s="176">
        <f t="shared" si="11"/>
        <v>150</v>
      </c>
      <c r="I124" s="174" t="s">
        <v>265</v>
      </c>
    </row>
    <row r="125" ht="22" customHeight="1" spans="1:9">
      <c r="A125" s="174" t="s">
        <v>15</v>
      </c>
      <c r="B125" s="174" t="s">
        <v>333</v>
      </c>
      <c r="C125" s="174" t="s">
        <v>272</v>
      </c>
      <c r="D125" s="174" t="s">
        <v>362</v>
      </c>
      <c r="E125" s="176">
        <f>'配置页-主线副本'!O82</f>
        <v>0</v>
      </c>
      <c r="F125" s="176" t="str">
        <f t="shared" si="10"/>
        <v/>
      </c>
      <c r="G125" s="176">
        <f>'配置页-主线副本'!Q82</f>
        <v>0</v>
      </c>
      <c r="H125" s="176">
        <f t="shared" si="11"/>
        <v>0</v>
      </c>
      <c r="I125" s="174" t="s">
        <v>265</v>
      </c>
    </row>
    <row r="126" ht="22" customHeight="1" spans="1:9">
      <c r="A126" s="174" t="s">
        <v>15</v>
      </c>
      <c r="B126" s="174" t="s">
        <v>333</v>
      </c>
      <c r="C126" s="174" t="s">
        <v>272</v>
      </c>
      <c r="D126" s="174" t="s">
        <v>363</v>
      </c>
      <c r="E126" s="176">
        <f>'配置页-主线副本'!O85</f>
        <v>0</v>
      </c>
      <c r="F126" s="176" t="str">
        <f t="shared" si="10"/>
        <v/>
      </c>
      <c r="G126" s="176">
        <f>'配置页-主线副本'!Q85</f>
        <v>0</v>
      </c>
      <c r="H126" s="176">
        <f t="shared" si="11"/>
        <v>0</v>
      </c>
      <c r="I126" s="174" t="s">
        <v>265</v>
      </c>
    </row>
    <row r="127" ht="22" customHeight="1" spans="1:9">
      <c r="A127" s="174" t="s">
        <v>15</v>
      </c>
      <c r="B127" s="174" t="s">
        <v>333</v>
      </c>
      <c r="C127" s="174" t="s">
        <v>272</v>
      </c>
      <c r="D127" s="174" t="s">
        <v>364</v>
      </c>
      <c r="E127" s="176">
        <f>'配置页-主线副本'!O87</f>
        <v>0</v>
      </c>
      <c r="F127" s="176" t="str">
        <f t="shared" si="10"/>
        <v/>
      </c>
      <c r="G127" s="176">
        <f>'配置页-主线副本'!Q87</f>
        <v>0</v>
      </c>
      <c r="H127" s="176">
        <f t="shared" si="11"/>
        <v>0</v>
      </c>
      <c r="I127" s="174" t="s">
        <v>265</v>
      </c>
    </row>
    <row r="128" ht="22" customHeight="1" spans="1:9">
      <c r="A128" s="174" t="s">
        <v>15</v>
      </c>
      <c r="B128" s="174" t="s">
        <v>333</v>
      </c>
      <c r="C128" s="174" t="s">
        <v>272</v>
      </c>
      <c r="D128" s="174" t="s">
        <v>365</v>
      </c>
      <c r="E128" s="176">
        <f>'配置页-主线副本'!O88</f>
        <v>0</v>
      </c>
      <c r="F128" s="176" t="str">
        <f t="shared" si="10"/>
        <v/>
      </c>
      <c r="G128" s="176">
        <f>'配置页-主线副本'!Q88</f>
        <v>0</v>
      </c>
      <c r="H128" s="176">
        <f t="shared" si="11"/>
        <v>0</v>
      </c>
      <c r="I128" s="174" t="s">
        <v>265</v>
      </c>
    </row>
    <row r="129" ht="22" customHeight="1" spans="1:9">
      <c r="A129" s="174" t="s">
        <v>15</v>
      </c>
      <c r="B129" s="174" t="s">
        <v>333</v>
      </c>
      <c r="C129" s="174" t="s">
        <v>272</v>
      </c>
      <c r="D129" s="174" t="s">
        <v>366</v>
      </c>
      <c r="E129" s="176">
        <f>'配置页-主线副本'!O90</f>
        <v>0</v>
      </c>
      <c r="F129" s="176" t="str">
        <f t="shared" si="10"/>
        <v/>
      </c>
      <c r="G129" s="176">
        <f>'配置页-主线副本'!Q90</f>
        <v>0</v>
      </c>
      <c r="H129" s="176">
        <f t="shared" si="11"/>
        <v>0</v>
      </c>
      <c r="I129" s="174" t="s">
        <v>265</v>
      </c>
    </row>
    <row r="130" ht="22" customHeight="1" spans="1:9">
      <c r="A130" s="174" t="s">
        <v>16</v>
      </c>
      <c r="B130" s="174" t="s">
        <v>367</v>
      </c>
      <c r="C130" s="174" t="s">
        <v>16</v>
      </c>
      <c r="D130" s="174" t="s">
        <v>159</v>
      </c>
      <c r="E130" s="176" t="str">
        <f>任务!C42</f>
        <v>角色抽卡券限时</v>
      </c>
      <c r="F130" s="176" t="str">
        <f t="shared" si="10"/>
        <v>角色抽卡券限时</v>
      </c>
      <c r="G130" s="176">
        <f>任务!D42</f>
        <v>10</v>
      </c>
      <c r="H130" s="176">
        <f t="shared" si="11"/>
        <v>1500</v>
      </c>
      <c r="I130" s="174" t="s">
        <v>265</v>
      </c>
    </row>
    <row r="131" ht="22" customHeight="1" spans="1:9">
      <c r="A131" s="174" t="s">
        <v>16</v>
      </c>
      <c r="B131" s="174" t="s">
        <v>367</v>
      </c>
      <c r="C131" s="174" t="s">
        <v>16</v>
      </c>
      <c r="D131" s="174" t="s">
        <v>161</v>
      </c>
      <c r="E131" s="176" t="str">
        <f>任务!C48</f>
        <v>角色抽卡券限时</v>
      </c>
      <c r="F131" s="176" t="str">
        <f t="shared" si="10"/>
        <v>角色抽卡券限时</v>
      </c>
      <c r="G131" s="176">
        <f>任务!D48</f>
        <v>10</v>
      </c>
      <c r="H131" s="176">
        <f t="shared" si="11"/>
        <v>1500</v>
      </c>
      <c r="I131" s="174" t="s">
        <v>265</v>
      </c>
    </row>
    <row r="132" ht="22" customHeight="1" spans="1:9">
      <c r="A132" s="174" t="s">
        <v>16</v>
      </c>
      <c r="B132" s="174" t="s">
        <v>367</v>
      </c>
      <c r="C132" s="174" t="s">
        <v>16</v>
      </c>
      <c r="D132" s="174" t="s">
        <v>162</v>
      </c>
      <c r="E132" s="176" t="str">
        <f>任务!C56</f>
        <v>角色抽卡券限时</v>
      </c>
      <c r="F132" s="176" t="str">
        <f t="shared" si="10"/>
        <v>角色抽卡券限时</v>
      </c>
      <c r="G132" s="176">
        <f>任务!D56</f>
        <v>10</v>
      </c>
      <c r="H132" s="176">
        <f t="shared" si="11"/>
        <v>1500</v>
      </c>
      <c r="I132" s="174" t="s">
        <v>265</v>
      </c>
    </row>
    <row r="133" ht="22" customHeight="1" spans="1:9">
      <c r="A133" s="174" t="s">
        <v>16</v>
      </c>
      <c r="B133" s="174" t="s">
        <v>367</v>
      </c>
      <c r="C133" s="174" t="s">
        <v>16</v>
      </c>
      <c r="D133" s="174" t="s">
        <v>163</v>
      </c>
      <c r="E133" s="176" t="str">
        <f>任务!C64</f>
        <v>角色抽卡券限时</v>
      </c>
      <c r="F133" s="176" t="str">
        <f t="shared" si="10"/>
        <v>角色抽卡券限时</v>
      </c>
      <c r="G133" s="176">
        <f>任务!D64</f>
        <v>10</v>
      </c>
      <c r="H133" s="176">
        <f t="shared" si="11"/>
        <v>1500</v>
      </c>
      <c r="I133" s="174" t="s">
        <v>265</v>
      </c>
    </row>
    <row r="134" ht="22" customHeight="1" spans="1:9">
      <c r="A134" s="174" t="s">
        <v>16</v>
      </c>
      <c r="B134" s="174" t="s">
        <v>367</v>
      </c>
      <c r="C134" s="174" t="s">
        <v>16</v>
      </c>
      <c r="D134" s="174" t="s">
        <v>164</v>
      </c>
      <c r="E134" s="176" t="str">
        <f>任务!C65</f>
        <v>专武抽卡券限时</v>
      </c>
      <c r="F134" s="176" t="str">
        <f t="shared" si="10"/>
        <v>专武抽卡券限时</v>
      </c>
      <c r="G134" s="176">
        <f>任务!D65</f>
        <v>10</v>
      </c>
      <c r="H134" s="176">
        <f t="shared" si="11"/>
        <v>1500</v>
      </c>
      <c r="I134" s="174" t="s">
        <v>265</v>
      </c>
    </row>
    <row r="135" ht="22" customHeight="1" spans="1:9">
      <c r="A135" s="174" t="s">
        <v>16</v>
      </c>
      <c r="B135" s="174" t="s">
        <v>367</v>
      </c>
      <c r="C135" s="174" t="s">
        <v>16</v>
      </c>
      <c r="D135" s="174" t="s">
        <v>165</v>
      </c>
      <c r="E135" s="176" t="str">
        <f>任务!F42</f>
        <v>钻石</v>
      </c>
      <c r="F135" s="176" t="str">
        <f t="shared" si="10"/>
        <v>钻石</v>
      </c>
      <c r="G135" s="176">
        <f>任务!G42</f>
        <v>30</v>
      </c>
      <c r="H135" s="176">
        <f t="shared" si="11"/>
        <v>30</v>
      </c>
      <c r="I135" s="174" t="s">
        <v>265</v>
      </c>
    </row>
    <row r="136" ht="22" customHeight="1" spans="1:9">
      <c r="A136" s="174" t="s">
        <v>16</v>
      </c>
      <c r="B136" s="174" t="s">
        <v>367</v>
      </c>
      <c r="C136" s="174" t="s">
        <v>16</v>
      </c>
      <c r="D136" s="174" t="s">
        <v>166</v>
      </c>
      <c r="E136" s="176" t="str">
        <f>任务!F43</f>
        <v>钻石</v>
      </c>
      <c r="F136" s="176" t="str">
        <f t="shared" si="10"/>
        <v>钻石</v>
      </c>
      <c r="G136" s="176">
        <f>任务!G43</f>
        <v>50</v>
      </c>
      <c r="H136" s="176">
        <f t="shared" si="11"/>
        <v>50</v>
      </c>
      <c r="I136" s="174" t="s">
        <v>265</v>
      </c>
    </row>
    <row r="137" ht="22" customHeight="1" spans="1:9">
      <c r="A137" s="174" t="s">
        <v>16</v>
      </c>
      <c r="B137" s="174" t="s">
        <v>367</v>
      </c>
      <c r="C137" s="174" t="s">
        <v>16</v>
      </c>
      <c r="D137" s="174" t="s">
        <v>167</v>
      </c>
      <c r="E137" s="176" t="str">
        <f>任务!F46</f>
        <v>钻石</v>
      </c>
      <c r="F137" s="176" t="str">
        <f t="shared" si="10"/>
        <v>钻石</v>
      </c>
      <c r="G137" s="176">
        <f>任务!G46</f>
        <v>50</v>
      </c>
      <c r="H137" s="176">
        <f t="shared" si="11"/>
        <v>50</v>
      </c>
      <c r="I137" s="174" t="s">
        <v>265</v>
      </c>
    </row>
    <row r="138" ht="22" customHeight="1" spans="1:9">
      <c r="A138" s="174" t="s">
        <v>16</v>
      </c>
      <c r="B138" s="174" t="s">
        <v>367</v>
      </c>
      <c r="C138" s="174" t="s">
        <v>16</v>
      </c>
      <c r="D138" s="174" t="s">
        <v>168</v>
      </c>
      <c r="E138" s="176" t="str">
        <f>任务!F48</f>
        <v>钻石</v>
      </c>
      <c r="F138" s="176" t="str">
        <f t="shared" si="10"/>
        <v>钻石</v>
      </c>
      <c r="G138" s="176">
        <f>任务!G48</f>
        <v>20</v>
      </c>
      <c r="H138" s="176">
        <f t="shared" si="11"/>
        <v>20</v>
      </c>
      <c r="I138" s="174" t="s">
        <v>265</v>
      </c>
    </row>
    <row r="139" ht="22" customHeight="1" spans="1:9">
      <c r="A139" s="174" t="s">
        <v>16</v>
      </c>
      <c r="B139" s="174" t="s">
        <v>367</v>
      </c>
      <c r="C139" s="174" t="s">
        <v>16</v>
      </c>
      <c r="D139" s="174" t="s">
        <v>169</v>
      </c>
      <c r="E139" s="176" t="str">
        <f>任务!F49</f>
        <v>钻石</v>
      </c>
      <c r="F139" s="176" t="str">
        <f t="shared" si="10"/>
        <v>钻石</v>
      </c>
      <c r="G139" s="176">
        <f>任务!G49</f>
        <v>30</v>
      </c>
      <c r="H139" s="176">
        <f t="shared" si="11"/>
        <v>30</v>
      </c>
      <c r="I139" s="174" t="s">
        <v>265</v>
      </c>
    </row>
    <row r="140" ht="22" customHeight="1" spans="1:9">
      <c r="A140" s="174" t="s">
        <v>16</v>
      </c>
      <c r="B140" s="174" t="s">
        <v>367</v>
      </c>
      <c r="C140" s="174" t="s">
        <v>16</v>
      </c>
      <c r="D140" s="174" t="s">
        <v>170</v>
      </c>
      <c r="E140" s="176" t="str">
        <f>任务!F50</f>
        <v>钻石</v>
      </c>
      <c r="F140" s="176" t="str">
        <f t="shared" si="10"/>
        <v>钻石</v>
      </c>
      <c r="G140" s="176">
        <f>任务!G50</f>
        <v>50</v>
      </c>
      <c r="H140" s="176">
        <f t="shared" si="11"/>
        <v>50</v>
      </c>
      <c r="I140" s="174" t="s">
        <v>265</v>
      </c>
    </row>
    <row r="141" ht="22" customHeight="1" spans="1:9">
      <c r="A141" s="174" t="s">
        <v>16</v>
      </c>
      <c r="B141" s="174" t="s">
        <v>367</v>
      </c>
      <c r="C141" s="174" t="s">
        <v>16</v>
      </c>
      <c r="D141" s="174" t="s">
        <v>171</v>
      </c>
      <c r="E141" s="176" t="str">
        <f>任务!F54</f>
        <v>钻石</v>
      </c>
      <c r="F141" s="176" t="str">
        <f t="shared" si="10"/>
        <v>钻石</v>
      </c>
      <c r="G141" s="176">
        <f>任务!G54</f>
        <v>50</v>
      </c>
      <c r="H141" s="176">
        <f t="shared" si="11"/>
        <v>50</v>
      </c>
      <c r="I141" s="174" t="s">
        <v>265</v>
      </c>
    </row>
    <row r="142" ht="22" customHeight="1" spans="1:9">
      <c r="A142" s="174" t="s">
        <v>16</v>
      </c>
      <c r="B142" s="174" t="s">
        <v>367</v>
      </c>
      <c r="C142" s="174" t="s">
        <v>16</v>
      </c>
      <c r="D142" s="174" t="s">
        <v>172</v>
      </c>
      <c r="E142" s="176" t="str">
        <f>任务!F56</f>
        <v>钻石</v>
      </c>
      <c r="F142" s="176" t="str">
        <f t="shared" si="10"/>
        <v>钻石</v>
      </c>
      <c r="G142" s="176">
        <f>任务!G56</f>
        <v>20</v>
      </c>
      <c r="H142" s="176">
        <f t="shared" si="11"/>
        <v>20</v>
      </c>
      <c r="I142" s="174" t="s">
        <v>265</v>
      </c>
    </row>
    <row r="143" ht="22" customHeight="1" spans="1:9">
      <c r="A143" s="174" t="s">
        <v>16</v>
      </c>
      <c r="B143" s="174" t="s">
        <v>367</v>
      </c>
      <c r="C143" s="174" t="s">
        <v>16</v>
      </c>
      <c r="D143" s="174" t="s">
        <v>173</v>
      </c>
      <c r="E143" s="176" t="str">
        <f>任务!F57</f>
        <v>钻石</v>
      </c>
      <c r="F143" s="176" t="str">
        <f t="shared" si="10"/>
        <v>钻石</v>
      </c>
      <c r="G143" s="176">
        <f>任务!G57</f>
        <v>30</v>
      </c>
      <c r="H143" s="176">
        <f t="shared" si="11"/>
        <v>30</v>
      </c>
      <c r="I143" s="174" t="s">
        <v>265</v>
      </c>
    </row>
    <row r="144" ht="22" customHeight="1" spans="1:9">
      <c r="A144" s="174" t="s">
        <v>16</v>
      </c>
      <c r="B144" s="174" t="s">
        <v>367</v>
      </c>
      <c r="C144" s="174" t="s">
        <v>16</v>
      </c>
      <c r="D144" s="174" t="s">
        <v>174</v>
      </c>
      <c r="E144" s="176" t="str">
        <f>任务!F58</f>
        <v>钻石</v>
      </c>
      <c r="F144" s="176" t="str">
        <f t="shared" si="10"/>
        <v>钻石</v>
      </c>
      <c r="G144" s="176">
        <f>任务!G58</f>
        <v>50</v>
      </c>
      <c r="H144" s="176">
        <f t="shared" si="11"/>
        <v>50</v>
      </c>
      <c r="I144" s="174" t="s">
        <v>265</v>
      </c>
    </row>
    <row r="145" ht="22" customHeight="1" spans="1:9">
      <c r="A145" s="174" t="s">
        <v>16</v>
      </c>
      <c r="B145" s="174" t="s">
        <v>367</v>
      </c>
      <c r="C145" s="174" t="s">
        <v>16</v>
      </c>
      <c r="D145" s="174" t="s">
        <v>175</v>
      </c>
      <c r="E145" s="176" t="str">
        <f>任务!F62</f>
        <v>钻石</v>
      </c>
      <c r="F145" s="176" t="str">
        <f t="shared" si="10"/>
        <v>钻石</v>
      </c>
      <c r="G145" s="176">
        <f>任务!G62</f>
        <v>50</v>
      </c>
      <c r="H145" s="176">
        <f t="shared" si="11"/>
        <v>50</v>
      </c>
      <c r="I145" s="174" t="s">
        <v>265</v>
      </c>
    </row>
    <row r="146" ht="22" customHeight="1" spans="1:9">
      <c r="A146" s="174" t="s">
        <v>16</v>
      </c>
      <c r="B146" s="174" t="s">
        <v>367</v>
      </c>
      <c r="C146" s="174" t="s">
        <v>16</v>
      </c>
      <c r="D146" s="174" t="s">
        <v>176</v>
      </c>
      <c r="E146" s="176" t="str">
        <f>任务!F64</f>
        <v>钻石</v>
      </c>
      <c r="F146" s="176" t="str">
        <f t="shared" si="10"/>
        <v>钻石</v>
      </c>
      <c r="G146" s="176">
        <f>任务!G64</f>
        <v>20</v>
      </c>
      <c r="H146" s="176">
        <f t="shared" si="11"/>
        <v>20</v>
      </c>
      <c r="I146" s="174" t="s">
        <v>265</v>
      </c>
    </row>
    <row r="147" ht="22" customHeight="1" spans="1:9">
      <c r="A147" s="174" t="s">
        <v>16</v>
      </c>
      <c r="B147" s="174" t="s">
        <v>367</v>
      </c>
      <c r="C147" s="174" t="s">
        <v>16</v>
      </c>
      <c r="D147" s="174" t="s">
        <v>177</v>
      </c>
      <c r="E147" s="176" t="str">
        <f>任务!F65</f>
        <v>钻石</v>
      </c>
      <c r="F147" s="176" t="str">
        <f t="shared" si="10"/>
        <v>钻石</v>
      </c>
      <c r="G147" s="176">
        <f>任务!G65</f>
        <v>30</v>
      </c>
      <c r="H147" s="176">
        <f t="shared" si="11"/>
        <v>30</v>
      </c>
      <c r="I147" s="174" t="s">
        <v>265</v>
      </c>
    </row>
    <row r="148" ht="22" customHeight="1" spans="1:9">
      <c r="A148" s="174" t="s">
        <v>16</v>
      </c>
      <c r="B148" s="174" t="s">
        <v>367</v>
      </c>
      <c r="C148" s="174" t="s">
        <v>16</v>
      </c>
      <c r="D148" s="174" t="s">
        <v>178</v>
      </c>
      <c r="E148" s="176" t="str">
        <f>任务!F66</f>
        <v>钻石</v>
      </c>
      <c r="F148" s="176" t="str">
        <f t="shared" ref="F148:F211" si="12">IF(E148="钻石","钻石",IF(ISNUMBER(SEARCH("角色抽卡券限时",E148)),"角色抽卡券限时",IF(ISNUMBER(SEARCH("专武抽卡券限时",E148)),"专武抽卡券限时",IF(ISNUMBER(SEARCH("角色抽卡券",E148)),"角色抽卡券普通",IF(ISNUMBER(SEARCH("专武抽卡券",E148)),"专武抽卡券普通","")))))</f>
        <v>钻石</v>
      </c>
      <c r="G148" s="176">
        <f>任务!G66</f>
        <v>50</v>
      </c>
      <c r="H148" s="176">
        <f t="shared" ref="H148:H211" si="13">IF(F148="",0,IF(F148="钻石",G148,G148*150))</f>
        <v>50</v>
      </c>
      <c r="I148" s="174" t="s">
        <v>265</v>
      </c>
    </row>
    <row r="149" ht="22" customHeight="1" spans="1:9">
      <c r="A149" s="174" t="s">
        <v>16</v>
      </c>
      <c r="B149" s="174" t="s">
        <v>367</v>
      </c>
      <c r="C149" s="174" t="s">
        <v>16</v>
      </c>
      <c r="D149" s="174" t="s">
        <v>179</v>
      </c>
      <c r="E149" s="176" t="str">
        <f>任务!F70</f>
        <v>钻石</v>
      </c>
      <c r="F149" s="176" t="str">
        <f t="shared" si="12"/>
        <v>钻石</v>
      </c>
      <c r="G149" s="176">
        <f>任务!G70</f>
        <v>50</v>
      </c>
      <c r="H149" s="176">
        <f t="shared" si="13"/>
        <v>50</v>
      </c>
      <c r="I149" s="174" t="s">
        <v>265</v>
      </c>
    </row>
    <row r="150" ht="22" customHeight="1" spans="1:9">
      <c r="A150" s="174" t="s">
        <v>16</v>
      </c>
      <c r="B150" s="174" t="s">
        <v>152</v>
      </c>
      <c r="C150" s="174" t="s">
        <v>16</v>
      </c>
      <c r="D150" s="174" t="s">
        <v>98</v>
      </c>
      <c r="E150" s="176" t="str">
        <f>任务!D17</f>
        <v>钻石</v>
      </c>
      <c r="F150" s="176" t="str">
        <f t="shared" si="12"/>
        <v>钻石</v>
      </c>
      <c r="G150" s="176">
        <f>任务!E17</f>
        <v>50</v>
      </c>
      <c r="H150" s="176">
        <f t="shared" si="13"/>
        <v>50</v>
      </c>
      <c r="I150" s="174" t="s">
        <v>265</v>
      </c>
    </row>
    <row r="151" ht="22" customHeight="1" spans="1:9">
      <c r="A151" s="174" t="s">
        <v>16</v>
      </c>
      <c r="B151" s="174" t="s">
        <v>152</v>
      </c>
      <c r="C151" s="174" t="s">
        <v>16</v>
      </c>
      <c r="D151" s="174" t="s">
        <v>99</v>
      </c>
      <c r="E151" s="176" t="str">
        <f>任务!D18</f>
        <v>钻石</v>
      </c>
      <c r="F151" s="176" t="str">
        <f t="shared" si="12"/>
        <v>钻石</v>
      </c>
      <c r="G151" s="176">
        <f>任务!E18</f>
        <v>50</v>
      </c>
      <c r="H151" s="176">
        <f t="shared" si="13"/>
        <v>50</v>
      </c>
      <c r="I151" s="174" t="s">
        <v>265</v>
      </c>
    </row>
    <row r="152" ht="22" customHeight="1" spans="1:9">
      <c r="A152" s="174" t="s">
        <v>16</v>
      </c>
      <c r="B152" s="174" t="s">
        <v>152</v>
      </c>
      <c r="C152" s="174" t="s">
        <v>16</v>
      </c>
      <c r="D152" s="174" t="s">
        <v>100</v>
      </c>
      <c r="E152" s="176" t="str">
        <f>任务!D19</f>
        <v>钻石</v>
      </c>
      <c r="F152" s="176" t="str">
        <f t="shared" si="12"/>
        <v>钻石</v>
      </c>
      <c r="G152" s="176">
        <f>任务!E19</f>
        <v>100</v>
      </c>
      <c r="H152" s="176">
        <f t="shared" si="13"/>
        <v>100</v>
      </c>
      <c r="I152" s="174" t="s">
        <v>265</v>
      </c>
    </row>
    <row r="153" ht="22" customHeight="1" spans="1:9">
      <c r="A153" s="174" t="s">
        <v>16</v>
      </c>
      <c r="B153" s="174" t="s">
        <v>152</v>
      </c>
      <c r="C153" s="174" t="s">
        <v>16</v>
      </c>
      <c r="D153" s="174" t="s">
        <v>101</v>
      </c>
      <c r="E153" s="176" t="str">
        <f>任务!D20</f>
        <v>钻石</v>
      </c>
      <c r="F153" s="176" t="str">
        <f t="shared" si="12"/>
        <v>钻石</v>
      </c>
      <c r="G153" s="176">
        <f>任务!E20</f>
        <v>100</v>
      </c>
      <c r="H153" s="176">
        <f t="shared" si="13"/>
        <v>100</v>
      </c>
      <c r="I153" s="174" t="s">
        <v>265</v>
      </c>
    </row>
    <row r="154" ht="22" customHeight="1" spans="1:9">
      <c r="A154" s="174" t="s">
        <v>16</v>
      </c>
      <c r="B154" s="174" t="s">
        <v>152</v>
      </c>
      <c r="C154" s="174" t="s">
        <v>16</v>
      </c>
      <c r="D154" s="174" t="s">
        <v>102</v>
      </c>
      <c r="E154" s="176" t="str">
        <f>任务!D21</f>
        <v>钻石</v>
      </c>
      <c r="F154" s="176" t="str">
        <f t="shared" si="12"/>
        <v>钻石</v>
      </c>
      <c r="G154" s="176">
        <f>任务!E21</f>
        <v>150</v>
      </c>
      <c r="H154" s="176">
        <f t="shared" si="13"/>
        <v>150</v>
      </c>
      <c r="I154" s="174" t="s">
        <v>265</v>
      </c>
    </row>
    <row r="155" ht="22" customHeight="1" spans="1:9">
      <c r="A155" s="174" t="s">
        <v>16</v>
      </c>
      <c r="B155" s="174" t="s">
        <v>152</v>
      </c>
      <c r="C155" s="174" t="s">
        <v>16</v>
      </c>
      <c r="D155" s="174" t="s">
        <v>103</v>
      </c>
      <c r="E155" s="176" t="str">
        <f>任务!D22</f>
        <v>钻石</v>
      </c>
      <c r="F155" s="176" t="str">
        <f t="shared" si="12"/>
        <v>钻石</v>
      </c>
      <c r="G155" s="176">
        <f>任务!E22</f>
        <v>150</v>
      </c>
      <c r="H155" s="176">
        <f t="shared" si="13"/>
        <v>150</v>
      </c>
      <c r="I155" s="174" t="s">
        <v>265</v>
      </c>
    </row>
    <row r="156" ht="22" customHeight="1" spans="1:9">
      <c r="A156" s="174" t="s">
        <v>16</v>
      </c>
      <c r="B156" s="174" t="s">
        <v>154</v>
      </c>
      <c r="C156" s="174" t="s">
        <v>16</v>
      </c>
      <c r="D156" s="174" t="s">
        <v>155</v>
      </c>
      <c r="E156" s="176" t="str">
        <f>任务!H7</f>
        <v>钻石</v>
      </c>
      <c r="F156" s="176" t="str">
        <f t="shared" si="12"/>
        <v>钻石</v>
      </c>
      <c r="G156" s="176">
        <f>任务!I7</f>
        <v>50</v>
      </c>
      <c r="H156" s="176">
        <f t="shared" si="13"/>
        <v>50</v>
      </c>
      <c r="I156" s="174" t="s">
        <v>265</v>
      </c>
    </row>
    <row r="157" ht="22" customHeight="1" spans="1:9">
      <c r="A157" s="174" t="s">
        <v>16</v>
      </c>
      <c r="B157" s="174" t="s">
        <v>154</v>
      </c>
      <c r="C157" s="174" t="s">
        <v>16</v>
      </c>
      <c r="D157" s="174" t="s">
        <v>157</v>
      </c>
      <c r="E157" s="176" t="str">
        <f>任务!H9</f>
        <v>钻石</v>
      </c>
      <c r="F157" s="176" t="str">
        <f t="shared" si="12"/>
        <v>钻石</v>
      </c>
      <c r="G157" s="176">
        <f>任务!I9</f>
        <v>50</v>
      </c>
      <c r="H157" s="176">
        <f t="shared" si="13"/>
        <v>50</v>
      </c>
      <c r="I157" s="174" t="s">
        <v>265</v>
      </c>
    </row>
    <row r="158" ht="22" customHeight="1" spans="1:9">
      <c r="A158" s="174" t="s">
        <v>266</v>
      </c>
      <c r="B158" s="174" t="s">
        <v>368</v>
      </c>
      <c r="C158" s="174" t="s">
        <v>369</v>
      </c>
      <c r="D158" s="174" t="s">
        <v>370</v>
      </c>
      <c r="E158" s="176" t="str">
        <f>公会数值!C60</f>
        <v>角色抽卡券普通</v>
      </c>
      <c r="F158" s="176" t="str">
        <f t="shared" si="12"/>
        <v>角色抽卡券普通</v>
      </c>
      <c r="G158" s="176">
        <f>公会数值!D60</f>
        <v>1</v>
      </c>
      <c r="H158" s="176">
        <f t="shared" si="13"/>
        <v>150</v>
      </c>
      <c r="I158" s="174" t="s">
        <v>265</v>
      </c>
    </row>
    <row r="159" ht="22" customHeight="1" spans="1:9">
      <c r="A159" s="174" t="s">
        <v>266</v>
      </c>
      <c r="B159" s="174" t="s">
        <v>368</v>
      </c>
      <c r="C159" s="174" t="s">
        <v>369</v>
      </c>
      <c r="D159" s="174" t="s">
        <v>371</v>
      </c>
      <c r="E159" s="176" t="str">
        <f>公会数值!F60</f>
        <v>专武抽卡券普通</v>
      </c>
      <c r="F159" s="176" t="str">
        <f t="shared" si="12"/>
        <v>专武抽卡券普通</v>
      </c>
      <c r="G159" s="176">
        <f>公会数值!G60</f>
        <v>1</v>
      </c>
      <c r="H159" s="176">
        <f t="shared" si="13"/>
        <v>150</v>
      </c>
      <c r="I159" s="174" t="s">
        <v>265</v>
      </c>
    </row>
    <row r="160" ht="22" customHeight="1" spans="1:9">
      <c r="A160" s="174" t="s">
        <v>266</v>
      </c>
      <c r="B160" s="174" t="s">
        <v>368</v>
      </c>
      <c r="C160" s="174" t="s">
        <v>369</v>
      </c>
      <c r="D160" s="174" t="s">
        <v>372</v>
      </c>
      <c r="E160" s="176" t="str">
        <f>公会数值!I59</f>
        <v>钻石</v>
      </c>
      <c r="F160" s="176" t="str">
        <f t="shared" si="12"/>
        <v>钻石</v>
      </c>
      <c r="G160" s="176">
        <f>公会数值!J59</f>
        <v>50</v>
      </c>
      <c r="H160" s="176">
        <f t="shared" si="13"/>
        <v>50</v>
      </c>
      <c r="I160" s="174" t="s">
        <v>265</v>
      </c>
    </row>
    <row r="161" ht="22" customHeight="1" spans="1:9">
      <c r="A161" s="174" t="s">
        <v>266</v>
      </c>
      <c r="B161" s="174" t="s">
        <v>368</v>
      </c>
      <c r="C161" s="174" t="s">
        <v>369</v>
      </c>
      <c r="D161" s="174" t="s">
        <v>373</v>
      </c>
      <c r="E161" s="176" t="str">
        <f>公会数值!I60</f>
        <v>钻石</v>
      </c>
      <c r="F161" s="176" t="str">
        <f t="shared" si="12"/>
        <v>钻石</v>
      </c>
      <c r="G161" s="176">
        <f>公会数值!J60</f>
        <v>100</v>
      </c>
      <c r="H161" s="176">
        <f t="shared" si="13"/>
        <v>100</v>
      </c>
      <c r="I161" s="174" t="s">
        <v>265</v>
      </c>
    </row>
    <row r="162" ht="22" customHeight="1" spans="1:9">
      <c r="A162" s="174" t="s">
        <v>17</v>
      </c>
      <c r="B162" s="174" t="s">
        <v>180</v>
      </c>
      <c r="C162" s="174" t="s">
        <v>17</v>
      </c>
      <c r="D162" s="174" t="s">
        <v>181</v>
      </c>
      <c r="E162" s="176" t="str">
        <f>大秘境!M10</f>
        <v>角色抽卡券限时</v>
      </c>
      <c r="F162" s="176" t="str">
        <f t="shared" si="12"/>
        <v>角色抽卡券限时</v>
      </c>
      <c r="G162" s="176">
        <f>大秘境!N10</f>
        <v>1</v>
      </c>
      <c r="H162" s="176">
        <f t="shared" si="13"/>
        <v>150</v>
      </c>
      <c r="I162" s="174" t="s">
        <v>265</v>
      </c>
    </row>
    <row r="163" ht="22" customHeight="1" spans="1:9">
      <c r="A163" s="174" t="s">
        <v>17</v>
      </c>
      <c r="B163" s="174" t="s">
        <v>180</v>
      </c>
      <c r="C163" s="174" t="s">
        <v>17</v>
      </c>
      <c r="D163" s="174" t="s">
        <v>183</v>
      </c>
      <c r="E163" s="176" t="str">
        <f>大秘境!M11</f>
        <v>角色抽卡券限时</v>
      </c>
      <c r="F163" s="176" t="str">
        <f t="shared" si="12"/>
        <v>角色抽卡券限时</v>
      </c>
      <c r="G163" s="176">
        <f>大秘境!N11</f>
        <v>1</v>
      </c>
      <c r="H163" s="176">
        <f t="shared" si="13"/>
        <v>150</v>
      </c>
      <c r="I163" s="174" t="s">
        <v>265</v>
      </c>
    </row>
    <row r="164" ht="22" customHeight="1" spans="1:9">
      <c r="A164" s="174" t="s">
        <v>17</v>
      </c>
      <c r="B164" s="174" t="s">
        <v>180</v>
      </c>
      <c r="C164" s="174" t="s">
        <v>17</v>
      </c>
      <c r="D164" s="174" t="s">
        <v>184</v>
      </c>
      <c r="E164" s="176" t="str">
        <f>大秘境!M12</f>
        <v>角色抽卡券限时</v>
      </c>
      <c r="F164" s="176" t="str">
        <f t="shared" si="12"/>
        <v>角色抽卡券限时</v>
      </c>
      <c r="G164" s="176">
        <f>大秘境!N12</f>
        <v>1</v>
      </c>
      <c r="H164" s="176">
        <f t="shared" si="13"/>
        <v>150</v>
      </c>
      <c r="I164" s="174" t="s">
        <v>265</v>
      </c>
    </row>
    <row r="165" ht="22" customHeight="1" spans="1:9">
      <c r="A165" s="174" t="s">
        <v>17</v>
      </c>
      <c r="B165" s="174" t="s">
        <v>180</v>
      </c>
      <c r="C165" s="174" t="s">
        <v>17</v>
      </c>
      <c r="D165" s="174" t="s">
        <v>185</v>
      </c>
      <c r="E165" s="176" t="str">
        <f>大秘境!M13</f>
        <v>角色抽卡券限时</v>
      </c>
      <c r="F165" s="176" t="str">
        <f t="shared" si="12"/>
        <v>角色抽卡券限时</v>
      </c>
      <c r="G165" s="176">
        <f>大秘境!N13</f>
        <v>1</v>
      </c>
      <c r="H165" s="176">
        <f t="shared" si="13"/>
        <v>150</v>
      </c>
      <c r="I165" s="174" t="s">
        <v>265</v>
      </c>
    </row>
    <row r="166" ht="22" customHeight="1" spans="1:9">
      <c r="A166" s="174" t="s">
        <v>17</v>
      </c>
      <c r="B166" s="174" t="s">
        <v>180</v>
      </c>
      <c r="C166" s="174" t="s">
        <v>17</v>
      </c>
      <c r="D166" s="174" t="s">
        <v>186</v>
      </c>
      <c r="E166" s="176" t="str">
        <f>大秘境!M14</f>
        <v>角色抽卡券限时</v>
      </c>
      <c r="F166" s="176" t="str">
        <f t="shared" si="12"/>
        <v>角色抽卡券限时</v>
      </c>
      <c r="G166" s="176">
        <f>大秘境!N14</f>
        <v>1</v>
      </c>
      <c r="H166" s="176">
        <f t="shared" si="13"/>
        <v>150</v>
      </c>
      <c r="I166" s="174" t="s">
        <v>265</v>
      </c>
    </row>
    <row r="167" ht="22" customHeight="1" spans="1:9">
      <c r="A167" s="174" t="s">
        <v>17</v>
      </c>
      <c r="B167" s="174" t="s">
        <v>180</v>
      </c>
      <c r="C167" s="174" t="s">
        <v>17</v>
      </c>
      <c r="D167" s="174" t="s">
        <v>374</v>
      </c>
      <c r="E167" s="176" t="str">
        <f>大秘境!M15</f>
        <v>角色抽卡券限时</v>
      </c>
      <c r="F167" s="176" t="str">
        <f t="shared" si="12"/>
        <v>角色抽卡券限时</v>
      </c>
      <c r="G167" s="176">
        <f>大秘境!N15</f>
        <v>1</v>
      </c>
      <c r="H167" s="176">
        <f t="shared" si="13"/>
        <v>150</v>
      </c>
      <c r="I167" s="174" t="s">
        <v>265</v>
      </c>
    </row>
    <row r="168" ht="22" customHeight="1" spans="1:9">
      <c r="A168" s="174" t="s">
        <v>17</v>
      </c>
      <c r="B168" s="174" t="s">
        <v>180</v>
      </c>
      <c r="C168" s="174" t="s">
        <v>17</v>
      </c>
      <c r="D168" s="174" t="s">
        <v>375</v>
      </c>
      <c r="E168" s="176" t="str">
        <f>大秘境!M16</f>
        <v>角色抽卡券限时</v>
      </c>
      <c r="F168" s="176" t="str">
        <f t="shared" si="12"/>
        <v>角色抽卡券限时</v>
      </c>
      <c r="G168" s="176">
        <f>大秘境!N16</f>
        <v>1</v>
      </c>
      <c r="H168" s="176">
        <f t="shared" si="13"/>
        <v>150</v>
      </c>
      <c r="I168" s="174" t="s">
        <v>265</v>
      </c>
    </row>
    <row r="169" ht="22" customHeight="1" spans="1:9">
      <c r="A169" s="174" t="s">
        <v>17</v>
      </c>
      <c r="B169" s="174" t="s">
        <v>180</v>
      </c>
      <c r="C169" s="174" t="s">
        <v>17</v>
      </c>
      <c r="D169" s="174" t="s">
        <v>376</v>
      </c>
      <c r="E169" s="176" t="str">
        <f>大秘境!M17</f>
        <v>角色抽卡券限时</v>
      </c>
      <c r="F169" s="176" t="str">
        <f t="shared" si="12"/>
        <v>角色抽卡券限时</v>
      </c>
      <c r="G169" s="176">
        <f>大秘境!N17</f>
        <v>1</v>
      </c>
      <c r="H169" s="176">
        <f t="shared" si="13"/>
        <v>150</v>
      </c>
      <c r="I169" s="174" t="s">
        <v>265</v>
      </c>
    </row>
    <row r="170" ht="22" customHeight="1" spans="1:9">
      <c r="A170" s="174" t="s">
        <v>17</v>
      </c>
      <c r="B170" s="174" t="s">
        <v>180</v>
      </c>
      <c r="C170" s="174" t="s">
        <v>17</v>
      </c>
      <c r="D170" s="174" t="s">
        <v>377</v>
      </c>
      <c r="E170" s="176" t="str">
        <f>大秘境!M18</f>
        <v>角色抽卡券限时</v>
      </c>
      <c r="F170" s="176" t="str">
        <f t="shared" si="12"/>
        <v>角色抽卡券限时</v>
      </c>
      <c r="G170" s="176">
        <f>大秘境!N18</f>
        <v>1</v>
      </c>
      <c r="H170" s="176">
        <f t="shared" si="13"/>
        <v>150</v>
      </c>
      <c r="I170" s="174" t="s">
        <v>265</v>
      </c>
    </row>
    <row r="171" ht="22" customHeight="1" spans="1:9">
      <c r="A171" s="174" t="s">
        <v>17</v>
      </c>
      <c r="B171" s="174" t="s">
        <v>180</v>
      </c>
      <c r="C171" s="174" t="s">
        <v>17</v>
      </c>
      <c r="D171" s="174" t="s">
        <v>378</v>
      </c>
      <c r="E171" s="176" t="str">
        <f>大秘境!M19</f>
        <v>角色抽卡券限时</v>
      </c>
      <c r="F171" s="176" t="str">
        <f t="shared" si="12"/>
        <v>角色抽卡券限时</v>
      </c>
      <c r="G171" s="176">
        <f>大秘境!N19</f>
        <v>1</v>
      </c>
      <c r="H171" s="176">
        <f t="shared" si="13"/>
        <v>150</v>
      </c>
      <c r="I171" s="174" t="s">
        <v>265</v>
      </c>
    </row>
    <row r="172" ht="22" customHeight="1" spans="1:9">
      <c r="A172" s="174" t="s">
        <v>17</v>
      </c>
      <c r="B172" s="174" t="s">
        <v>180</v>
      </c>
      <c r="C172" s="174" t="s">
        <v>17</v>
      </c>
      <c r="D172" s="174" t="s">
        <v>379</v>
      </c>
      <c r="E172" s="176" t="str">
        <f>大秘境!M20</f>
        <v>角色抽卡券限时</v>
      </c>
      <c r="F172" s="176" t="str">
        <f t="shared" si="12"/>
        <v>角色抽卡券限时</v>
      </c>
      <c r="G172" s="176">
        <f>大秘境!N20</f>
        <v>2</v>
      </c>
      <c r="H172" s="176">
        <f t="shared" si="13"/>
        <v>300</v>
      </c>
      <c r="I172" s="174" t="s">
        <v>265</v>
      </c>
    </row>
    <row r="173" ht="22" customHeight="1" spans="1:9">
      <c r="A173" s="174" t="s">
        <v>17</v>
      </c>
      <c r="B173" s="174" t="s">
        <v>180</v>
      </c>
      <c r="C173" s="174" t="s">
        <v>17</v>
      </c>
      <c r="D173" s="174" t="s">
        <v>380</v>
      </c>
      <c r="E173" s="176" t="str">
        <f>大秘境!M21</f>
        <v>角色抽卡券限时</v>
      </c>
      <c r="F173" s="176" t="str">
        <f t="shared" si="12"/>
        <v>角色抽卡券限时</v>
      </c>
      <c r="G173" s="176">
        <f>大秘境!N21</f>
        <v>2</v>
      </c>
      <c r="H173" s="176">
        <f t="shared" si="13"/>
        <v>300</v>
      </c>
      <c r="I173" s="174" t="s">
        <v>265</v>
      </c>
    </row>
    <row r="174" ht="22" customHeight="1" spans="1:9">
      <c r="A174" s="174" t="s">
        <v>17</v>
      </c>
      <c r="B174" s="174" t="s">
        <v>180</v>
      </c>
      <c r="C174" s="174" t="s">
        <v>17</v>
      </c>
      <c r="D174" s="174" t="s">
        <v>381</v>
      </c>
      <c r="E174" s="176" t="str">
        <f>大秘境!M22</f>
        <v>角色抽卡券限时</v>
      </c>
      <c r="F174" s="176" t="str">
        <f t="shared" si="12"/>
        <v>角色抽卡券限时</v>
      </c>
      <c r="G174" s="176">
        <f>大秘境!N22</f>
        <v>2</v>
      </c>
      <c r="H174" s="176">
        <f t="shared" si="13"/>
        <v>300</v>
      </c>
      <c r="I174" s="174" t="s">
        <v>265</v>
      </c>
    </row>
    <row r="175" ht="22" customHeight="1" spans="1:9">
      <c r="A175" s="174" t="s">
        <v>17</v>
      </c>
      <c r="B175" s="174" t="s">
        <v>180</v>
      </c>
      <c r="C175" s="174" t="s">
        <v>17</v>
      </c>
      <c r="D175" s="174" t="s">
        <v>382</v>
      </c>
      <c r="E175" s="176" t="str">
        <f>大秘境!M23</f>
        <v>角色抽卡券限时</v>
      </c>
      <c r="F175" s="176" t="str">
        <f t="shared" si="12"/>
        <v>角色抽卡券限时</v>
      </c>
      <c r="G175" s="176">
        <f>大秘境!N23</f>
        <v>2</v>
      </c>
      <c r="H175" s="176">
        <f t="shared" si="13"/>
        <v>300</v>
      </c>
      <c r="I175" s="174" t="s">
        <v>265</v>
      </c>
    </row>
    <row r="176" ht="22" customHeight="1" spans="1:9">
      <c r="A176" s="174" t="s">
        <v>17</v>
      </c>
      <c r="B176" s="174" t="s">
        <v>180</v>
      </c>
      <c r="C176" s="174" t="s">
        <v>17</v>
      </c>
      <c r="D176" s="174" t="s">
        <v>383</v>
      </c>
      <c r="E176" s="176" t="str">
        <f>大秘境!M24</f>
        <v>角色抽卡券限时</v>
      </c>
      <c r="F176" s="176" t="str">
        <f t="shared" si="12"/>
        <v>角色抽卡券限时</v>
      </c>
      <c r="G176" s="176">
        <f>大秘境!N24</f>
        <v>2</v>
      </c>
      <c r="H176" s="176">
        <f t="shared" si="13"/>
        <v>300</v>
      </c>
      <c r="I176" s="174" t="s">
        <v>265</v>
      </c>
    </row>
    <row r="177" ht="22" customHeight="1" spans="1:9">
      <c r="A177" s="174" t="s">
        <v>17</v>
      </c>
      <c r="B177" s="174" t="s">
        <v>180</v>
      </c>
      <c r="C177" s="174" t="s">
        <v>17</v>
      </c>
      <c r="D177" s="174" t="s">
        <v>384</v>
      </c>
      <c r="E177" s="176" t="str">
        <f>大秘境!M25</f>
        <v>角色抽卡券限时</v>
      </c>
      <c r="F177" s="176" t="str">
        <f t="shared" si="12"/>
        <v>角色抽卡券限时</v>
      </c>
      <c r="G177" s="176">
        <f>大秘境!N25</f>
        <v>2</v>
      </c>
      <c r="H177" s="176">
        <f t="shared" si="13"/>
        <v>300</v>
      </c>
      <c r="I177" s="174" t="s">
        <v>265</v>
      </c>
    </row>
    <row r="178" ht="22" customHeight="1" spans="1:9">
      <c r="A178" s="174" t="s">
        <v>17</v>
      </c>
      <c r="B178" s="174" t="s">
        <v>180</v>
      </c>
      <c r="C178" s="174" t="s">
        <v>17</v>
      </c>
      <c r="D178" s="174" t="s">
        <v>385</v>
      </c>
      <c r="E178" s="176" t="str">
        <f>大秘境!M26</f>
        <v>角色抽卡券限时</v>
      </c>
      <c r="F178" s="176" t="str">
        <f t="shared" si="12"/>
        <v>角色抽卡券限时</v>
      </c>
      <c r="G178" s="176">
        <f>大秘境!N26</f>
        <v>2</v>
      </c>
      <c r="H178" s="176">
        <f t="shared" si="13"/>
        <v>300</v>
      </c>
      <c r="I178" s="174" t="s">
        <v>265</v>
      </c>
    </row>
    <row r="179" ht="22" customHeight="1" spans="1:9">
      <c r="A179" s="174" t="s">
        <v>17</v>
      </c>
      <c r="B179" s="174" t="s">
        <v>180</v>
      </c>
      <c r="C179" s="174" t="s">
        <v>17</v>
      </c>
      <c r="D179" s="174" t="s">
        <v>386</v>
      </c>
      <c r="E179" s="176" t="str">
        <f>大秘境!M27</f>
        <v>角色抽卡券限时</v>
      </c>
      <c r="F179" s="176" t="str">
        <f t="shared" si="12"/>
        <v>角色抽卡券限时</v>
      </c>
      <c r="G179" s="176">
        <f>大秘境!N27</f>
        <v>2</v>
      </c>
      <c r="H179" s="176">
        <f t="shared" si="13"/>
        <v>300</v>
      </c>
      <c r="I179" s="174" t="s">
        <v>265</v>
      </c>
    </row>
    <row r="180" ht="22" customHeight="1" spans="1:9">
      <c r="A180" s="174" t="s">
        <v>17</v>
      </c>
      <c r="B180" s="174" t="s">
        <v>180</v>
      </c>
      <c r="C180" s="174" t="s">
        <v>17</v>
      </c>
      <c r="D180" s="174" t="s">
        <v>387</v>
      </c>
      <c r="E180" s="176" t="str">
        <f>大秘境!M28</f>
        <v>角色抽卡券限时</v>
      </c>
      <c r="F180" s="176" t="str">
        <f t="shared" si="12"/>
        <v>角色抽卡券限时</v>
      </c>
      <c r="G180" s="176">
        <f>大秘境!N28</f>
        <v>2</v>
      </c>
      <c r="H180" s="176">
        <f t="shared" si="13"/>
        <v>300</v>
      </c>
      <c r="I180" s="174" t="s">
        <v>265</v>
      </c>
    </row>
    <row r="181" ht="22" customHeight="1" spans="1:9">
      <c r="A181" s="174" t="s">
        <v>17</v>
      </c>
      <c r="B181" s="174" t="s">
        <v>180</v>
      </c>
      <c r="C181" s="174" t="s">
        <v>17</v>
      </c>
      <c r="D181" s="174" t="s">
        <v>388</v>
      </c>
      <c r="E181" s="176" t="str">
        <f>大秘境!M29</f>
        <v>角色抽卡券限时</v>
      </c>
      <c r="F181" s="176" t="str">
        <f t="shared" si="12"/>
        <v>角色抽卡券限时</v>
      </c>
      <c r="G181" s="176">
        <f>大秘境!N29</f>
        <v>2</v>
      </c>
      <c r="H181" s="176">
        <f t="shared" si="13"/>
        <v>300</v>
      </c>
      <c r="I181" s="174" t="s">
        <v>265</v>
      </c>
    </row>
    <row r="182" ht="22" customHeight="1" spans="1:9">
      <c r="A182" s="174" t="s">
        <v>17</v>
      </c>
      <c r="B182" s="174" t="s">
        <v>180</v>
      </c>
      <c r="C182" s="174" t="s">
        <v>17</v>
      </c>
      <c r="D182" s="174" t="s">
        <v>389</v>
      </c>
      <c r="E182" s="176" t="str">
        <f>大秘境!M30</f>
        <v>角色抽卡券限时</v>
      </c>
      <c r="F182" s="176" t="str">
        <f t="shared" si="12"/>
        <v>角色抽卡券限时</v>
      </c>
      <c r="G182" s="176">
        <f>大秘境!N30</f>
        <v>2</v>
      </c>
      <c r="H182" s="176">
        <f t="shared" si="13"/>
        <v>300</v>
      </c>
      <c r="I182" s="174" t="s">
        <v>265</v>
      </c>
    </row>
    <row r="183" ht="22" customHeight="1" spans="1:9">
      <c r="A183" s="174" t="s">
        <v>17</v>
      </c>
      <c r="B183" s="174" t="s">
        <v>180</v>
      </c>
      <c r="C183" s="174" t="s">
        <v>17</v>
      </c>
      <c r="D183" s="174" t="s">
        <v>390</v>
      </c>
      <c r="E183" s="176" t="str">
        <f>大秘境!M31</f>
        <v>角色抽卡券限时</v>
      </c>
      <c r="F183" s="176" t="str">
        <f t="shared" si="12"/>
        <v>角色抽卡券限时</v>
      </c>
      <c r="G183" s="176">
        <f>大秘境!N31</f>
        <v>2</v>
      </c>
      <c r="H183" s="176">
        <f t="shared" si="13"/>
        <v>300</v>
      </c>
      <c r="I183" s="174" t="s">
        <v>265</v>
      </c>
    </row>
    <row r="184" ht="22" customHeight="1" spans="1:9">
      <c r="A184" s="174" t="s">
        <v>17</v>
      </c>
      <c r="B184" s="174" t="s">
        <v>180</v>
      </c>
      <c r="C184" s="174" t="s">
        <v>17</v>
      </c>
      <c r="D184" s="174" t="s">
        <v>391</v>
      </c>
      <c r="E184" s="176" t="str">
        <f>大秘境!M32</f>
        <v>角色抽卡券限时</v>
      </c>
      <c r="F184" s="176" t="str">
        <f t="shared" si="12"/>
        <v>角色抽卡券限时</v>
      </c>
      <c r="G184" s="176">
        <f>大秘境!N32</f>
        <v>2</v>
      </c>
      <c r="H184" s="176">
        <f t="shared" si="13"/>
        <v>300</v>
      </c>
      <c r="I184" s="174" t="s">
        <v>265</v>
      </c>
    </row>
    <row r="185" ht="22" customHeight="1" spans="1:9">
      <c r="A185" s="174" t="s">
        <v>17</v>
      </c>
      <c r="B185" s="174" t="s">
        <v>180</v>
      </c>
      <c r="C185" s="174" t="s">
        <v>17</v>
      </c>
      <c r="D185" s="174" t="s">
        <v>187</v>
      </c>
      <c r="E185" s="176" t="str">
        <f>大秘境!M8</f>
        <v>角色抽卡券限时</v>
      </c>
      <c r="F185" s="176" t="str">
        <f t="shared" si="12"/>
        <v>角色抽卡券限时</v>
      </c>
      <c r="G185" s="176">
        <f>大秘境!N8</f>
        <v>1</v>
      </c>
      <c r="H185" s="176">
        <f t="shared" si="13"/>
        <v>150</v>
      </c>
      <c r="I185" s="174" t="s">
        <v>265</v>
      </c>
    </row>
    <row r="186" ht="22" customHeight="1" spans="1:9">
      <c r="A186" s="174" t="s">
        <v>17</v>
      </c>
      <c r="B186" s="174" t="s">
        <v>180</v>
      </c>
      <c r="C186" s="174" t="s">
        <v>17</v>
      </c>
      <c r="D186" s="174" t="s">
        <v>188</v>
      </c>
      <c r="E186" s="176" t="str">
        <f>大秘境!M9</f>
        <v>角色抽卡券限时</v>
      </c>
      <c r="F186" s="176" t="str">
        <f t="shared" si="12"/>
        <v>角色抽卡券限时</v>
      </c>
      <c r="G186" s="176">
        <f>大秘境!N9</f>
        <v>1</v>
      </c>
      <c r="H186" s="176">
        <f t="shared" si="13"/>
        <v>150</v>
      </c>
      <c r="I186" s="174" t="s">
        <v>265</v>
      </c>
    </row>
    <row r="187" ht="22" customHeight="1" spans="1:9">
      <c r="A187" s="174" t="s">
        <v>17</v>
      </c>
      <c r="B187" s="174" t="s">
        <v>180</v>
      </c>
      <c r="C187" s="174" t="s">
        <v>17</v>
      </c>
      <c r="D187" s="174" t="s">
        <v>189</v>
      </c>
      <c r="E187" s="176" t="str">
        <f>大秘境!O14</f>
        <v>专武抽卡券限时</v>
      </c>
      <c r="F187" s="176" t="str">
        <f t="shared" si="12"/>
        <v>专武抽卡券限时</v>
      </c>
      <c r="G187" s="176">
        <f>大秘境!P14</f>
        <v>1</v>
      </c>
      <c r="H187" s="176">
        <f t="shared" si="13"/>
        <v>150</v>
      </c>
      <c r="I187" s="174" t="s">
        <v>265</v>
      </c>
    </row>
    <row r="188" ht="22" customHeight="1" spans="1:9">
      <c r="A188" s="174" t="s">
        <v>17</v>
      </c>
      <c r="B188" s="174" t="s">
        <v>180</v>
      </c>
      <c r="C188" s="174" t="s">
        <v>17</v>
      </c>
      <c r="D188" s="174" t="s">
        <v>392</v>
      </c>
      <c r="E188" s="176" t="str">
        <f>大秘境!O15</f>
        <v>专武抽卡券限时</v>
      </c>
      <c r="F188" s="176" t="str">
        <f t="shared" si="12"/>
        <v>专武抽卡券限时</v>
      </c>
      <c r="G188" s="176">
        <f>大秘境!P15</f>
        <v>1</v>
      </c>
      <c r="H188" s="176">
        <f t="shared" si="13"/>
        <v>150</v>
      </c>
      <c r="I188" s="174" t="s">
        <v>265</v>
      </c>
    </row>
    <row r="189" ht="22" customHeight="1" spans="1:9">
      <c r="A189" s="174" t="s">
        <v>17</v>
      </c>
      <c r="B189" s="174" t="s">
        <v>180</v>
      </c>
      <c r="C189" s="174" t="s">
        <v>17</v>
      </c>
      <c r="D189" s="174" t="s">
        <v>393</v>
      </c>
      <c r="E189" s="176" t="str">
        <f>大秘境!O16</f>
        <v>专武抽卡券限时</v>
      </c>
      <c r="F189" s="176" t="str">
        <f t="shared" si="12"/>
        <v>专武抽卡券限时</v>
      </c>
      <c r="G189" s="176">
        <f>大秘境!P16</f>
        <v>1</v>
      </c>
      <c r="H189" s="176">
        <f t="shared" si="13"/>
        <v>150</v>
      </c>
      <c r="I189" s="174" t="s">
        <v>265</v>
      </c>
    </row>
    <row r="190" ht="22" customHeight="1" spans="1:9">
      <c r="A190" s="174" t="s">
        <v>17</v>
      </c>
      <c r="B190" s="174" t="s">
        <v>180</v>
      </c>
      <c r="C190" s="174" t="s">
        <v>17</v>
      </c>
      <c r="D190" s="174" t="s">
        <v>394</v>
      </c>
      <c r="E190" s="176" t="str">
        <f>大秘境!O17</f>
        <v>专武抽卡券限时</v>
      </c>
      <c r="F190" s="176" t="str">
        <f t="shared" si="12"/>
        <v>专武抽卡券限时</v>
      </c>
      <c r="G190" s="176">
        <f>大秘境!P17</f>
        <v>1</v>
      </c>
      <c r="H190" s="176">
        <f t="shared" si="13"/>
        <v>150</v>
      </c>
      <c r="I190" s="174" t="s">
        <v>265</v>
      </c>
    </row>
    <row r="191" ht="22" customHeight="1" spans="1:9">
      <c r="A191" s="174" t="s">
        <v>17</v>
      </c>
      <c r="B191" s="174" t="s">
        <v>180</v>
      </c>
      <c r="C191" s="174" t="s">
        <v>17</v>
      </c>
      <c r="D191" s="174" t="s">
        <v>395</v>
      </c>
      <c r="E191" s="176" t="str">
        <f>大秘境!O18</f>
        <v>专武抽卡券限时</v>
      </c>
      <c r="F191" s="176" t="str">
        <f t="shared" si="12"/>
        <v>专武抽卡券限时</v>
      </c>
      <c r="G191" s="176">
        <f>大秘境!P18</f>
        <v>1</v>
      </c>
      <c r="H191" s="176">
        <f t="shared" si="13"/>
        <v>150</v>
      </c>
      <c r="I191" s="174" t="s">
        <v>265</v>
      </c>
    </row>
    <row r="192" ht="22" customHeight="1" spans="1:9">
      <c r="A192" s="174" t="s">
        <v>17</v>
      </c>
      <c r="B192" s="174" t="s">
        <v>180</v>
      </c>
      <c r="C192" s="174" t="s">
        <v>17</v>
      </c>
      <c r="D192" s="174" t="s">
        <v>396</v>
      </c>
      <c r="E192" s="176" t="str">
        <f>大秘境!O19</f>
        <v>专武抽卡券限时</v>
      </c>
      <c r="F192" s="176" t="str">
        <f t="shared" si="12"/>
        <v>专武抽卡券限时</v>
      </c>
      <c r="G192" s="176">
        <f>大秘境!P19</f>
        <v>1</v>
      </c>
      <c r="H192" s="176">
        <f t="shared" si="13"/>
        <v>150</v>
      </c>
      <c r="I192" s="174" t="s">
        <v>265</v>
      </c>
    </row>
    <row r="193" ht="22" customHeight="1" spans="1:9">
      <c r="A193" s="174" t="s">
        <v>17</v>
      </c>
      <c r="B193" s="174" t="s">
        <v>180</v>
      </c>
      <c r="C193" s="174" t="s">
        <v>17</v>
      </c>
      <c r="D193" s="174" t="s">
        <v>397</v>
      </c>
      <c r="E193" s="176" t="str">
        <f>大秘境!O20</f>
        <v>专武抽卡券限时</v>
      </c>
      <c r="F193" s="176" t="str">
        <f t="shared" si="12"/>
        <v>专武抽卡券限时</v>
      </c>
      <c r="G193" s="176">
        <f>大秘境!P20</f>
        <v>1</v>
      </c>
      <c r="H193" s="176">
        <f t="shared" si="13"/>
        <v>150</v>
      </c>
      <c r="I193" s="174" t="s">
        <v>265</v>
      </c>
    </row>
    <row r="194" ht="22" customHeight="1" spans="1:9">
      <c r="A194" s="174" t="s">
        <v>17</v>
      </c>
      <c r="B194" s="174" t="s">
        <v>180</v>
      </c>
      <c r="C194" s="174" t="s">
        <v>17</v>
      </c>
      <c r="D194" s="174" t="s">
        <v>398</v>
      </c>
      <c r="E194" s="176" t="str">
        <f>大秘境!O21</f>
        <v>专武抽卡券限时</v>
      </c>
      <c r="F194" s="176" t="str">
        <f t="shared" si="12"/>
        <v>专武抽卡券限时</v>
      </c>
      <c r="G194" s="176">
        <f>大秘境!P21</f>
        <v>1</v>
      </c>
      <c r="H194" s="176">
        <f t="shared" si="13"/>
        <v>150</v>
      </c>
      <c r="I194" s="174" t="s">
        <v>265</v>
      </c>
    </row>
    <row r="195" ht="22" customHeight="1" spans="1:9">
      <c r="A195" s="174" t="s">
        <v>17</v>
      </c>
      <c r="B195" s="174" t="s">
        <v>180</v>
      </c>
      <c r="C195" s="174" t="s">
        <v>17</v>
      </c>
      <c r="D195" s="174" t="s">
        <v>399</v>
      </c>
      <c r="E195" s="176" t="str">
        <f>大秘境!O22</f>
        <v>专武抽卡券限时</v>
      </c>
      <c r="F195" s="176" t="str">
        <f t="shared" si="12"/>
        <v>专武抽卡券限时</v>
      </c>
      <c r="G195" s="176">
        <f>大秘境!P22</f>
        <v>1</v>
      </c>
      <c r="H195" s="176">
        <f t="shared" si="13"/>
        <v>150</v>
      </c>
      <c r="I195" s="174" t="s">
        <v>265</v>
      </c>
    </row>
    <row r="196" ht="22" customHeight="1" spans="1:9">
      <c r="A196" s="174" t="s">
        <v>17</v>
      </c>
      <c r="B196" s="174" t="s">
        <v>180</v>
      </c>
      <c r="C196" s="174" t="s">
        <v>17</v>
      </c>
      <c r="D196" s="174" t="s">
        <v>400</v>
      </c>
      <c r="E196" s="176" t="str">
        <f>大秘境!O23</f>
        <v>专武抽卡券限时</v>
      </c>
      <c r="F196" s="176" t="str">
        <f t="shared" si="12"/>
        <v>专武抽卡券限时</v>
      </c>
      <c r="G196" s="176">
        <f>大秘境!P23</f>
        <v>1</v>
      </c>
      <c r="H196" s="176">
        <f t="shared" si="13"/>
        <v>150</v>
      </c>
      <c r="I196" s="174" t="s">
        <v>265</v>
      </c>
    </row>
    <row r="197" ht="22" customHeight="1" spans="1:9">
      <c r="A197" s="174" t="s">
        <v>17</v>
      </c>
      <c r="B197" s="174" t="s">
        <v>180</v>
      </c>
      <c r="C197" s="174" t="s">
        <v>17</v>
      </c>
      <c r="D197" s="174" t="s">
        <v>401</v>
      </c>
      <c r="E197" s="176" t="str">
        <f>大秘境!O24</f>
        <v>专武抽卡券限时</v>
      </c>
      <c r="F197" s="176" t="str">
        <f t="shared" si="12"/>
        <v>专武抽卡券限时</v>
      </c>
      <c r="G197" s="176">
        <f>大秘境!P24</f>
        <v>1</v>
      </c>
      <c r="H197" s="176">
        <f t="shared" si="13"/>
        <v>150</v>
      </c>
      <c r="I197" s="174" t="s">
        <v>265</v>
      </c>
    </row>
    <row r="198" ht="22" customHeight="1" spans="1:9">
      <c r="A198" s="174" t="s">
        <v>17</v>
      </c>
      <c r="B198" s="174" t="s">
        <v>180</v>
      </c>
      <c r="C198" s="174" t="s">
        <v>17</v>
      </c>
      <c r="D198" s="174" t="s">
        <v>402</v>
      </c>
      <c r="E198" s="176" t="str">
        <f>大秘境!O25</f>
        <v>专武抽卡券限时</v>
      </c>
      <c r="F198" s="176" t="str">
        <f t="shared" si="12"/>
        <v>专武抽卡券限时</v>
      </c>
      <c r="G198" s="176">
        <f>大秘境!P25</f>
        <v>1</v>
      </c>
      <c r="H198" s="176">
        <f t="shared" si="13"/>
        <v>150</v>
      </c>
      <c r="I198" s="174" t="s">
        <v>265</v>
      </c>
    </row>
    <row r="199" ht="22" customHeight="1" spans="1:9">
      <c r="A199" s="174" t="s">
        <v>17</v>
      </c>
      <c r="B199" s="174" t="s">
        <v>180</v>
      </c>
      <c r="C199" s="174" t="s">
        <v>17</v>
      </c>
      <c r="D199" s="174" t="s">
        <v>403</v>
      </c>
      <c r="E199" s="176" t="str">
        <f>大秘境!O26</f>
        <v>专武抽卡券限时</v>
      </c>
      <c r="F199" s="176" t="str">
        <f t="shared" si="12"/>
        <v>专武抽卡券限时</v>
      </c>
      <c r="G199" s="176">
        <f>大秘境!P26</f>
        <v>2</v>
      </c>
      <c r="H199" s="176">
        <f t="shared" si="13"/>
        <v>300</v>
      </c>
      <c r="I199" s="174" t="s">
        <v>265</v>
      </c>
    </row>
    <row r="200" ht="22" customHeight="1" spans="1:9">
      <c r="A200" s="174" t="s">
        <v>17</v>
      </c>
      <c r="B200" s="174" t="s">
        <v>180</v>
      </c>
      <c r="C200" s="174" t="s">
        <v>17</v>
      </c>
      <c r="D200" s="174" t="s">
        <v>404</v>
      </c>
      <c r="E200" s="176" t="str">
        <f>大秘境!O27</f>
        <v>专武抽卡券限时</v>
      </c>
      <c r="F200" s="176" t="str">
        <f t="shared" si="12"/>
        <v>专武抽卡券限时</v>
      </c>
      <c r="G200" s="176">
        <f>大秘境!P27</f>
        <v>2</v>
      </c>
      <c r="H200" s="176">
        <f t="shared" si="13"/>
        <v>300</v>
      </c>
      <c r="I200" s="174" t="s">
        <v>265</v>
      </c>
    </row>
    <row r="201" ht="22" customHeight="1" spans="1:9">
      <c r="A201" s="174" t="s">
        <v>17</v>
      </c>
      <c r="B201" s="174" t="s">
        <v>180</v>
      </c>
      <c r="C201" s="174" t="s">
        <v>17</v>
      </c>
      <c r="D201" s="174" t="s">
        <v>405</v>
      </c>
      <c r="E201" s="176" t="str">
        <f>大秘境!O28</f>
        <v>专武抽卡券限时</v>
      </c>
      <c r="F201" s="176" t="str">
        <f t="shared" si="12"/>
        <v>专武抽卡券限时</v>
      </c>
      <c r="G201" s="176">
        <f>大秘境!P28</f>
        <v>2</v>
      </c>
      <c r="H201" s="176">
        <f t="shared" si="13"/>
        <v>300</v>
      </c>
      <c r="I201" s="174" t="s">
        <v>265</v>
      </c>
    </row>
    <row r="202" ht="22" customHeight="1" spans="1:9">
      <c r="A202" s="174" t="s">
        <v>17</v>
      </c>
      <c r="B202" s="174" t="s">
        <v>180</v>
      </c>
      <c r="C202" s="174" t="s">
        <v>17</v>
      </c>
      <c r="D202" s="174" t="s">
        <v>406</v>
      </c>
      <c r="E202" s="176" t="str">
        <f>大秘境!O29</f>
        <v>专武抽卡券限时</v>
      </c>
      <c r="F202" s="176" t="str">
        <f t="shared" si="12"/>
        <v>专武抽卡券限时</v>
      </c>
      <c r="G202" s="176">
        <f>大秘境!P29</f>
        <v>2</v>
      </c>
      <c r="H202" s="176">
        <f t="shared" si="13"/>
        <v>300</v>
      </c>
      <c r="I202" s="174" t="s">
        <v>265</v>
      </c>
    </row>
    <row r="203" ht="22" customHeight="1" spans="1:9">
      <c r="A203" s="174" t="s">
        <v>17</v>
      </c>
      <c r="B203" s="174" t="s">
        <v>180</v>
      </c>
      <c r="C203" s="174" t="s">
        <v>17</v>
      </c>
      <c r="D203" s="174" t="s">
        <v>407</v>
      </c>
      <c r="E203" s="176" t="str">
        <f>大秘境!O30</f>
        <v>专武抽卡券限时</v>
      </c>
      <c r="F203" s="176" t="str">
        <f t="shared" si="12"/>
        <v>专武抽卡券限时</v>
      </c>
      <c r="G203" s="176">
        <f>大秘境!P30</f>
        <v>2</v>
      </c>
      <c r="H203" s="176">
        <f t="shared" si="13"/>
        <v>300</v>
      </c>
      <c r="I203" s="174" t="s">
        <v>265</v>
      </c>
    </row>
    <row r="204" ht="22" customHeight="1" spans="1:9">
      <c r="A204" s="174" t="s">
        <v>17</v>
      </c>
      <c r="B204" s="174" t="s">
        <v>180</v>
      </c>
      <c r="C204" s="174" t="s">
        <v>17</v>
      </c>
      <c r="D204" s="174" t="s">
        <v>408</v>
      </c>
      <c r="E204" s="176" t="str">
        <f>大秘境!O31</f>
        <v>专武抽卡券限时</v>
      </c>
      <c r="F204" s="176" t="str">
        <f t="shared" si="12"/>
        <v>专武抽卡券限时</v>
      </c>
      <c r="G204" s="176">
        <f>大秘境!P31</f>
        <v>2</v>
      </c>
      <c r="H204" s="176">
        <f t="shared" si="13"/>
        <v>300</v>
      </c>
      <c r="I204" s="174" t="s">
        <v>265</v>
      </c>
    </row>
    <row r="205" ht="22" customHeight="1" spans="1:9">
      <c r="A205" s="174" t="s">
        <v>17</v>
      </c>
      <c r="B205" s="174" t="s">
        <v>180</v>
      </c>
      <c r="C205" s="174" t="s">
        <v>17</v>
      </c>
      <c r="D205" s="174" t="s">
        <v>409</v>
      </c>
      <c r="E205" s="176" t="str">
        <f>大秘境!O32</f>
        <v>专武抽卡券限时</v>
      </c>
      <c r="F205" s="176" t="str">
        <f t="shared" si="12"/>
        <v>专武抽卡券限时</v>
      </c>
      <c r="G205" s="176">
        <f>大秘境!P32</f>
        <v>2</v>
      </c>
      <c r="H205" s="176">
        <f t="shared" si="13"/>
        <v>300</v>
      </c>
      <c r="I205" s="174" t="s">
        <v>265</v>
      </c>
    </row>
    <row r="206" ht="22" customHeight="1" spans="1:9">
      <c r="A206" s="174" t="s">
        <v>17</v>
      </c>
      <c r="B206" s="174" t="s">
        <v>410</v>
      </c>
      <c r="C206" s="174" t="s">
        <v>17</v>
      </c>
      <c r="D206" s="174" t="s">
        <v>411</v>
      </c>
      <c r="E206" s="176" t="str">
        <f>大秘境!L44</f>
        <v>钻石</v>
      </c>
      <c r="F206" s="176" t="str">
        <f t="shared" si="12"/>
        <v>钻石</v>
      </c>
      <c r="G206" s="176">
        <f>大秘境!M44</f>
        <v>50</v>
      </c>
      <c r="H206" s="176">
        <f t="shared" si="13"/>
        <v>50</v>
      </c>
      <c r="I206" s="174" t="s">
        <v>265</v>
      </c>
    </row>
    <row r="207" ht="22" customHeight="1" spans="1:9">
      <c r="A207" s="174" t="s">
        <v>17</v>
      </c>
      <c r="B207" s="174" t="s">
        <v>410</v>
      </c>
      <c r="C207" s="174" t="s">
        <v>17</v>
      </c>
      <c r="D207" s="174" t="s">
        <v>412</v>
      </c>
      <c r="E207" s="176" t="str">
        <f>大秘境!L46</f>
        <v>钻石</v>
      </c>
      <c r="F207" s="176" t="str">
        <f t="shared" si="12"/>
        <v>钻石</v>
      </c>
      <c r="G207" s="176">
        <f>大秘境!M46</f>
        <v>50</v>
      </c>
      <c r="H207" s="176">
        <f t="shared" si="13"/>
        <v>50</v>
      </c>
      <c r="I207" s="174" t="s">
        <v>265</v>
      </c>
    </row>
    <row r="208" ht="22" customHeight="1" spans="1:9">
      <c r="A208" s="174" t="s">
        <v>17</v>
      </c>
      <c r="B208" s="174" t="s">
        <v>410</v>
      </c>
      <c r="C208" s="174" t="s">
        <v>17</v>
      </c>
      <c r="D208" s="174" t="s">
        <v>413</v>
      </c>
      <c r="E208" s="176" t="str">
        <f>大秘境!L47</f>
        <v>角色抽卡券普通</v>
      </c>
      <c r="F208" s="176" t="str">
        <f t="shared" si="12"/>
        <v>角色抽卡券普通</v>
      </c>
      <c r="G208" s="176">
        <f>大秘境!M47</f>
        <v>1</v>
      </c>
      <c r="H208" s="176">
        <f t="shared" si="13"/>
        <v>150</v>
      </c>
      <c r="I208" s="174" t="s">
        <v>265</v>
      </c>
    </row>
    <row r="209" ht="22" customHeight="1" spans="1:9">
      <c r="A209" s="174" t="s">
        <v>17</v>
      </c>
      <c r="B209" s="174" t="s">
        <v>410</v>
      </c>
      <c r="C209" s="174" t="s">
        <v>17</v>
      </c>
      <c r="D209" s="174" t="s">
        <v>414</v>
      </c>
      <c r="E209" s="176" t="str">
        <f>大秘境!L50</f>
        <v>钻石</v>
      </c>
      <c r="F209" s="176" t="str">
        <f t="shared" si="12"/>
        <v>钻石</v>
      </c>
      <c r="G209" s="176">
        <f>大秘境!M50</f>
        <v>100</v>
      </c>
      <c r="H209" s="176">
        <f t="shared" si="13"/>
        <v>100</v>
      </c>
      <c r="I209" s="174" t="s">
        <v>265</v>
      </c>
    </row>
    <row r="210" ht="22" customHeight="1" spans="1:9">
      <c r="A210" s="174" t="s">
        <v>17</v>
      </c>
      <c r="B210" s="174" t="s">
        <v>410</v>
      </c>
      <c r="C210" s="174" t="s">
        <v>17</v>
      </c>
      <c r="D210" s="174" t="s">
        <v>415</v>
      </c>
      <c r="E210" s="176" t="str">
        <f>大秘境!L51</f>
        <v>专武抽卡券普通</v>
      </c>
      <c r="F210" s="176" t="str">
        <f t="shared" si="12"/>
        <v>专武抽卡券普通</v>
      </c>
      <c r="G210" s="176">
        <f>大秘境!M51</f>
        <v>1</v>
      </c>
      <c r="H210" s="176">
        <f t="shared" si="13"/>
        <v>150</v>
      </c>
      <c r="I210" s="174" t="s">
        <v>265</v>
      </c>
    </row>
    <row r="211" ht="22" customHeight="1" spans="1:9">
      <c r="A211" s="174" t="s">
        <v>17</v>
      </c>
      <c r="B211" s="174" t="s">
        <v>410</v>
      </c>
      <c r="C211" s="174" t="s">
        <v>17</v>
      </c>
      <c r="D211" s="174" t="s">
        <v>416</v>
      </c>
      <c r="E211" s="176" t="str">
        <f>大秘境!L52</f>
        <v>钻石</v>
      </c>
      <c r="F211" s="176" t="str">
        <f t="shared" si="12"/>
        <v>钻石</v>
      </c>
      <c r="G211" s="176">
        <f>大秘境!M52</f>
        <v>150</v>
      </c>
      <c r="H211" s="176">
        <f t="shared" si="13"/>
        <v>150</v>
      </c>
      <c r="I211" s="174" t="s">
        <v>265</v>
      </c>
    </row>
    <row r="212" ht="22" customHeight="1" spans="1:9">
      <c r="A212" s="174" t="s">
        <v>17</v>
      </c>
      <c r="B212" s="174" t="s">
        <v>410</v>
      </c>
      <c r="C212" s="174" t="s">
        <v>17</v>
      </c>
      <c r="D212" s="174" t="s">
        <v>417</v>
      </c>
      <c r="E212" s="176" t="str">
        <f>大秘境!P43</f>
        <v>角色抽卡券普通</v>
      </c>
      <c r="F212" s="176" t="str">
        <f t="shared" ref="F212:F275" si="14">IF(E212="钻石","钻石",IF(ISNUMBER(SEARCH("角色抽卡券限时",E212)),"角色抽卡券限时",IF(ISNUMBER(SEARCH("专武抽卡券限时",E212)),"专武抽卡券限时",IF(ISNUMBER(SEARCH("角色抽卡券",E212)),"角色抽卡券普通",IF(ISNUMBER(SEARCH("专武抽卡券",E212)),"专武抽卡券普通","")))))</f>
        <v>角色抽卡券普通</v>
      </c>
      <c r="G212" s="176">
        <f>大秘境!Q43</f>
        <v>3</v>
      </c>
      <c r="H212" s="176">
        <f t="shared" ref="H212:H275" si="15">IF(F212="",0,IF(F212="钻石",G212,G212*150))</f>
        <v>450</v>
      </c>
      <c r="I212" s="174" t="s">
        <v>265</v>
      </c>
    </row>
    <row r="213" ht="22" customHeight="1" spans="1:9">
      <c r="A213" s="174" t="s">
        <v>17</v>
      </c>
      <c r="B213" s="174" t="s">
        <v>410</v>
      </c>
      <c r="C213" s="174" t="s">
        <v>17</v>
      </c>
      <c r="D213" s="174" t="s">
        <v>418</v>
      </c>
      <c r="E213" s="176" t="str">
        <f>大秘境!P44</f>
        <v>钻石</v>
      </c>
      <c r="F213" s="176" t="str">
        <f t="shared" si="14"/>
        <v>钻石</v>
      </c>
      <c r="G213" s="176">
        <f>大秘境!Q44</f>
        <v>300</v>
      </c>
      <c r="H213" s="176">
        <f t="shared" si="15"/>
        <v>300</v>
      </c>
      <c r="I213" s="174" t="s">
        <v>265</v>
      </c>
    </row>
    <row r="214" ht="22" customHeight="1" spans="1:9">
      <c r="A214" s="174" t="s">
        <v>17</v>
      </c>
      <c r="B214" s="174" t="s">
        <v>410</v>
      </c>
      <c r="C214" s="174" t="s">
        <v>17</v>
      </c>
      <c r="D214" s="174" t="s">
        <v>419</v>
      </c>
      <c r="E214" s="176" t="str">
        <f>大秘境!P45</f>
        <v>专武抽卡券普通</v>
      </c>
      <c r="F214" s="176" t="str">
        <f t="shared" si="14"/>
        <v>专武抽卡券普通</v>
      </c>
      <c r="G214" s="176">
        <f>大秘境!Q45</f>
        <v>3</v>
      </c>
      <c r="H214" s="176">
        <f t="shared" si="15"/>
        <v>450</v>
      </c>
      <c r="I214" s="174" t="s">
        <v>265</v>
      </c>
    </row>
    <row r="215" ht="22" customHeight="1" spans="1:9">
      <c r="A215" s="174" t="s">
        <v>17</v>
      </c>
      <c r="B215" s="174" t="s">
        <v>410</v>
      </c>
      <c r="C215" s="174" t="s">
        <v>17</v>
      </c>
      <c r="D215" s="174" t="s">
        <v>420</v>
      </c>
      <c r="E215" s="176" t="str">
        <f>大秘境!P47</f>
        <v>钻石</v>
      </c>
      <c r="F215" s="176" t="str">
        <f t="shared" si="14"/>
        <v>钻石</v>
      </c>
      <c r="G215" s="176">
        <f>大秘境!Q47</f>
        <v>3</v>
      </c>
      <c r="H215" s="176">
        <f t="shared" si="15"/>
        <v>3</v>
      </c>
      <c r="I215" s="174" t="s">
        <v>265</v>
      </c>
    </row>
    <row r="216" ht="22" customHeight="1" spans="1:9">
      <c r="A216" s="174" t="s">
        <v>17</v>
      </c>
      <c r="B216" s="174" t="s">
        <v>410</v>
      </c>
      <c r="C216" s="174" t="s">
        <v>17</v>
      </c>
      <c r="D216" s="174" t="s">
        <v>421</v>
      </c>
      <c r="E216" s="176" t="str">
        <f>大秘境!P50</f>
        <v>钻石</v>
      </c>
      <c r="F216" s="176" t="str">
        <f t="shared" si="14"/>
        <v>钻石</v>
      </c>
      <c r="G216" s="176">
        <f>大秘境!Q50</f>
        <v>1</v>
      </c>
      <c r="H216" s="176">
        <f t="shared" si="15"/>
        <v>1</v>
      </c>
      <c r="I216" s="174" t="s">
        <v>265</v>
      </c>
    </row>
    <row r="217" ht="22" customHeight="1" spans="1:9">
      <c r="A217" s="174" t="s">
        <v>17</v>
      </c>
      <c r="B217" s="174" t="s">
        <v>410</v>
      </c>
      <c r="C217" s="174" t="s">
        <v>17</v>
      </c>
      <c r="D217" s="174" t="s">
        <v>422</v>
      </c>
      <c r="E217" s="176" t="str">
        <f>大秘境!P52</f>
        <v>钻石</v>
      </c>
      <c r="F217" s="176" t="str">
        <f t="shared" si="14"/>
        <v>钻石</v>
      </c>
      <c r="G217" s="176">
        <f>大秘境!Q52</f>
        <v>600</v>
      </c>
      <c r="H217" s="176">
        <f t="shared" si="15"/>
        <v>600</v>
      </c>
      <c r="I217" s="174" t="s">
        <v>265</v>
      </c>
    </row>
    <row r="218" ht="22" customHeight="1" spans="1:9">
      <c r="A218" s="174" t="s">
        <v>18</v>
      </c>
      <c r="B218" s="174" t="s">
        <v>190</v>
      </c>
      <c r="C218" s="174" t="s">
        <v>191</v>
      </c>
      <c r="D218" s="174" t="s">
        <v>423</v>
      </c>
      <c r="E218" s="176" t="str">
        <f>'配置页-无限挑战'!G102</f>
        <v>钻石</v>
      </c>
      <c r="F218" s="176" t="str">
        <f t="shared" si="14"/>
        <v>钻石</v>
      </c>
      <c r="G218" s="176" t="e">
        <f>'配置页-无限挑战'!#REF!</f>
        <v>#REF!</v>
      </c>
      <c r="H218" s="176" t="e">
        <f t="shared" si="15"/>
        <v>#REF!</v>
      </c>
      <c r="I218" s="174" t="s">
        <v>265</v>
      </c>
    </row>
    <row r="219" ht="22" customHeight="1" spans="1:9">
      <c r="A219" s="174" t="s">
        <v>18</v>
      </c>
      <c r="B219" s="174" t="s">
        <v>190</v>
      </c>
      <c r="C219" s="174" t="s">
        <v>191</v>
      </c>
      <c r="D219" s="174" t="s">
        <v>424</v>
      </c>
      <c r="E219" s="176" t="str">
        <f>'配置页-无限挑战'!G105</f>
        <v>角色抽卡券普通</v>
      </c>
      <c r="F219" s="176" t="str">
        <f t="shared" si="14"/>
        <v>角色抽卡券普通</v>
      </c>
      <c r="G219" s="176" t="e">
        <f>'配置页-无限挑战'!#REF!</f>
        <v>#REF!</v>
      </c>
      <c r="H219" s="176" t="e">
        <f t="shared" si="15"/>
        <v>#REF!</v>
      </c>
      <c r="I219" s="174" t="s">
        <v>265</v>
      </c>
    </row>
    <row r="220" ht="22" customHeight="1" spans="1:9">
      <c r="A220" s="174" t="s">
        <v>18</v>
      </c>
      <c r="B220" s="174" t="s">
        <v>190</v>
      </c>
      <c r="C220" s="174" t="s">
        <v>191</v>
      </c>
      <c r="D220" s="174" t="s">
        <v>425</v>
      </c>
      <c r="E220" s="176" t="str">
        <f>'配置页-无限挑战'!G108</f>
        <v>角色抽卡券普通</v>
      </c>
      <c r="F220" s="176" t="str">
        <f t="shared" si="14"/>
        <v>角色抽卡券普通</v>
      </c>
      <c r="G220" s="176" t="e">
        <f>'配置页-无限挑战'!#REF!</f>
        <v>#REF!</v>
      </c>
      <c r="H220" s="176" t="e">
        <f t="shared" si="15"/>
        <v>#REF!</v>
      </c>
      <c r="I220" s="174" t="s">
        <v>265</v>
      </c>
    </row>
    <row r="221" ht="22" customHeight="1" spans="1:9">
      <c r="A221" s="174" t="s">
        <v>18</v>
      </c>
      <c r="B221" s="174" t="s">
        <v>190</v>
      </c>
      <c r="C221" s="174" t="s">
        <v>191</v>
      </c>
      <c r="D221" s="174" t="s">
        <v>426</v>
      </c>
      <c r="E221" s="176" t="str">
        <f>'配置页-无限挑战'!G111</f>
        <v>角色抽卡券限时</v>
      </c>
      <c r="F221" s="176" t="str">
        <f t="shared" si="14"/>
        <v>角色抽卡券限时</v>
      </c>
      <c r="G221" s="176" t="e">
        <f>'配置页-无限挑战'!#REF!</f>
        <v>#REF!</v>
      </c>
      <c r="H221" s="176" t="e">
        <f t="shared" si="15"/>
        <v>#REF!</v>
      </c>
      <c r="I221" s="174" t="s">
        <v>265</v>
      </c>
    </row>
    <row r="222" ht="22" customHeight="1" spans="1:9">
      <c r="A222" s="174" t="s">
        <v>18</v>
      </c>
      <c r="B222" s="174" t="s">
        <v>190</v>
      </c>
      <c r="C222" s="174" t="s">
        <v>191</v>
      </c>
      <c r="D222" s="174" t="s">
        <v>427</v>
      </c>
      <c r="E222" s="176" t="str">
        <f>'配置页-无限挑战'!G114</f>
        <v>钻石</v>
      </c>
      <c r="F222" s="176" t="str">
        <f t="shared" si="14"/>
        <v>钻石</v>
      </c>
      <c r="G222" s="176" t="e">
        <f>'配置页-无限挑战'!#REF!</f>
        <v>#REF!</v>
      </c>
      <c r="H222" s="176" t="e">
        <f t="shared" si="15"/>
        <v>#REF!</v>
      </c>
      <c r="I222" s="174" t="s">
        <v>265</v>
      </c>
    </row>
    <row r="223" ht="22" customHeight="1" spans="1:9">
      <c r="A223" s="174" t="s">
        <v>18</v>
      </c>
      <c r="B223" s="174" t="s">
        <v>190</v>
      </c>
      <c r="C223" s="174" t="s">
        <v>191</v>
      </c>
      <c r="D223" s="174" t="s">
        <v>428</v>
      </c>
      <c r="E223" s="176" t="str">
        <f>'配置页-无限挑战'!G117</f>
        <v>角色抽卡券普通</v>
      </c>
      <c r="F223" s="176" t="str">
        <f t="shared" si="14"/>
        <v>角色抽卡券普通</v>
      </c>
      <c r="G223" s="176" t="e">
        <f>'配置页-无限挑战'!#REF!</f>
        <v>#REF!</v>
      </c>
      <c r="H223" s="176" t="e">
        <f t="shared" si="15"/>
        <v>#REF!</v>
      </c>
      <c r="I223" s="174" t="s">
        <v>265</v>
      </c>
    </row>
    <row r="224" ht="22" customHeight="1" spans="1:9">
      <c r="A224" s="174" t="s">
        <v>18</v>
      </c>
      <c r="B224" s="174" t="s">
        <v>190</v>
      </c>
      <c r="C224" s="174" t="s">
        <v>191</v>
      </c>
      <c r="D224" s="174" t="s">
        <v>429</v>
      </c>
      <c r="E224" s="176" t="str">
        <f>'配置页-无限挑战'!G120</f>
        <v>角色抽卡券普通</v>
      </c>
      <c r="F224" s="176" t="str">
        <f t="shared" si="14"/>
        <v>角色抽卡券普通</v>
      </c>
      <c r="G224" s="176" t="e">
        <f>'配置页-无限挑战'!#REF!</f>
        <v>#REF!</v>
      </c>
      <c r="H224" s="176" t="e">
        <f t="shared" si="15"/>
        <v>#REF!</v>
      </c>
      <c r="I224" s="174" t="s">
        <v>265</v>
      </c>
    </row>
    <row r="225" ht="22" customHeight="1" spans="1:9">
      <c r="A225" s="174" t="s">
        <v>18</v>
      </c>
      <c r="B225" s="174" t="s">
        <v>190</v>
      </c>
      <c r="C225" s="174" t="s">
        <v>191</v>
      </c>
      <c r="D225" s="174" t="s">
        <v>430</v>
      </c>
      <c r="E225" s="176" t="str">
        <f>'配置页-无限挑战'!G123</f>
        <v>专武抽卡券限时</v>
      </c>
      <c r="F225" s="176" t="str">
        <f t="shared" si="14"/>
        <v>专武抽卡券限时</v>
      </c>
      <c r="G225" s="176" t="e">
        <f>'配置页-无限挑战'!#REF!</f>
        <v>#REF!</v>
      </c>
      <c r="H225" s="176" t="e">
        <f t="shared" si="15"/>
        <v>#REF!</v>
      </c>
      <c r="I225" s="174" t="s">
        <v>265</v>
      </c>
    </row>
    <row r="226" ht="22" customHeight="1" spans="1:9">
      <c r="A226" s="174" t="s">
        <v>18</v>
      </c>
      <c r="B226" s="174" t="s">
        <v>190</v>
      </c>
      <c r="C226" s="174" t="s">
        <v>191</v>
      </c>
      <c r="D226" s="174" t="s">
        <v>431</v>
      </c>
      <c r="E226" s="176" t="str">
        <f>'配置页-无限挑战'!G126</f>
        <v>钻石</v>
      </c>
      <c r="F226" s="176" t="str">
        <f t="shared" si="14"/>
        <v>钻石</v>
      </c>
      <c r="G226" s="176" t="e">
        <f>'配置页-无限挑战'!#REF!</f>
        <v>#REF!</v>
      </c>
      <c r="H226" s="176" t="e">
        <f t="shared" si="15"/>
        <v>#REF!</v>
      </c>
      <c r="I226" s="174" t="s">
        <v>265</v>
      </c>
    </row>
    <row r="227" ht="22" customHeight="1" spans="1:9">
      <c r="A227" s="174" t="s">
        <v>18</v>
      </c>
      <c r="B227" s="174" t="s">
        <v>190</v>
      </c>
      <c r="C227" s="174" t="s">
        <v>191</v>
      </c>
      <c r="D227" s="174" t="s">
        <v>432</v>
      </c>
      <c r="E227" s="176" t="str">
        <f>'配置页-无限挑战'!G129</f>
        <v>角色抽卡券普通</v>
      </c>
      <c r="F227" s="176" t="str">
        <f t="shared" si="14"/>
        <v>角色抽卡券普通</v>
      </c>
      <c r="G227" s="176" t="e">
        <f>'配置页-无限挑战'!#REF!</f>
        <v>#REF!</v>
      </c>
      <c r="H227" s="176" t="e">
        <f t="shared" si="15"/>
        <v>#REF!</v>
      </c>
      <c r="I227" s="174" t="s">
        <v>265</v>
      </c>
    </row>
    <row r="228" ht="22" customHeight="1" spans="1:9">
      <c r="A228" s="174" t="s">
        <v>18</v>
      </c>
      <c r="B228" s="174" t="s">
        <v>190</v>
      </c>
      <c r="C228" s="174" t="s">
        <v>191</v>
      </c>
      <c r="D228" s="174" t="s">
        <v>433</v>
      </c>
      <c r="E228" s="176" t="str">
        <f>'配置页-无限挑战'!G132</f>
        <v>角色抽卡券普通</v>
      </c>
      <c r="F228" s="176" t="str">
        <f t="shared" si="14"/>
        <v>角色抽卡券普通</v>
      </c>
      <c r="G228" s="176" t="e">
        <f>'配置页-无限挑战'!#REF!</f>
        <v>#REF!</v>
      </c>
      <c r="H228" s="176" t="e">
        <f t="shared" si="15"/>
        <v>#REF!</v>
      </c>
      <c r="I228" s="174" t="s">
        <v>265</v>
      </c>
    </row>
    <row r="229" ht="22" customHeight="1" spans="1:9">
      <c r="A229" s="174" t="s">
        <v>18</v>
      </c>
      <c r="B229" s="174" t="s">
        <v>190</v>
      </c>
      <c r="C229" s="174" t="s">
        <v>191</v>
      </c>
      <c r="D229" s="174" t="s">
        <v>434</v>
      </c>
      <c r="E229" s="176" t="str">
        <f>'配置页-无限挑战'!G135</f>
        <v>角色抽卡券限时</v>
      </c>
      <c r="F229" s="176" t="str">
        <f t="shared" si="14"/>
        <v>角色抽卡券限时</v>
      </c>
      <c r="G229" s="176" t="e">
        <f>'配置页-无限挑战'!#REF!</f>
        <v>#REF!</v>
      </c>
      <c r="H229" s="176" t="e">
        <f t="shared" si="15"/>
        <v>#REF!</v>
      </c>
      <c r="I229" s="174" t="s">
        <v>265</v>
      </c>
    </row>
    <row r="230" ht="22" customHeight="1" spans="1:9">
      <c r="A230" s="174" t="s">
        <v>18</v>
      </c>
      <c r="B230" s="174" t="s">
        <v>190</v>
      </c>
      <c r="C230" s="174" t="s">
        <v>191</v>
      </c>
      <c r="D230" s="174" t="s">
        <v>435</v>
      </c>
      <c r="E230" s="176" t="str">
        <f>'配置页-无限挑战'!G138</f>
        <v>钻石</v>
      </c>
      <c r="F230" s="176" t="str">
        <f t="shared" si="14"/>
        <v>钻石</v>
      </c>
      <c r="G230" s="176" t="e">
        <f>'配置页-无限挑战'!#REF!</f>
        <v>#REF!</v>
      </c>
      <c r="H230" s="176" t="e">
        <f t="shared" si="15"/>
        <v>#REF!</v>
      </c>
      <c r="I230" s="174" t="s">
        <v>265</v>
      </c>
    </row>
    <row r="231" ht="22" customHeight="1" spans="1:9">
      <c r="A231" s="174" t="s">
        <v>18</v>
      </c>
      <c r="B231" s="174" t="s">
        <v>190</v>
      </c>
      <c r="C231" s="174" t="s">
        <v>191</v>
      </c>
      <c r="D231" s="174" t="s">
        <v>436</v>
      </c>
      <c r="E231" s="176" t="str">
        <f>'配置页-无限挑战'!G141</f>
        <v>钻石</v>
      </c>
      <c r="F231" s="176" t="str">
        <f t="shared" si="14"/>
        <v>钻石</v>
      </c>
      <c r="G231" s="176" t="e">
        <f>'配置页-无限挑战'!#REF!</f>
        <v>#REF!</v>
      </c>
      <c r="H231" s="176" t="e">
        <f t="shared" si="15"/>
        <v>#REF!</v>
      </c>
      <c r="I231" s="174" t="s">
        <v>265</v>
      </c>
    </row>
    <row r="232" ht="22" customHeight="1" spans="1:9">
      <c r="A232" s="174" t="s">
        <v>18</v>
      </c>
      <c r="B232" s="174" t="s">
        <v>190</v>
      </c>
      <c r="C232" s="174" t="s">
        <v>191</v>
      </c>
      <c r="D232" s="174" t="s">
        <v>437</v>
      </c>
      <c r="E232" s="176" t="str">
        <f>'配置页-无限挑战'!G144</f>
        <v>钻石</v>
      </c>
      <c r="F232" s="176" t="str">
        <f t="shared" si="14"/>
        <v>钻石</v>
      </c>
      <c r="G232" s="176" t="e">
        <f>'配置页-无限挑战'!#REF!</f>
        <v>#REF!</v>
      </c>
      <c r="H232" s="176" t="e">
        <f t="shared" si="15"/>
        <v>#REF!</v>
      </c>
      <c r="I232" s="174" t="s">
        <v>265</v>
      </c>
    </row>
    <row r="233" ht="22" customHeight="1" spans="1:9">
      <c r="A233" s="174" t="s">
        <v>18</v>
      </c>
      <c r="B233" s="174" t="s">
        <v>190</v>
      </c>
      <c r="C233" s="174" t="s">
        <v>191</v>
      </c>
      <c r="D233" s="174" t="s">
        <v>438</v>
      </c>
      <c r="E233" s="176" t="str">
        <f>'配置页-无限挑战'!G147</f>
        <v>钻石</v>
      </c>
      <c r="F233" s="176" t="str">
        <f t="shared" si="14"/>
        <v>钻石</v>
      </c>
      <c r="G233" s="176" t="e">
        <f>'配置页-无限挑战'!#REF!</f>
        <v>#REF!</v>
      </c>
      <c r="H233" s="176" t="e">
        <f t="shared" si="15"/>
        <v>#REF!</v>
      </c>
      <c r="I233" s="174" t="s">
        <v>265</v>
      </c>
    </row>
    <row r="234" ht="22" customHeight="1" spans="1:9">
      <c r="A234" s="174" t="s">
        <v>18</v>
      </c>
      <c r="B234" s="174" t="s">
        <v>190</v>
      </c>
      <c r="C234" s="174" t="s">
        <v>191</v>
      </c>
      <c r="D234" s="174" t="s">
        <v>192</v>
      </c>
      <c r="E234" s="176" t="str">
        <f>'配置页-无限挑战'!G15</f>
        <v>角色抽卡券限时</v>
      </c>
      <c r="F234" s="176" t="str">
        <f t="shared" si="14"/>
        <v>角色抽卡券限时</v>
      </c>
      <c r="G234" s="176" t="e">
        <f>'配置页-无限挑战'!#REF!</f>
        <v>#REF!</v>
      </c>
      <c r="H234" s="176" t="e">
        <f t="shared" si="15"/>
        <v>#REF!</v>
      </c>
      <c r="I234" s="174" t="s">
        <v>265</v>
      </c>
    </row>
    <row r="235" ht="22" customHeight="1" spans="1:9">
      <c r="A235" s="174" t="s">
        <v>18</v>
      </c>
      <c r="B235" s="174" t="s">
        <v>190</v>
      </c>
      <c r="C235" s="174" t="s">
        <v>191</v>
      </c>
      <c r="D235" s="174" t="s">
        <v>439</v>
      </c>
      <c r="E235" s="176" t="str">
        <f>'配置页-无限挑战'!G150</f>
        <v>钻石</v>
      </c>
      <c r="F235" s="176" t="str">
        <f t="shared" si="14"/>
        <v>钻石</v>
      </c>
      <c r="G235" s="176" t="e">
        <f>'配置页-无限挑战'!#REF!</f>
        <v>#REF!</v>
      </c>
      <c r="H235" s="176" t="e">
        <f t="shared" si="15"/>
        <v>#REF!</v>
      </c>
      <c r="I235" s="174" t="s">
        <v>265</v>
      </c>
    </row>
    <row r="236" ht="22" customHeight="1" spans="1:9">
      <c r="A236" s="174" t="s">
        <v>18</v>
      </c>
      <c r="B236" s="174" t="s">
        <v>190</v>
      </c>
      <c r="C236" s="174" t="s">
        <v>191</v>
      </c>
      <c r="D236" s="174" t="s">
        <v>440</v>
      </c>
      <c r="E236" s="176" t="str">
        <f>'配置页-无限挑战'!G153</f>
        <v>钻石</v>
      </c>
      <c r="F236" s="176" t="str">
        <f t="shared" si="14"/>
        <v>钻石</v>
      </c>
      <c r="G236" s="176" t="e">
        <f>'配置页-无限挑战'!#REF!</f>
        <v>#REF!</v>
      </c>
      <c r="H236" s="176" t="e">
        <f t="shared" si="15"/>
        <v>#REF!</v>
      </c>
      <c r="I236" s="174" t="s">
        <v>265</v>
      </c>
    </row>
    <row r="237" ht="22" customHeight="1" spans="1:9">
      <c r="A237" s="174" t="s">
        <v>18</v>
      </c>
      <c r="B237" s="174" t="s">
        <v>190</v>
      </c>
      <c r="C237" s="174" t="s">
        <v>191</v>
      </c>
      <c r="D237" s="174" t="s">
        <v>441</v>
      </c>
      <c r="E237" s="176" t="str">
        <f>'配置页-无限挑战'!G156</f>
        <v>钻石</v>
      </c>
      <c r="F237" s="176" t="str">
        <f t="shared" si="14"/>
        <v>钻石</v>
      </c>
      <c r="G237" s="176" t="e">
        <f>'配置页-无限挑战'!#REF!</f>
        <v>#REF!</v>
      </c>
      <c r="H237" s="176" t="e">
        <f t="shared" si="15"/>
        <v>#REF!</v>
      </c>
      <c r="I237" s="174" t="s">
        <v>265</v>
      </c>
    </row>
    <row r="238" ht="22" customHeight="1" spans="1:9">
      <c r="A238" s="174" t="s">
        <v>18</v>
      </c>
      <c r="B238" s="174" t="s">
        <v>190</v>
      </c>
      <c r="C238" s="174" t="s">
        <v>191</v>
      </c>
      <c r="D238" s="174" t="s">
        <v>442</v>
      </c>
      <c r="E238" s="176" t="str">
        <f>'配置页-无限挑战'!G159</f>
        <v>钻石</v>
      </c>
      <c r="F238" s="176" t="str">
        <f t="shared" si="14"/>
        <v>钻石</v>
      </c>
      <c r="G238" s="176" t="e">
        <f>'配置页-无限挑战'!#REF!</f>
        <v>#REF!</v>
      </c>
      <c r="H238" s="176" t="e">
        <f t="shared" si="15"/>
        <v>#REF!</v>
      </c>
      <c r="I238" s="174" t="s">
        <v>265</v>
      </c>
    </row>
    <row r="239" ht="22" customHeight="1" spans="1:9">
      <c r="A239" s="174" t="s">
        <v>18</v>
      </c>
      <c r="B239" s="174" t="s">
        <v>190</v>
      </c>
      <c r="C239" s="174" t="s">
        <v>191</v>
      </c>
      <c r="D239" s="174" t="s">
        <v>443</v>
      </c>
      <c r="E239" s="176" t="str">
        <f>'配置页-无限挑战'!G162</f>
        <v>钻石</v>
      </c>
      <c r="F239" s="176" t="str">
        <f t="shared" si="14"/>
        <v>钻石</v>
      </c>
      <c r="G239" s="176" t="e">
        <f>'配置页-无限挑战'!#REF!</f>
        <v>#REF!</v>
      </c>
      <c r="H239" s="176" t="e">
        <f t="shared" si="15"/>
        <v>#REF!</v>
      </c>
      <c r="I239" s="174" t="s">
        <v>265</v>
      </c>
    </row>
    <row r="240" ht="22" customHeight="1" spans="1:9">
      <c r="A240" s="174" t="s">
        <v>18</v>
      </c>
      <c r="B240" s="174" t="s">
        <v>190</v>
      </c>
      <c r="C240" s="174" t="s">
        <v>191</v>
      </c>
      <c r="D240" s="174" t="s">
        <v>444</v>
      </c>
      <c r="E240" s="176" t="str">
        <f>'配置页-无限挑战'!G165</f>
        <v>钻石</v>
      </c>
      <c r="F240" s="176" t="str">
        <f t="shared" si="14"/>
        <v>钻石</v>
      </c>
      <c r="G240" s="176" t="e">
        <f>'配置页-无限挑战'!#REF!</f>
        <v>#REF!</v>
      </c>
      <c r="H240" s="176" t="e">
        <f t="shared" si="15"/>
        <v>#REF!</v>
      </c>
      <c r="I240" s="174" t="s">
        <v>265</v>
      </c>
    </row>
    <row r="241" ht="22" customHeight="1" spans="1:9">
      <c r="A241" s="174" t="s">
        <v>18</v>
      </c>
      <c r="B241" s="174" t="s">
        <v>190</v>
      </c>
      <c r="C241" s="174" t="s">
        <v>191</v>
      </c>
      <c r="D241" s="174" t="s">
        <v>445</v>
      </c>
      <c r="E241" s="176" t="str">
        <f>'配置页-无限挑战'!G168</f>
        <v>钻石</v>
      </c>
      <c r="F241" s="176" t="str">
        <f t="shared" si="14"/>
        <v>钻石</v>
      </c>
      <c r="G241" s="176" t="e">
        <f>'配置页-无限挑战'!#REF!</f>
        <v>#REF!</v>
      </c>
      <c r="H241" s="176" t="e">
        <f t="shared" si="15"/>
        <v>#REF!</v>
      </c>
      <c r="I241" s="174" t="s">
        <v>265</v>
      </c>
    </row>
    <row r="242" ht="22" customHeight="1" spans="1:9">
      <c r="A242" s="174" t="s">
        <v>18</v>
      </c>
      <c r="B242" s="174" t="s">
        <v>190</v>
      </c>
      <c r="C242" s="174" t="s">
        <v>191</v>
      </c>
      <c r="D242" s="174" t="s">
        <v>446</v>
      </c>
      <c r="E242" s="176" t="str">
        <f>'配置页-无限挑战'!G171</f>
        <v>钻石</v>
      </c>
      <c r="F242" s="176" t="str">
        <f t="shared" si="14"/>
        <v>钻石</v>
      </c>
      <c r="G242" s="176" t="e">
        <f>'配置页-无限挑战'!#REF!</f>
        <v>#REF!</v>
      </c>
      <c r="H242" s="176" t="e">
        <f t="shared" si="15"/>
        <v>#REF!</v>
      </c>
      <c r="I242" s="174" t="s">
        <v>265</v>
      </c>
    </row>
    <row r="243" ht="22" customHeight="1" spans="1:9">
      <c r="A243" s="174" t="s">
        <v>18</v>
      </c>
      <c r="B243" s="174" t="s">
        <v>190</v>
      </c>
      <c r="C243" s="174" t="s">
        <v>191</v>
      </c>
      <c r="D243" s="174" t="s">
        <v>447</v>
      </c>
      <c r="E243" s="176" t="str">
        <f>'配置页-无限挑战'!G174</f>
        <v>钻石</v>
      </c>
      <c r="F243" s="176" t="str">
        <f t="shared" si="14"/>
        <v>钻石</v>
      </c>
      <c r="G243" s="176" t="e">
        <f>'配置页-无限挑战'!#REF!</f>
        <v>#REF!</v>
      </c>
      <c r="H243" s="176" t="e">
        <f t="shared" si="15"/>
        <v>#REF!</v>
      </c>
      <c r="I243" s="174" t="s">
        <v>265</v>
      </c>
    </row>
    <row r="244" ht="22" customHeight="1" spans="1:9">
      <c r="A244" s="174" t="s">
        <v>18</v>
      </c>
      <c r="B244" s="174" t="s">
        <v>190</v>
      </c>
      <c r="C244" s="174" t="s">
        <v>191</v>
      </c>
      <c r="D244" s="174" t="s">
        <v>448</v>
      </c>
      <c r="E244" s="176" t="str">
        <f>'配置页-无限挑战'!G177</f>
        <v>钻石</v>
      </c>
      <c r="F244" s="176" t="str">
        <f t="shared" si="14"/>
        <v>钻石</v>
      </c>
      <c r="G244" s="176" t="e">
        <f>'配置页-无限挑战'!#REF!</f>
        <v>#REF!</v>
      </c>
      <c r="H244" s="176" t="e">
        <f t="shared" si="15"/>
        <v>#REF!</v>
      </c>
      <c r="I244" s="174" t="s">
        <v>265</v>
      </c>
    </row>
    <row r="245" ht="22" customHeight="1" spans="1:9">
      <c r="A245" s="174" t="s">
        <v>18</v>
      </c>
      <c r="B245" s="174" t="s">
        <v>190</v>
      </c>
      <c r="C245" s="174" t="s">
        <v>191</v>
      </c>
      <c r="D245" s="174" t="s">
        <v>194</v>
      </c>
      <c r="E245" s="176" t="str">
        <f>'配置页-无限挑战'!G18</f>
        <v>钻石</v>
      </c>
      <c r="F245" s="176" t="str">
        <f t="shared" si="14"/>
        <v>钻石</v>
      </c>
      <c r="G245" s="176" t="e">
        <f>'配置页-无限挑战'!#REF!</f>
        <v>#REF!</v>
      </c>
      <c r="H245" s="176" t="e">
        <f t="shared" si="15"/>
        <v>#REF!</v>
      </c>
      <c r="I245" s="174" t="s">
        <v>265</v>
      </c>
    </row>
    <row r="246" ht="22" customHeight="1" spans="1:9">
      <c r="A246" s="174" t="s">
        <v>18</v>
      </c>
      <c r="B246" s="174" t="s">
        <v>190</v>
      </c>
      <c r="C246" s="174" t="s">
        <v>191</v>
      </c>
      <c r="D246" s="174" t="s">
        <v>449</v>
      </c>
      <c r="E246" s="176" t="str">
        <f>'配置页-无限挑战'!G180</f>
        <v>钻石</v>
      </c>
      <c r="F246" s="176" t="str">
        <f t="shared" si="14"/>
        <v>钻石</v>
      </c>
      <c r="G246" s="176" t="e">
        <f>'配置页-无限挑战'!#REF!</f>
        <v>#REF!</v>
      </c>
      <c r="H246" s="176" t="e">
        <f t="shared" si="15"/>
        <v>#REF!</v>
      </c>
      <c r="I246" s="174" t="s">
        <v>265</v>
      </c>
    </row>
    <row r="247" ht="22" customHeight="1" spans="1:9">
      <c r="A247" s="174" t="s">
        <v>18</v>
      </c>
      <c r="B247" s="174" t="s">
        <v>190</v>
      </c>
      <c r="C247" s="174" t="s">
        <v>191</v>
      </c>
      <c r="D247" s="174" t="s">
        <v>450</v>
      </c>
      <c r="E247" s="176" t="str">
        <f>'配置页-无限挑战'!G183</f>
        <v>钻石</v>
      </c>
      <c r="F247" s="176" t="str">
        <f t="shared" si="14"/>
        <v>钻石</v>
      </c>
      <c r="G247" s="176" t="e">
        <f>'配置页-无限挑战'!#REF!</f>
        <v>#REF!</v>
      </c>
      <c r="H247" s="176" t="e">
        <f t="shared" si="15"/>
        <v>#REF!</v>
      </c>
      <c r="I247" s="174" t="s">
        <v>265</v>
      </c>
    </row>
    <row r="248" ht="22" customHeight="1" spans="1:9">
      <c r="A248" s="174" t="s">
        <v>18</v>
      </c>
      <c r="B248" s="174" t="s">
        <v>190</v>
      </c>
      <c r="C248" s="174" t="s">
        <v>191</v>
      </c>
      <c r="D248" s="174" t="s">
        <v>451</v>
      </c>
      <c r="E248" s="176" t="str">
        <f>'配置页-无限挑战'!G186</f>
        <v>钻石</v>
      </c>
      <c r="F248" s="176" t="str">
        <f t="shared" si="14"/>
        <v>钻石</v>
      </c>
      <c r="G248" s="176" t="e">
        <f>'配置页-无限挑战'!#REF!</f>
        <v>#REF!</v>
      </c>
      <c r="H248" s="176" t="e">
        <f t="shared" si="15"/>
        <v>#REF!</v>
      </c>
      <c r="I248" s="174" t="s">
        <v>265</v>
      </c>
    </row>
    <row r="249" ht="22" customHeight="1" spans="1:9">
      <c r="A249" s="174" t="s">
        <v>18</v>
      </c>
      <c r="B249" s="174" t="s">
        <v>190</v>
      </c>
      <c r="C249" s="174" t="s">
        <v>191</v>
      </c>
      <c r="D249" s="174" t="s">
        <v>452</v>
      </c>
      <c r="E249" s="176" t="str">
        <f>'配置页-无限挑战'!G189</f>
        <v>钻石</v>
      </c>
      <c r="F249" s="176" t="str">
        <f t="shared" si="14"/>
        <v>钻石</v>
      </c>
      <c r="G249" s="176" t="e">
        <f>'配置页-无限挑战'!#REF!</f>
        <v>#REF!</v>
      </c>
      <c r="H249" s="176" t="e">
        <f t="shared" si="15"/>
        <v>#REF!</v>
      </c>
      <c r="I249" s="174" t="s">
        <v>265</v>
      </c>
    </row>
    <row r="250" ht="22" customHeight="1" spans="1:9">
      <c r="A250" s="174" t="s">
        <v>18</v>
      </c>
      <c r="B250" s="174" t="s">
        <v>190</v>
      </c>
      <c r="C250" s="174" t="s">
        <v>191</v>
      </c>
      <c r="D250" s="174" t="s">
        <v>453</v>
      </c>
      <c r="E250" s="176" t="str">
        <f>'配置页-无限挑战'!G192</f>
        <v>钻石</v>
      </c>
      <c r="F250" s="176" t="str">
        <f t="shared" si="14"/>
        <v>钻石</v>
      </c>
      <c r="G250" s="176" t="e">
        <f>'配置页-无限挑战'!#REF!</f>
        <v>#REF!</v>
      </c>
      <c r="H250" s="176" t="e">
        <f t="shared" si="15"/>
        <v>#REF!</v>
      </c>
      <c r="I250" s="174" t="s">
        <v>265</v>
      </c>
    </row>
    <row r="251" ht="22" customHeight="1" spans="1:9">
      <c r="A251" s="174" t="s">
        <v>18</v>
      </c>
      <c r="B251" s="174" t="s">
        <v>190</v>
      </c>
      <c r="C251" s="174" t="s">
        <v>191</v>
      </c>
      <c r="D251" s="174" t="s">
        <v>454</v>
      </c>
      <c r="E251" s="176" t="str">
        <f>'配置页-无限挑战'!G195</f>
        <v>钻石</v>
      </c>
      <c r="F251" s="176" t="str">
        <f t="shared" si="14"/>
        <v>钻石</v>
      </c>
      <c r="G251" s="176" t="e">
        <f>'配置页-无限挑战'!#REF!</f>
        <v>#REF!</v>
      </c>
      <c r="H251" s="176" t="e">
        <f t="shared" si="15"/>
        <v>#REF!</v>
      </c>
      <c r="I251" s="174" t="s">
        <v>265</v>
      </c>
    </row>
    <row r="252" ht="22" customHeight="1" spans="1:9">
      <c r="A252" s="174" t="s">
        <v>18</v>
      </c>
      <c r="B252" s="174" t="s">
        <v>190</v>
      </c>
      <c r="C252" s="174" t="s">
        <v>191</v>
      </c>
      <c r="D252" s="174" t="s">
        <v>455</v>
      </c>
      <c r="E252" s="176" t="str">
        <f>'配置页-无限挑战'!G198</f>
        <v>钻石</v>
      </c>
      <c r="F252" s="176" t="str">
        <f t="shared" si="14"/>
        <v>钻石</v>
      </c>
      <c r="G252" s="176" t="e">
        <f>'配置页-无限挑战'!#REF!</f>
        <v>#REF!</v>
      </c>
      <c r="H252" s="176" t="e">
        <f t="shared" si="15"/>
        <v>#REF!</v>
      </c>
      <c r="I252" s="174" t="s">
        <v>265</v>
      </c>
    </row>
    <row r="253" ht="22" customHeight="1" spans="1:9">
      <c r="A253" s="174" t="s">
        <v>18</v>
      </c>
      <c r="B253" s="174" t="s">
        <v>190</v>
      </c>
      <c r="C253" s="174" t="s">
        <v>191</v>
      </c>
      <c r="D253" s="174" t="s">
        <v>456</v>
      </c>
      <c r="E253" s="176" t="str">
        <f>'配置页-无限挑战'!G201</f>
        <v>钻石</v>
      </c>
      <c r="F253" s="176" t="str">
        <f t="shared" si="14"/>
        <v>钻石</v>
      </c>
      <c r="G253" s="176" t="e">
        <f>'配置页-无限挑战'!#REF!</f>
        <v>#REF!</v>
      </c>
      <c r="H253" s="176" t="e">
        <f t="shared" si="15"/>
        <v>#REF!</v>
      </c>
      <c r="I253" s="174" t="s">
        <v>265</v>
      </c>
    </row>
    <row r="254" ht="22" customHeight="1" spans="1:9">
      <c r="A254" s="174" t="s">
        <v>18</v>
      </c>
      <c r="B254" s="174" t="s">
        <v>190</v>
      </c>
      <c r="C254" s="174" t="s">
        <v>191</v>
      </c>
      <c r="D254" s="174" t="s">
        <v>457</v>
      </c>
      <c r="E254" s="176" t="str">
        <f>'配置页-无限挑战'!G204</f>
        <v>钻石</v>
      </c>
      <c r="F254" s="176" t="str">
        <f t="shared" si="14"/>
        <v>钻石</v>
      </c>
      <c r="G254" s="176" t="e">
        <f>'配置页-无限挑战'!#REF!</f>
        <v>#REF!</v>
      </c>
      <c r="H254" s="176" t="e">
        <f t="shared" si="15"/>
        <v>#REF!</v>
      </c>
      <c r="I254" s="174" t="s">
        <v>265</v>
      </c>
    </row>
    <row r="255" ht="22" customHeight="1" spans="1:9">
      <c r="A255" s="174" t="s">
        <v>18</v>
      </c>
      <c r="B255" s="174" t="s">
        <v>190</v>
      </c>
      <c r="C255" s="174" t="s">
        <v>191</v>
      </c>
      <c r="D255" s="174" t="s">
        <v>458</v>
      </c>
      <c r="E255" s="176" t="str">
        <f>'配置页-无限挑战'!G207</f>
        <v>钻石</v>
      </c>
      <c r="F255" s="176" t="str">
        <f t="shared" si="14"/>
        <v>钻石</v>
      </c>
      <c r="G255" s="176" t="e">
        <f>'配置页-无限挑战'!#REF!</f>
        <v>#REF!</v>
      </c>
      <c r="H255" s="176" t="e">
        <f t="shared" si="15"/>
        <v>#REF!</v>
      </c>
      <c r="I255" s="174" t="s">
        <v>265</v>
      </c>
    </row>
    <row r="256" ht="22" customHeight="1" spans="1:9">
      <c r="A256" s="174" t="s">
        <v>18</v>
      </c>
      <c r="B256" s="174" t="s">
        <v>190</v>
      </c>
      <c r="C256" s="174" t="s">
        <v>191</v>
      </c>
      <c r="D256" s="174" t="s">
        <v>459</v>
      </c>
      <c r="E256" s="176" t="str">
        <f>'配置页-无限挑战'!G210</f>
        <v>钻石</v>
      </c>
      <c r="F256" s="176" t="str">
        <f t="shared" si="14"/>
        <v>钻石</v>
      </c>
      <c r="G256" s="176" t="e">
        <f>'配置页-无限挑战'!#REF!</f>
        <v>#REF!</v>
      </c>
      <c r="H256" s="176" t="e">
        <f t="shared" si="15"/>
        <v>#REF!</v>
      </c>
      <c r="I256" s="174" t="s">
        <v>265</v>
      </c>
    </row>
    <row r="257" ht="22" customHeight="1" spans="1:9">
      <c r="A257" s="174" t="s">
        <v>18</v>
      </c>
      <c r="B257" s="174" t="s">
        <v>190</v>
      </c>
      <c r="C257" s="174" t="s">
        <v>191</v>
      </c>
      <c r="D257" s="174" t="s">
        <v>460</v>
      </c>
      <c r="E257" s="176" t="str">
        <f>'配置页-无限挑战'!G213</f>
        <v>钻石</v>
      </c>
      <c r="F257" s="176" t="str">
        <f t="shared" si="14"/>
        <v>钻石</v>
      </c>
      <c r="G257" s="176" t="e">
        <f>'配置页-无限挑战'!#REF!</f>
        <v>#REF!</v>
      </c>
      <c r="H257" s="176" t="e">
        <f t="shared" si="15"/>
        <v>#REF!</v>
      </c>
      <c r="I257" s="174" t="s">
        <v>265</v>
      </c>
    </row>
    <row r="258" ht="22" customHeight="1" spans="1:9">
      <c r="A258" s="174" t="s">
        <v>18</v>
      </c>
      <c r="B258" s="174" t="s">
        <v>190</v>
      </c>
      <c r="C258" s="174" t="s">
        <v>191</v>
      </c>
      <c r="D258" s="174" t="s">
        <v>461</v>
      </c>
      <c r="E258" s="176" t="str">
        <f>'配置页-无限挑战'!G216</f>
        <v>钻石</v>
      </c>
      <c r="F258" s="176" t="str">
        <f t="shared" si="14"/>
        <v>钻石</v>
      </c>
      <c r="G258" s="176" t="e">
        <f>'配置页-无限挑战'!#REF!</f>
        <v>#REF!</v>
      </c>
      <c r="H258" s="176" t="e">
        <f t="shared" si="15"/>
        <v>#REF!</v>
      </c>
      <c r="I258" s="174" t="s">
        <v>265</v>
      </c>
    </row>
    <row r="259" ht="22" customHeight="1" spans="1:9">
      <c r="A259" s="174" t="s">
        <v>18</v>
      </c>
      <c r="B259" s="174" t="s">
        <v>190</v>
      </c>
      <c r="C259" s="174" t="s">
        <v>191</v>
      </c>
      <c r="D259" s="174" t="s">
        <v>462</v>
      </c>
      <c r="E259" s="176" t="str">
        <f>'配置页-无限挑战'!G219</f>
        <v>钻石</v>
      </c>
      <c r="F259" s="176" t="str">
        <f t="shared" si="14"/>
        <v>钻石</v>
      </c>
      <c r="G259" s="176" t="e">
        <f>'配置页-无限挑战'!#REF!</f>
        <v>#REF!</v>
      </c>
      <c r="H259" s="176" t="e">
        <f t="shared" si="15"/>
        <v>#REF!</v>
      </c>
      <c r="I259" s="174" t="s">
        <v>265</v>
      </c>
    </row>
    <row r="260" ht="22" customHeight="1" spans="1:9">
      <c r="A260" s="174" t="s">
        <v>18</v>
      </c>
      <c r="B260" s="174" t="s">
        <v>190</v>
      </c>
      <c r="C260" s="174" t="s">
        <v>191</v>
      </c>
      <c r="D260" s="174" t="s">
        <v>463</v>
      </c>
      <c r="E260" s="176" t="str">
        <f>'配置页-无限挑战'!G222</f>
        <v>钻石</v>
      </c>
      <c r="F260" s="176" t="str">
        <f t="shared" si="14"/>
        <v>钻石</v>
      </c>
      <c r="G260" s="176" t="e">
        <f>'配置页-无限挑战'!#REF!</f>
        <v>#REF!</v>
      </c>
      <c r="H260" s="176" t="e">
        <f t="shared" si="15"/>
        <v>#REF!</v>
      </c>
      <c r="I260" s="174" t="s">
        <v>265</v>
      </c>
    </row>
    <row r="261" ht="22" customHeight="1" spans="1:9">
      <c r="A261" s="174" t="s">
        <v>18</v>
      </c>
      <c r="B261" s="174" t="s">
        <v>190</v>
      </c>
      <c r="C261" s="174" t="s">
        <v>191</v>
      </c>
      <c r="D261" s="174" t="s">
        <v>464</v>
      </c>
      <c r="E261" s="176" t="str">
        <f>'配置页-无限挑战'!G225</f>
        <v>钻石</v>
      </c>
      <c r="F261" s="176" t="str">
        <f t="shared" si="14"/>
        <v>钻石</v>
      </c>
      <c r="G261" s="176" t="e">
        <f>'配置页-无限挑战'!#REF!</f>
        <v>#REF!</v>
      </c>
      <c r="H261" s="176" t="e">
        <f t="shared" si="15"/>
        <v>#REF!</v>
      </c>
      <c r="I261" s="174" t="s">
        <v>265</v>
      </c>
    </row>
    <row r="262" ht="22" customHeight="1" spans="1:9">
      <c r="A262" s="174" t="s">
        <v>18</v>
      </c>
      <c r="B262" s="174" t="s">
        <v>190</v>
      </c>
      <c r="C262" s="174" t="s">
        <v>191</v>
      </c>
      <c r="D262" s="174" t="s">
        <v>465</v>
      </c>
      <c r="E262" s="176" t="str">
        <f>'配置页-无限挑战'!G228</f>
        <v>钻石</v>
      </c>
      <c r="F262" s="176" t="str">
        <f t="shared" si="14"/>
        <v>钻石</v>
      </c>
      <c r="G262" s="176" t="e">
        <f>'配置页-无限挑战'!#REF!</f>
        <v>#REF!</v>
      </c>
      <c r="H262" s="176" t="e">
        <f t="shared" si="15"/>
        <v>#REF!</v>
      </c>
      <c r="I262" s="174" t="s">
        <v>265</v>
      </c>
    </row>
    <row r="263" ht="22" customHeight="1" spans="1:9">
      <c r="A263" s="174" t="s">
        <v>18</v>
      </c>
      <c r="B263" s="174" t="s">
        <v>190</v>
      </c>
      <c r="C263" s="174" t="s">
        <v>191</v>
      </c>
      <c r="D263" s="174" t="s">
        <v>466</v>
      </c>
      <c r="E263" s="176" t="str">
        <f>'配置页-无限挑战'!G231</f>
        <v>钻石</v>
      </c>
      <c r="F263" s="176" t="str">
        <f t="shared" si="14"/>
        <v>钻石</v>
      </c>
      <c r="G263" s="176" t="e">
        <f>'配置页-无限挑战'!#REF!</f>
        <v>#REF!</v>
      </c>
      <c r="H263" s="176" t="e">
        <f t="shared" si="15"/>
        <v>#REF!</v>
      </c>
      <c r="I263" s="174" t="s">
        <v>265</v>
      </c>
    </row>
    <row r="264" ht="22" customHeight="1" spans="1:9">
      <c r="A264" s="174" t="s">
        <v>18</v>
      </c>
      <c r="B264" s="174" t="s">
        <v>190</v>
      </c>
      <c r="C264" s="174" t="s">
        <v>191</v>
      </c>
      <c r="D264" s="174" t="s">
        <v>467</v>
      </c>
      <c r="E264" s="176" t="str">
        <f>'配置页-无限挑战'!G234</f>
        <v>钻石</v>
      </c>
      <c r="F264" s="176" t="str">
        <f t="shared" si="14"/>
        <v>钻石</v>
      </c>
      <c r="G264" s="176" t="e">
        <f>'配置页-无限挑战'!#REF!</f>
        <v>#REF!</v>
      </c>
      <c r="H264" s="176" t="e">
        <f t="shared" si="15"/>
        <v>#REF!</v>
      </c>
      <c r="I264" s="174" t="s">
        <v>265</v>
      </c>
    </row>
    <row r="265" ht="22" customHeight="1" spans="1:9">
      <c r="A265" s="174" t="s">
        <v>18</v>
      </c>
      <c r="B265" s="174" t="s">
        <v>190</v>
      </c>
      <c r="C265" s="174" t="s">
        <v>191</v>
      </c>
      <c r="D265" s="174" t="s">
        <v>468</v>
      </c>
      <c r="E265" s="176" t="str">
        <f>'配置页-无限挑战'!G237</f>
        <v>钻石</v>
      </c>
      <c r="F265" s="176" t="str">
        <f t="shared" si="14"/>
        <v>钻石</v>
      </c>
      <c r="G265" s="176" t="e">
        <f>'配置页-无限挑战'!#REF!</f>
        <v>#REF!</v>
      </c>
      <c r="H265" s="176" t="e">
        <f t="shared" si="15"/>
        <v>#REF!</v>
      </c>
      <c r="I265" s="174" t="s">
        <v>265</v>
      </c>
    </row>
    <row r="266" ht="22" customHeight="1" spans="1:9">
      <c r="A266" s="174" t="s">
        <v>18</v>
      </c>
      <c r="B266" s="174" t="s">
        <v>190</v>
      </c>
      <c r="C266" s="174" t="s">
        <v>191</v>
      </c>
      <c r="D266" s="174" t="s">
        <v>195</v>
      </c>
      <c r="E266" s="176" t="str">
        <f>'配置页-无限挑战'!G24</f>
        <v>角色抽卡券普通</v>
      </c>
      <c r="F266" s="176" t="str">
        <f t="shared" si="14"/>
        <v>角色抽卡券普通</v>
      </c>
      <c r="G266" s="176" t="e">
        <f>'配置页-无限挑战'!#REF!</f>
        <v>#REF!</v>
      </c>
      <c r="H266" s="176" t="e">
        <f t="shared" si="15"/>
        <v>#REF!</v>
      </c>
      <c r="I266" s="174" t="s">
        <v>265</v>
      </c>
    </row>
    <row r="267" ht="22" customHeight="1" spans="1:9">
      <c r="A267" s="174" t="s">
        <v>18</v>
      </c>
      <c r="B267" s="174" t="s">
        <v>190</v>
      </c>
      <c r="C267" s="174" t="s">
        <v>191</v>
      </c>
      <c r="D267" s="174" t="s">
        <v>469</v>
      </c>
      <c r="E267" s="176" t="str">
        <f>'配置页-无限挑战'!G240</f>
        <v>钻石</v>
      </c>
      <c r="F267" s="176" t="str">
        <f t="shared" si="14"/>
        <v>钻石</v>
      </c>
      <c r="G267" s="176" t="e">
        <f>'配置页-无限挑战'!#REF!</f>
        <v>#REF!</v>
      </c>
      <c r="H267" s="176" t="e">
        <f t="shared" si="15"/>
        <v>#REF!</v>
      </c>
      <c r="I267" s="174" t="s">
        <v>265</v>
      </c>
    </row>
    <row r="268" ht="22" customHeight="1" spans="1:9">
      <c r="A268" s="174" t="s">
        <v>18</v>
      </c>
      <c r="B268" s="174" t="s">
        <v>190</v>
      </c>
      <c r="C268" s="174" t="s">
        <v>191</v>
      </c>
      <c r="D268" s="174" t="s">
        <v>470</v>
      </c>
      <c r="E268" s="176" t="str">
        <f>'配置页-无限挑战'!G243</f>
        <v>钻石</v>
      </c>
      <c r="F268" s="176" t="str">
        <f t="shared" si="14"/>
        <v>钻石</v>
      </c>
      <c r="G268" s="176" t="e">
        <f>'配置页-无限挑战'!#REF!</f>
        <v>#REF!</v>
      </c>
      <c r="H268" s="176" t="e">
        <f t="shared" si="15"/>
        <v>#REF!</v>
      </c>
      <c r="I268" s="174" t="s">
        <v>265</v>
      </c>
    </row>
    <row r="269" ht="22" customHeight="1" spans="1:9">
      <c r="A269" s="174" t="s">
        <v>18</v>
      </c>
      <c r="B269" s="174" t="s">
        <v>190</v>
      </c>
      <c r="C269" s="174" t="s">
        <v>191</v>
      </c>
      <c r="D269" s="174" t="s">
        <v>471</v>
      </c>
      <c r="E269" s="176" t="str">
        <f>'配置页-无限挑战'!G246</f>
        <v>钻石</v>
      </c>
      <c r="F269" s="176" t="str">
        <f t="shared" si="14"/>
        <v>钻石</v>
      </c>
      <c r="G269" s="176" t="e">
        <f>'配置页-无限挑战'!#REF!</f>
        <v>#REF!</v>
      </c>
      <c r="H269" s="176" t="e">
        <f t="shared" si="15"/>
        <v>#REF!</v>
      </c>
      <c r="I269" s="174" t="s">
        <v>265</v>
      </c>
    </row>
    <row r="270" ht="22" customHeight="1" spans="1:9">
      <c r="A270" s="174" t="s">
        <v>18</v>
      </c>
      <c r="B270" s="174" t="s">
        <v>190</v>
      </c>
      <c r="C270" s="174" t="s">
        <v>191</v>
      </c>
      <c r="D270" s="174" t="s">
        <v>472</v>
      </c>
      <c r="E270" s="176" t="str">
        <f>'配置页-无限挑战'!G249</f>
        <v>钻石</v>
      </c>
      <c r="F270" s="176" t="str">
        <f t="shared" si="14"/>
        <v>钻石</v>
      </c>
      <c r="G270" s="176" t="e">
        <f>'配置页-无限挑战'!#REF!</f>
        <v>#REF!</v>
      </c>
      <c r="H270" s="176" t="e">
        <f t="shared" si="15"/>
        <v>#REF!</v>
      </c>
      <c r="I270" s="174" t="s">
        <v>265</v>
      </c>
    </row>
    <row r="271" ht="22" customHeight="1" spans="1:9">
      <c r="A271" s="174" t="s">
        <v>18</v>
      </c>
      <c r="B271" s="174" t="s">
        <v>190</v>
      </c>
      <c r="C271" s="174" t="s">
        <v>191</v>
      </c>
      <c r="D271" s="174" t="s">
        <v>473</v>
      </c>
      <c r="E271" s="176" t="str">
        <f>'配置页-无限挑战'!G252</f>
        <v>钻石</v>
      </c>
      <c r="F271" s="176" t="str">
        <f t="shared" si="14"/>
        <v>钻石</v>
      </c>
      <c r="G271" s="176" t="e">
        <f>'配置页-无限挑战'!#REF!</f>
        <v>#REF!</v>
      </c>
      <c r="H271" s="176" t="e">
        <f t="shared" si="15"/>
        <v>#REF!</v>
      </c>
      <c r="I271" s="174" t="s">
        <v>265</v>
      </c>
    </row>
    <row r="272" ht="22" customHeight="1" spans="1:9">
      <c r="A272" s="174" t="s">
        <v>18</v>
      </c>
      <c r="B272" s="174" t="s">
        <v>190</v>
      </c>
      <c r="C272" s="174" t="s">
        <v>191</v>
      </c>
      <c r="D272" s="174" t="s">
        <v>474</v>
      </c>
      <c r="E272" s="176" t="str">
        <f>'配置页-无限挑战'!G255</f>
        <v>钻石</v>
      </c>
      <c r="F272" s="176" t="str">
        <f t="shared" si="14"/>
        <v>钻石</v>
      </c>
      <c r="G272" s="176" t="e">
        <f>'配置页-无限挑战'!#REF!</f>
        <v>#REF!</v>
      </c>
      <c r="H272" s="176" t="e">
        <f t="shared" si="15"/>
        <v>#REF!</v>
      </c>
      <c r="I272" s="174" t="s">
        <v>265</v>
      </c>
    </row>
    <row r="273" ht="22" customHeight="1" spans="1:9">
      <c r="A273" s="174" t="s">
        <v>18</v>
      </c>
      <c r="B273" s="174" t="s">
        <v>190</v>
      </c>
      <c r="C273" s="174" t="s">
        <v>191</v>
      </c>
      <c r="D273" s="174" t="s">
        <v>475</v>
      </c>
      <c r="E273" s="176" t="str">
        <f>'配置页-无限挑战'!G258</f>
        <v>钻石</v>
      </c>
      <c r="F273" s="176" t="str">
        <f t="shared" si="14"/>
        <v>钻石</v>
      </c>
      <c r="G273" s="176" t="e">
        <f>'配置页-无限挑战'!#REF!</f>
        <v>#REF!</v>
      </c>
      <c r="H273" s="176" t="e">
        <f t="shared" si="15"/>
        <v>#REF!</v>
      </c>
      <c r="I273" s="174" t="s">
        <v>265</v>
      </c>
    </row>
    <row r="274" ht="22" customHeight="1" spans="1:9">
      <c r="A274" s="174" t="s">
        <v>18</v>
      </c>
      <c r="B274" s="174" t="s">
        <v>190</v>
      </c>
      <c r="C274" s="174" t="s">
        <v>191</v>
      </c>
      <c r="D274" s="174" t="s">
        <v>476</v>
      </c>
      <c r="E274" s="176" t="str">
        <f>'配置页-无限挑战'!G261</f>
        <v>钻石</v>
      </c>
      <c r="F274" s="176" t="str">
        <f t="shared" si="14"/>
        <v>钻石</v>
      </c>
      <c r="G274" s="176" t="e">
        <f>'配置页-无限挑战'!#REF!</f>
        <v>#REF!</v>
      </c>
      <c r="H274" s="176" t="e">
        <f t="shared" si="15"/>
        <v>#REF!</v>
      </c>
      <c r="I274" s="174" t="s">
        <v>265</v>
      </c>
    </row>
    <row r="275" ht="22" customHeight="1" spans="1:9">
      <c r="A275" s="174" t="s">
        <v>18</v>
      </c>
      <c r="B275" s="174" t="s">
        <v>190</v>
      </c>
      <c r="C275" s="174" t="s">
        <v>191</v>
      </c>
      <c r="D275" s="174" t="s">
        <v>477</v>
      </c>
      <c r="E275" s="176" t="str">
        <f>'配置页-无限挑战'!G264</f>
        <v>钻石</v>
      </c>
      <c r="F275" s="176" t="str">
        <f t="shared" si="14"/>
        <v>钻石</v>
      </c>
      <c r="G275" s="176" t="e">
        <f>'配置页-无限挑战'!#REF!</f>
        <v>#REF!</v>
      </c>
      <c r="H275" s="176" t="e">
        <f t="shared" si="15"/>
        <v>#REF!</v>
      </c>
      <c r="I275" s="174" t="s">
        <v>265</v>
      </c>
    </row>
    <row r="276" ht="22" customHeight="1" spans="1:9">
      <c r="A276" s="174" t="s">
        <v>18</v>
      </c>
      <c r="B276" s="174" t="s">
        <v>190</v>
      </c>
      <c r="C276" s="174" t="s">
        <v>191</v>
      </c>
      <c r="D276" s="174" t="s">
        <v>478</v>
      </c>
      <c r="E276" s="176" t="str">
        <f>'配置页-无限挑战'!G267</f>
        <v>钻石</v>
      </c>
      <c r="F276" s="176" t="str">
        <f t="shared" ref="F276:F339" si="16">IF(E276="钻石","钻石",IF(ISNUMBER(SEARCH("角色抽卡券限时",E276)),"角色抽卡券限时",IF(ISNUMBER(SEARCH("专武抽卡券限时",E276)),"专武抽卡券限时",IF(ISNUMBER(SEARCH("角色抽卡券",E276)),"角色抽卡券普通",IF(ISNUMBER(SEARCH("专武抽卡券",E276)),"专武抽卡券普通","")))))</f>
        <v>钻石</v>
      </c>
      <c r="G276" s="176" t="e">
        <f>'配置页-无限挑战'!#REF!</f>
        <v>#REF!</v>
      </c>
      <c r="H276" s="176" t="e">
        <f t="shared" ref="H276:H339" si="17">IF(F276="",0,IF(F276="钻石",G276,G276*150))</f>
        <v>#REF!</v>
      </c>
      <c r="I276" s="174" t="s">
        <v>265</v>
      </c>
    </row>
    <row r="277" ht="22" customHeight="1" spans="1:9">
      <c r="A277" s="174" t="s">
        <v>18</v>
      </c>
      <c r="B277" s="174" t="s">
        <v>190</v>
      </c>
      <c r="C277" s="174" t="s">
        <v>191</v>
      </c>
      <c r="D277" s="174" t="s">
        <v>196</v>
      </c>
      <c r="E277" s="176" t="str">
        <f>'配置页-无限挑战'!G27</f>
        <v>角色抽卡券限时</v>
      </c>
      <c r="F277" s="176" t="str">
        <f t="shared" si="16"/>
        <v>角色抽卡券限时</v>
      </c>
      <c r="G277" s="176" t="e">
        <f>'配置页-无限挑战'!#REF!</f>
        <v>#REF!</v>
      </c>
      <c r="H277" s="176" t="e">
        <f t="shared" si="17"/>
        <v>#REF!</v>
      </c>
      <c r="I277" s="174" t="s">
        <v>265</v>
      </c>
    </row>
    <row r="278" ht="22" customHeight="1" spans="1:9">
      <c r="A278" s="174" t="s">
        <v>18</v>
      </c>
      <c r="B278" s="174" t="s">
        <v>190</v>
      </c>
      <c r="C278" s="174" t="s">
        <v>191</v>
      </c>
      <c r="D278" s="174" t="s">
        <v>479</v>
      </c>
      <c r="E278" s="176" t="str">
        <f>'配置页-无限挑战'!G270</f>
        <v>钻石</v>
      </c>
      <c r="F278" s="176" t="str">
        <f t="shared" si="16"/>
        <v>钻石</v>
      </c>
      <c r="G278" s="176" t="e">
        <f>'配置页-无限挑战'!#REF!</f>
        <v>#REF!</v>
      </c>
      <c r="H278" s="176" t="e">
        <f t="shared" si="17"/>
        <v>#REF!</v>
      </c>
      <c r="I278" s="174" t="s">
        <v>265</v>
      </c>
    </row>
    <row r="279" ht="22" customHeight="1" spans="1:9">
      <c r="A279" s="174" t="s">
        <v>18</v>
      </c>
      <c r="B279" s="174" t="s">
        <v>190</v>
      </c>
      <c r="C279" s="174" t="s">
        <v>191</v>
      </c>
      <c r="D279" s="174" t="s">
        <v>480</v>
      </c>
      <c r="E279" s="176" t="str">
        <f>'配置页-无限挑战'!G273</f>
        <v>钻石</v>
      </c>
      <c r="F279" s="176" t="str">
        <f t="shared" si="16"/>
        <v>钻石</v>
      </c>
      <c r="G279" s="176" t="e">
        <f>'配置页-无限挑战'!#REF!</f>
        <v>#REF!</v>
      </c>
      <c r="H279" s="176" t="e">
        <f t="shared" si="17"/>
        <v>#REF!</v>
      </c>
      <c r="I279" s="174" t="s">
        <v>265</v>
      </c>
    </row>
    <row r="280" ht="22" customHeight="1" spans="1:9">
      <c r="A280" s="174" t="s">
        <v>18</v>
      </c>
      <c r="B280" s="174" t="s">
        <v>190</v>
      </c>
      <c r="C280" s="174" t="s">
        <v>191</v>
      </c>
      <c r="D280" s="174" t="s">
        <v>481</v>
      </c>
      <c r="E280" s="176" t="str">
        <f>'配置页-无限挑战'!G276</f>
        <v>钻石</v>
      </c>
      <c r="F280" s="176" t="str">
        <f t="shared" si="16"/>
        <v>钻石</v>
      </c>
      <c r="G280" s="176" t="e">
        <f>'配置页-无限挑战'!#REF!</f>
        <v>#REF!</v>
      </c>
      <c r="H280" s="176" t="e">
        <f t="shared" si="17"/>
        <v>#REF!</v>
      </c>
      <c r="I280" s="174" t="s">
        <v>265</v>
      </c>
    </row>
    <row r="281" ht="22" customHeight="1" spans="1:9">
      <c r="A281" s="174" t="s">
        <v>18</v>
      </c>
      <c r="B281" s="174" t="s">
        <v>190</v>
      </c>
      <c r="C281" s="174" t="s">
        <v>191</v>
      </c>
      <c r="D281" s="174" t="s">
        <v>482</v>
      </c>
      <c r="E281" s="176" t="str">
        <f>'配置页-无限挑战'!G279</f>
        <v>钻石</v>
      </c>
      <c r="F281" s="176" t="str">
        <f t="shared" si="16"/>
        <v>钻石</v>
      </c>
      <c r="G281" s="176" t="e">
        <f>'配置页-无限挑战'!#REF!</f>
        <v>#REF!</v>
      </c>
      <c r="H281" s="176" t="e">
        <f t="shared" si="17"/>
        <v>#REF!</v>
      </c>
      <c r="I281" s="174" t="s">
        <v>265</v>
      </c>
    </row>
    <row r="282" ht="22" customHeight="1" spans="1:9">
      <c r="A282" s="174" t="s">
        <v>18</v>
      </c>
      <c r="B282" s="174" t="s">
        <v>190</v>
      </c>
      <c r="C282" s="174" t="s">
        <v>191</v>
      </c>
      <c r="D282" s="174" t="s">
        <v>483</v>
      </c>
      <c r="E282" s="176" t="str">
        <f>'配置页-无限挑战'!G282</f>
        <v>钻石</v>
      </c>
      <c r="F282" s="176" t="str">
        <f t="shared" si="16"/>
        <v>钻石</v>
      </c>
      <c r="G282" s="176" t="e">
        <f>'配置页-无限挑战'!#REF!</f>
        <v>#REF!</v>
      </c>
      <c r="H282" s="176" t="e">
        <f t="shared" si="17"/>
        <v>#REF!</v>
      </c>
      <c r="I282" s="174" t="s">
        <v>265</v>
      </c>
    </row>
    <row r="283" ht="22" customHeight="1" spans="1:9">
      <c r="A283" s="174" t="s">
        <v>18</v>
      </c>
      <c r="B283" s="174" t="s">
        <v>190</v>
      </c>
      <c r="C283" s="174" t="s">
        <v>191</v>
      </c>
      <c r="D283" s="174" t="s">
        <v>484</v>
      </c>
      <c r="E283" s="176" t="str">
        <f>'配置页-无限挑战'!G285</f>
        <v>钻石</v>
      </c>
      <c r="F283" s="176" t="str">
        <f t="shared" si="16"/>
        <v>钻石</v>
      </c>
      <c r="G283" s="176" t="e">
        <f>'配置页-无限挑战'!#REF!</f>
        <v>#REF!</v>
      </c>
      <c r="H283" s="176" t="e">
        <f t="shared" si="17"/>
        <v>#REF!</v>
      </c>
      <c r="I283" s="174" t="s">
        <v>265</v>
      </c>
    </row>
    <row r="284" ht="22" customHeight="1" spans="1:9">
      <c r="A284" s="174" t="s">
        <v>18</v>
      </c>
      <c r="B284" s="174" t="s">
        <v>190</v>
      </c>
      <c r="C284" s="174" t="s">
        <v>191</v>
      </c>
      <c r="D284" s="174" t="s">
        <v>485</v>
      </c>
      <c r="E284" s="176" t="str">
        <f>'配置页-无限挑战'!G288</f>
        <v>钻石</v>
      </c>
      <c r="F284" s="176" t="str">
        <f t="shared" si="16"/>
        <v>钻石</v>
      </c>
      <c r="G284" s="176" t="e">
        <f>'配置页-无限挑战'!#REF!</f>
        <v>#REF!</v>
      </c>
      <c r="H284" s="176" t="e">
        <f t="shared" si="17"/>
        <v>#REF!</v>
      </c>
      <c r="I284" s="174" t="s">
        <v>265</v>
      </c>
    </row>
    <row r="285" ht="22" customHeight="1" spans="1:9">
      <c r="A285" s="174" t="s">
        <v>18</v>
      </c>
      <c r="B285" s="174" t="s">
        <v>190</v>
      </c>
      <c r="C285" s="174" t="s">
        <v>191</v>
      </c>
      <c r="D285" s="174" t="s">
        <v>486</v>
      </c>
      <c r="E285" s="176" t="str">
        <f>'配置页-无限挑战'!G291</f>
        <v>钻石</v>
      </c>
      <c r="F285" s="176" t="str">
        <f t="shared" si="16"/>
        <v>钻石</v>
      </c>
      <c r="G285" s="176" t="e">
        <f>'配置页-无限挑战'!#REF!</f>
        <v>#REF!</v>
      </c>
      <c r="H285" s="176" t="e">
        <f t="shared" si="17"/>
        <v>#REF!</v>
      </c>
      <c r="I285" s="174" t="s">
        <v>265</v>
      </c>
    </row>
    <row r="286" ht="22" customHeight="1" spans="1:9">
      <c r="A286" s="174" t="s">
        <v>18</v>
      </c>
      <c r="B286" s="174" t="s">
        <v>190</v>
      </c>
      <c r="C286" s="174" t="s">
        <v>191</v>
      </c>
      <c r="D286" s="174" t="s">
        <v>487</v>
      </c>
      <c r="E286" s="176" t="str">
        <f>'配置页-无限挑战'!G294</f>
        <v>钻石</v>
      </c>
      <c r="F286" s="176" t="str">
        <f t="shared" si="16"/>
        <v>钻石</v>
      </c>
      <c r="G286" s="176" t="e">
        <f>'配置页-无限挑战'!#REF!</f>
        <v>#REF!</v>
      </c>
      <c r="H286" s="176" t="e">
        <f t="shared" si="17"/>
        <v>#REF!</v>
      </c>
      <c r="I286" s="174" t="s">
        <v>265</v>
      </c>
    </row>
    <row r="287" ht="22" customHeight="1" spans="1:9">
      <c r="A287" s="174" t="s">
        <v>18</v>
      </c>
      <c r="B287" s="174" t="s">
        <v>190</v>
      </c>
      <c r="C287" s="174" t="s">
        <v>191</v>
      </c>
      <c r="D287" s="174" t="s">
        <v>488</v>
      </c>
      <c r="E287" s="176" t="str">
        <f>'配置页-无限挑战'!G297</f>
        <v>钻石</v>
      </c>
      <c r="F287" s="176" t="str">
        <f t="shared" si="16"/>
        <v>钻石</v>
      </c>
      <c r="G287" s="176" t="e">
        <f>'配置页-无限挑战'!#REF!</f>
        <v>#REF!</v>
      </c>
      <c r="H287" s="176" t="e">
        <f t="shared" si="17"/>
        <v>#REF!</v>
      </c>
      <c r="I287" s="174" t="s">
        <v>265</v>
      </c>
    </row>
    <row r="288" ht="22" customHeight="1" spans="1:9">
      <c r="A288" s="174" t="s">
        <v>18</v>
      </c>
      <c r="B288" s="174" t="s">
        <v>190</v>
      </c>
      <c r="C288" s="174" t="s">
        <v>191</v>
      </c>
      <c r="D288" s="174" t="s">
        <v>489</v>
      </c>
      <c r="E288" s="176" t="str">
        <f>'配置页-无限挑战'!G300</f>
        <v>钻石</v>
      </c>
      <c r="F288" s="176" t="str">
        <f t="shared" si="16"/>
        <v>钻石</v>
      </c>
      <c r="G288" s="176" t="e">
        <f>'配置页-无限挑战'!#REF!</f>
        <v>#REF!</v>
      </c>
      <c r="H288" s="176" t="e">
        <f t="shared" si="17"/>
        <v>#REF!</v>
      </c>
      <c r="I288" s="174" t="s">
        <v>265</v>
      </c>
    </row>
    <row r="289" ht="22" customHeight="1" spans="1:9">
      <c r="A289" s="174" t="s">
        <v>18</v>
      </c>
      <c r="B289" s="174" t="s">
        <v>190</v>
      </c>
      <c r="C289" s="174" t="s">
        <v>191</v>
      </c>
      <c r="D289" s="174" t="s">
        <v>197</v>
      </c>
      <c r="E289" s="176" t="str">
        <f>'配置页-无限挑战'!G33</f>
        <v>映射之匙</v>
      </c>
      <c r="F289" s="176" t="str">
        <f t="shared" si="16"/>
        <v/>
      </c>
      <c r="G289" s="176" t="e">
        <f>'配置页-无限挑战'!#REF!</f>
        <v>#REF!</v>
      </c>
      <c r="H289" s="176">
        <f t="shared" si="17"/>
        <v>0</v>
      </c>
      <c r="I289" s="174" t="s">
        <v>265</v>
      </c>
    </row>
    <row r="290" ht="22" customHeight="1" spans="1:9">
      <c r="A290" s="174" t="s">
        <v>18</v>
      </c>
      <c r="B290" s="174" t="s">
        <v>190</v>
      </c>
      <c r="C290" s="174" t="s">
        <v>191</v>
      </c>
      <c r="D290" s="174" t="s">
        <v>490</v>
      </c>
      <c r="E290" s="176" t="str">
        <f>'配置页-无限挑战'!G36</f>
        <v>角色抽卡券普通</v>
      </c>
      <c r="F290" s="176" t="str">
        <f t="shared" si="16"/>
        <v>角色抽卡券普通</v>
      </c>
      <c r="G290" s="176" t="e">
        <f>'配置页-无限挑战'!#REF!</f>
        <v>#REF!</v>
      </c>
      <c r="H290" s="176" t="e">
        <f t="shared" si="17"/>
        <v>#REF!</v>
      </c>
      <c r="I290" s="174" t="s">
        <v>265</v>
      </c>
    </row>
    <row r="291" ht="22" customHeight="1" spans="1:9">
      <c r="A291" s="174" t="s">
        <v>18</v>
      </c>
      <c r="B291" s="174" t="s">
        <v>190</v>
      </c>
      <c r="C291" s="174" t="s">
        <v>191</v>
      </c>
      <c r="D291" s="174" t="s">
        <v>491</v>
      </c>
      <c r="E291" s="176" t="str">
        <f>'配置页-无限挑战'!G42</f>
        <v>钻石</v>
      </c>
      <c r="F291" s="176" t="str">
        <f t="shared" si="16"/>
        <v>钻石</v>
      </c>
      <c r="G291" s="176" t="e">
        <f>'配置页-无限挑战'!#REF!</f>
        <v>#REF!</v>
      </c>
      <c r="H291" s="176" t="e">
        <f t="shared" si="17"/>
        <v>#REF!</v>
      </c>
      <c r="I291" s="174" t="s">
        <v>265</v>
      </c>
    </row>
    <row r="292" ht="22" customHeight="1" spans="1:9">
      <c r="A292" s="174" t="s">
        <v>18</v>
      </c>
      <c r="B292" s="174" t="s">
        <v>190</v>
      </c>
      <c r="C292" s="174" t="s">
        <v>191</v>
      </c>
      <c r="D292" s="174" t="s">
        <v>492</v>
      </c>
      <c r="E292" s="176" t="str">
        <f>'配置页-无限挑战'!G45</f>
        <v>角色抽卡券普通</v>
      </c>
      <c r="F292" s="176" t="str">
        <f t="shared" si="16"/>
        <v>角色抽卡券普通</v>
      </c>
      <c r="G292" s="176" t="e">
        <f>'配置页-无限挑战'!#REF!</f>
        <v>#REF!</v>
      </c>
      <c r="H292" s="176" t="e">
        <f t="shared" si="17"/>
        <v>#REF!</v>
      </c>
      <c r="I292" s="174" t="s">
        <v>265</v>
      </c>
    </row>
    <row r="293" ht="22" customHeight="1" spans="1:9">
      <c r="A293" s="174" t="s">
        <v>18</v>
      </c>
      <c r="B293" s="174" t="s">
        <v>190</v>
      </c>
      <c r="C293" s="174" t="s">
        <v>191</v>
      </c>
      <c r="D293" s="174" t="s">
        <v>493</v>
      </c>
      <c r="E293" s="176" t="str">
        <f>'配置页-无限挑战'!G51</f>
        <v>专武抽卡券限时</v>
      </c>
      <c r="F293" s="176" t="str">
        <f t="shared" si="16"/>
        <v>专武抽卡券限时</v>
      </c>
      <c r="G293" s="176" t="e">
        <f>'配置页-无限挑战'!#REF!</f>
        <v>#REF!</v>
      </c>
      <c r="H293" s="176" t="e">
        <f t="shared" si="17"/>
        <v>#REF!</v>
      </c>
      <c r="I293" s="174" t="s">
        <v>265</v>
      </c>
    </row>
    <row r="294" ht="22" customHeight="1" spans="1:9">
      <c r="A294" s="174" t="s">
        <v>18</v>
      </c>
      <c r="B294" s="174" t="s">
        <v>190</v>
      </c>
      <c r="C294" s="174" t="s">
        <v>191</v>
      </c>
      <c r="D294" s="174" t="s">
        <v>494</v>
      </c>
      <c r="E294" s="176" t="str">
        <f>'配置页-无限挑战'!G54</f>
        <v>钻石</v>
      </c>
      <c r="F294" s="176" t="str">
        <f t="shared" si="16"/>
        <v>钻石</v>
      </c>
      <c r="G294" s="176" t="e">
        <f>'配置页-无限挑战'!#REF!</f>
        <v>#REF!</v>
      </c>
      <c r="H294" s="176" t="e">
        <f t="shared" si="17"/>
        <v>#REF!</v>
      </c>
      <c r="I294" s="174" t="s">
        <v>265</v>
      </c>
    </row>
    <row r="295" ht="22" customHeight="1" spans="1:9">
      <c r="A295" s="174" t="s">
        <v>18</v>
      </c>
      <c r="B295" s="174" t="s">
        <v>190</v>
      </c>
      <c r="C295" s="174" t="s">
        <v>191</v>
      </c>
      <c r="D295" s="174" t="s">
        <v>495</v>
      </c>
      <c r="E295" s="176" t="str">
        <f>'配置页-无限挑战'!G57</f>
        <v>角色抽卡券普通</v>
      </c>
      <c r="F295" s="176" t="str">
        <f t="shared" si="16"/>
        <v>角色抽卡券普通</v>
      </c>
      <c r="G295" s="176" t="e">
        <f>'配置页-无限挑战'!#REF!</f>
        <v>#REF!</v>
      </c>
      <c r="H295" s="176" t="e">
        <f t="shared" si="17"/>
        <v>#REF!</v>
      </c>
      <c r="I295" s="174" t="s">
        <v>265</v>
      </c>
    </row>
    <row r="296" ht="22" customHeight="1" spans="1:9">
      <c r="A296" s="174" t="s">
        <v>18</v>
      </c>
      <c r="B296" s="174" t="s">
        <v>190</v>
      </c>
      <c r="C296" s="174" t="s">
        <v>191</v>
      </c>
      <c r="D296" s="174" t="s">
        <v>198</v>
      </c>
      <c r="E296" s="176" t="str">
        <f>'配置页-无限挑战'!G6</f>
        <v>钻石</v>
      </c>
      <c r="F296" s="176" t="str">
        <f t="shared" si="16"/>
        <v>钻石</v>
      </c>
      <c r="G296" s="176" t="e">
        <f>'配置页-无限挑战'!#REF!</f>
        <v>#REF!</v>
      </c>
      <c r="H296" s="176" t="e">
        <f t="shared" si="17"/>
        <v>#REF!</v>
      </c>
      <c r="I296" s="174" t="s">
        <v>265</v>
      </c>
    </row>
    <row r="297" ht="22" customHeight="1" spans="1:9">
      <c r="A297" s="174" t="s">
        <v>18</v>
      </c>
      <c r="B297" s="174" t="s">
        <v>190</v>
      </c>
      <c r="C297" s="174" t="s">
        <v>191</v>
      </c>
      <c r="D297" s="174" t="s">
        <v>496</v>
      </c>
      <c r="E297" s="176" t="str">
        <f>'配置页-无限挑战'!G60</f>
        <v>角色抽卡券普通</v>
      </c>
      <c r="F297" s="176" t="str">
        <f t="shared" si="16"/>
        <v>角色抽卡券普通</v>
      </c>
      <c r="G297" s="176" t="e">
        <f>'配置页-无限挑战'!#REF!</f>
        <v>#REF!</v>
      </c>
      <c r="H297" s="176" t="e">
        <f t="shared" si="17"/>
        <v>#REF!</v>
      </c>
      <c r="I297" s="174" t="s">
        <v>265</v>
      </c>
    </row>
    <row r="298" ht="22" customHeight="1" spans="1:9">
      <c r="A298" s="174" t="s">
        <v>18</v>
      </c>
      <c r="B298" s="174" t="s">
        <v>190</v>
      </c>
      <c r="C298" s="174" t="s">
        <v>191</v>
      </c>
      <c r="D298" s="174" t="s">
        <v>497</v>
      </c>
      <c r="E298" s="176" t="str">
        <f>'配置页-无限挑战'!G63</f>
        <v>角色抽卡券限时</v>
      </c>
      <c r="F298" s="176" t="str">
        <f t="shared" si="16"/>
        <v>角色抽卡券限时</v>
      </c>
      <c r="G298" s="176" t="e">
        <f>'配置页-无限挑战'!#REF!</f>
        <v>#REF!</v>
      </c>
      <c r="H298" s="176" t="e">
        <f t="shared" si="17"/>
        <v>#REF!</v>
      </c>
      <c r="I298" s="174" t="s">
        <v>265</v>
      </c>
    </row>
    <row r="299" ht="22" customHeight="1" spans="1:9">
      <c r="A299" s="174" t="s">
        <v>18</v>
      </c>
      <c r="B299" s="174" t="s">
        <v>190</v>
      </c>
      <c r="C299" s="174" t="s">
        <v>191</v>
      </c>
      <c r="D299" s="174" t="s">
        <v>498</v>
      </c>
      <c r="E299" s="176" t="str">
        <f>'配置页-无限挑战'!G66</f>
        <v>钻石</v>
      </c>
      <c r="F299" s="176" t="str">
        <f t="shared" si="16"/>
        <v>钻石</v>
      </c>
      <c r="G299" s="176" t="e">
        <f>'配置页-无限挑战'!#REF!</f>
        <v>#REF!</v>
      </c>
      <c r="H299" s="176" t="e">
        <f t="shared" si="17"/>
        <v>#REF!</v>
      </c>
      <c r="I299" s="174" t="s">
        <v>265</v>
      </c>
    </row>
    <row r="300" ht="22" customHeight="1" spans="1:9">
      <c r="A300" s="174" t="s">
        <v>18</v>
      </c>
      <c r="B300" s="174" t="s">
        <v>190</v>
      </c>
      <c r="C300" s="174" t="s">
        <v>191</v>
      </c>
      <c r="D300" s="174" t="s">
        <v>499</v>
      </c>
      <c r="E300" s="176" t="str">
        <f>'配置页-无限挑战'!G69</f>
        <v>角色抽卡券普通</v>
      </c>
      <c r="F300" s="176" t="str">
        <f t="shared" si="16"/>
        <v>角色抽卡券普通</v>
      </c>
      <c r="G300" s="176" t="e">
        <f>'配置页-无限挑战'!#REF!</f>
        <v>#REF!</v>
      </c>
      <c r="H300" s="176" t="e">
        <f t="shared" si="17"/>
        <v>#REF!</v>
      </c>
      <c r="I300" s="174" t="s">
        <v>265</v>
      </c>
    </row>
    <row r="301" ht="22" customHeight="1" spans="1:9">
      <c r="A301" s="174" t="s">
        <v>18</v>
      </c>
      <c r="B301" s="174" t="s">
        <v>190</v>
      </c>
      <c r="C301" s="174" t="s">
        <v>191</v>
      </c>
      <c r="D301" s="174" t="s">
        <v>500</v>
      </c>
      <c r="E301" s="176" t="str">
        <f>'配置页-无限挑战'!G72</f>
        <v>角色抽卡券普通</v>
      </c>
      <c r="F301" s="176" t="str">
        <f t="shared" si="16"/>
        <v>角色抽卡券普通</v>
      </c>
      <c r="G301" s="176" t="e">
        <f>'配置页-无限挑战'!#REF!</f>
        <v>#REF!</v>
      </c>
      <c r="H301" s="176" t="e">
        <f t="shared" si="17"/>
        <v>#REF!</v>
      </c>
      <c r="I301" s="174" t="s">
        <v>265</v>
      </c>
    </row>
    <row r="302" ht="22" customHeight="1" spans="1:9">
      <c r="A302" s="174" t="s">
        <v>18</v>
      </c>
      <c r="B302" s="174" t="s">
        <v>190</v>
      </c>
      <c r="C302" s="174" t="s">
        <v>191</v>
      </c>
      <c r="D302" s="174" t="s">
        <v>501</v>
      </c>
      <c r="E302" s="176" t="str">
        <f>'配置页-无限挑战'!G78</f>
        <v>钻石</v>
      </c>
      <c r="F302" s="176" t="str">
        <f t="shared" si="16"/>
        <v>钻石</v>
      </c>
      <c r="G302" s="176" t="e">
        <f>'配置页-无限挑战'!#REF!</f>
        <v>#REF!</v>
      </c>
      <c r="H302" s="176" t="e">
        <f t="shared" si="17"/>
        <v>#REF!</v>
      </c>
      <c r="I302" s="174" t="s">
        <v>265</v>
      </c>
    </row>
    <row r="303" ht="22" customHeight="1" spans="1:9">
      <c r="A303" s="174" t="s">
        <v>18</v>
      </c>
      <c r="B303" s="174" t="s">
        <v>190</v>
      </c>
      <c r="C303" s="174" t="s">
        <v>191</v>
      </c>
      <c r="D303" s="174" t="s">
        <v>502</v>
      </c>
      <c r="E303" s="176" t="str">
        <f>'配置页-无限挑战'!G81</f>
        <v>角色抽卡券普通</v>
      </c>
      <c r="F303" s="176" t="str">
        <f t="shared" si="16"/>
        <v>角色抽卡券普通</v>
      </c>
      <c r="G303" s="176" t="e">
        <f>'配置页-无限挑战'!#REF!</f>
        <v>#REF!</v>
      </c>
      <c r="H303" s="176" t="e">
        <f t="shared" si="17"/>
        <v>#REF!</v>
      </c>
      <c r="I303" s="174" t="s">
        <v>265</v>
      </c>
    </row>
    <row r="304" ht="22" customHeight="1" spans="1:9">
      <c r="A304" s="174" t="s">
        <v>18</v>
      </c>
      <c r="B304" s="174" t="s">
        <v>190</v>
      </c>
      <c r="C304" s="174" t="s">
        <v>191</v>
      </c>
      <c r="D304" s="174" t="s">
        <v>503</v>
      </c>
      <c r="E304" s="176" t="str">
        <f>'配置页-无限挑战'!G84</f>
        <v>角色抽卡券普通</v>
      </c>
      <c r="F304" s="176" t="str">
        <f t="shared" si="16"/>
        <v>角色抽卡券普通</v>
      </c>
      <c r="G304" s="176" t="e">
        <f>'配置页-无限挑战'!#REF!</f>
        <v>#REF!</v>
      </c>
      <c r="H304" s="176" t="e">
        <f t="shared" si="17"/>
        <v>#REF!</v>
      </c>
      <c r="I304" s="174" t="s">
        <v>265</v>
      </c>
    </row>
    <row r="305" ht="22" customHeight="1" spans="1:9">
      <c r="A305" s="174" t="s">
        <v>18</v>
      </c>
      <c r="B305" s="174" t="s">
        <v>190</v>
      </c>
      <c r="C305" s="174" t="s">
        <v>191</v>
      </c>
      <c r="D305" s="174" t="s">
        <v>504</v>
      </c>
      <c r="E305" s="176" t="str">
        <f>'配置页-无限挑战'!G87</f>
        <v>角色抽卡券限时</v>
      </c>
      <c r="F305" s="176" t="str">
        <f t="shared" si="16"/>
        <v>角色抽卡券限时</v>
      </c>
      <c r="G305" s="176" t="e">
        <f>'配置页-无限挑战'!#REF!</f>
        <v>#REF!</v>
      </c>
      <c r="H305" s="176" t="e">
        <f t="shared" si="17"/>
        <v>#REF!</v>
      </c>
      <c r="I305" s="174" t="s">
        <v>265</v>
      </c>
    </row>
    <row r="306" ht="22" customHeight="1" spans="1:9">
      <c r="A306" s="174" t="s">
        <v>18</v>
      </c>
      <c r="B306" s="174" t="s">
        <v>190</v>
      </c>
      <c r="C306" s="174" t="s">
        <v>191</v>
      </c>
      <c r="D306" s="174" t="s">
        <v>199</v>
      </c>
      <c r="E306" s="176" t="str">
        <f>'配置页-无限挑战'!G9</f>
        <v>映射之匙</v>
      </c>
      <c r="F306" s="176" t="str">
        <f t="shared" si="16"/>
        <v/>
      </c>
      <c r="G306" s="176" t="e">
        <f>'配置页-无限挑战'!#REF!</f>
        <v>#REF!</v>
      </c>
      <c r="H306" s="176">
        <f t="shared" si="17"/>
        <v>0</v>
      </c>
      <c r="I306" s="174" t="s">
        <v>265</v>
      </c>
    </row>
    <row r="307" ht="22" customHeight="1" spans="1:9">
      <c r="A307" s="174" t="s">
        <v>18</v>
      </c>
      <c r="B307" s="174" t="s">
        <v>190</v>
      </c>
      <c r="C307" s="174" t="s">
        <v>191</v>
      </c>
      <c r="D307" s="174" t="s">
        <v>505</v>
      </c>
      <c r="E307" s="176" t="str">
        <f>'配置页-无限挑战'!G90</f>
        <v>钻石</v>
      </c>
      <c r="F307" s="176" t="str">
        <f t="shared" si="16"/>
        <v>钻石</v>
      </c>
      <c r="G307" s="176" t="e">
        <f>'配置页-无限挑战'!#REF!</f>
        <v>#REF!</v>
      </c>
      <c r="H307" s="176" t="e">
        <f t="shared" si="17"/>
        <v>#REF!</v>
      </c>
      <c r="I307" s="174" t="s">
        <v>265</v>
      </c>
    </row>
    <row r="308" ht="22" customHeight="1" spans="1:9">
      <c r="A308" s="174" t="s">
        <v>18</v>
      </c>
      <c r="B308" s="174" t="s">
        <v>190</v>
      </c>
      <c r="C308" s="174" t="s">
        <v>191</v>
      </c>
      <c r="D308" s="174" t="s">
        <v>506</v>
      </c>
      <c r="E308" s="176" t="str">
        <f>'配置页-无限挑战'!G96</f>
        <v>角色抽卡券普通</v>
      </c>
      <c r="F308" s="176" t="str">
        <f t="shared" si="16"/>
        <v>角色抽卡券普通</v>
      </c>
      <c r="G308" s="176" t="e">
        <f>'配置页-无限挑战'!#REF!</f>
        <v>#REF!</v>
      </c>
      <c r="H308" s="176" t="e">
        <f t="shared" si="17"/>
        <v>#REF!</v>
      </c>
      <c r="I308" s="174" t="s">
        <v>265</v>
      </c>
    </row>
    <row r="309" ht="22" customHeight="1" spans="1:9">
      <c r="A309" s="174" t="s">
        <v>18</v>
      </c>
      <c r="B309" s="174" t="s">
        <v>190</v>
      </c>
      <c r="C309" s="174" t="s">
        <v>191</v>
      </c>
      <c r="D309" s="174" t="s">
        <v>507</v>
      </c>
      <c r="E309" s="176" t="str">
        <f>'配置页-无限挑战'!G99</f>
        <v>专武抽卡券限时</v>
      </c>
      <c r="F309" s="176" t="str">
        <f t="shared" si="16"/>
        <v>专武抽卡券限时</v>
      </c>
      <c r="G309" s="176" t="e">
        <f>'配置页-无限挑战'!#REF!</f>
        <v>#REF!</v>
      </c>
      <c r="H309" s="176" t="e">
        <f t="shared" si="17"/>
        <v>#REF!</v>
      </c>
      <c r="I309" s="174" t="s">
        <v>265</v>
      </c>
    </row>
    <row r="310" ht="22" customHeight="1" spans="1:9">
      <c r="A310" s="174" t="s">
        <v>19</v>
      </c>
      <c r="B310" s="174" t="s">
        <v>200</v>
      </c>
      <c r="C310" s="174" t="s">
        <v>201</v>
      </c>
      <c r="D310" s="174" t="s">
        <v>508</v>
      </c>
      <c r="E310" s="176">
        <f>'配置页-爬塔'!E101</f>
        <v>24000053</v>
      </c>
      <c r="F310" s="176" t="str">
        <f t="shared" si="16"/>
        <v/>
      </c>
      <c r="G310" s="176">
        <f>'配置页-爬塔'!H101</f>
        <v>15</v>
      </c>
      <c r="H310" s="176">
        <f t="shared" si="17"/>
        <v>0</v>
      </c>
      <c r="I310" s="174" t="s">
        <v>265</v>
      </c>
    </row>
    <row r="311" ht="22" customHeight="1" spans="1:9">
      <c r="A311" s="174" t="s">
        <v>19</v>
      </c>
      <c r="B311" s="174" t="s">
        <v>200</v>
      </c>
      <c r="C311" s="174" t="s">
        <v>201</v>
      </c>
      <c r="D311" s="174" t="s">
        <v>202</v>
      </c>
      <c r="E311" s="176">
        <f>'配置页-爬塔'!E11</f>
        <v>24000005</v>
      </c>
      <c r="F311" s="176" t="str">
        <f t="shared" si="16"/>
        <v/>
      </c>
      <c r="G311" s="176">
        <f>'配置页-爬塔'!H11</f>
        <v>3</v>
      </c>
      <c r="H311" s="176">
        <f t="shared" si="17"/>
        <v>0</v>
      </c>
      <c r="I311" s="174" t="s">
        <v>265</v>
      </c>
    </row>
    <row r="312" ht="22" customHeight="1" spans="1:9">
      <c r="A312" s="174" t="s">
        <v>19</v>
      </c>
      <c r="B312" s="174" t="s">
        <v>200</v>
      </c>
      <c r="C312" s="174" t="s">
        <v>201</v>
      </c>
      <c r="D312" s="174" t="s">
        <v>204</v>
      </c>
      <c r="E312" s="176">
        <f>'配置页-爬塔'!E16</f>
        <v>24000008</v>
      </c>
      <c r="F312" s="176" t="str">
        <f t="shared" si="16"/>
        <v/>
      </c>
      <c r="G312" s="176">
        <f>'配置页-爬塔'!H16</f>
        <v>9</v>
      </c>
      <c r="H312" s="176">
        <f t="shared" si="17"/>
        <v>0</v>
      </c>
      <c r="I312" s="174" t="s">
        <v>265</v>
      </c>
    </row>
    <row r="313" ht="22" customHeight="1" spans="1:9">
      <c r="A313" s="174" t="s">
        <v>19</v>
      </c>
      <c r="B313" s="174" t="s">
        <v>200</v>
      </c>
      <c r="C313" s="174" t="s">
        <v>201</v>
      </c>
      <c r="D313" s="174" t="s">
        <v>205</v>
      </c>
      <c r="E313" s="176">
        <f>'配置页-爬塔'!E21</f>
        <v>24000011</v>
      </c>
      <c r="F313" s="176" t="str">
        <f t="shared" si="16"/>
        <v/>
      </c>
      <c r="G313" s="176">
        <f>'配置页-爬塔'!H21</f>
        <v>30000</v>
      </c>
      <c r="H313" s="176">
        <f t="shared" si="17"/>
        <v>0</v>
      </c>
      <c r="I313" s="174" t="s">
        <v>265</v>
      </c>
    </row>
    <row r="314" ht="22" customHeight="1" spans="1:9">
      <c r="A314" s="174" t="s">
        <v>19</v>
      </c>
      <c r="B314" s="174" t="s">
        <v>200</v>
      </c>
      <c r="C314" s="174" t="s">
        <v>201</v>
      </c>
      <c r="D314" s="174" t="s">
        <v>206</v>
      </c>
      <c r="E314" s="176">
        <f>'配置页-爬塔'!E26</f>
        <v>24000013</v>
      </c>
      <c r="F314" s="176" t="str">
        <f t="shared" si="16"/>
        <v/>
      </c>
      <c r="G314" s="176">
        <f>'配置页-爬塔'!H26</f>
        <v>1</v>
      </c>
      <c r="H314" s="176">
        <f t="shared" si="17"/>
        <v>0</v>
      </c>
      <c r="I314" s="174" t="s">
        <v>265</v>
      </c>
    </row>
    <row r="315" ht="22" customHeight="1" spans="1:9">
      <c r="A315" s="174" t="s">
        <v>19</v>
      </c>
      <c r="B315" s="174" t="s">
        <v>200</v>
      </c>
      <c r="C315" s="174" t="s">
        <v>201</v>
      </c>
      <c r="D315" s="174" t="s">
        <v>207</v>
      </c>
      <c r="E315" s="176">
        <f>'配置页-爬塔'!E31</f>
        <v>24000016</v>
      </c>
      <c r="F315" s="176" t="str">
        <f t="shared" si="16"/>
        <v/>
      </c>
      <c r="G315" s="176">
        <f>'配置页-爬塔'!H31</f>
        <v>30000</v>
      </c>
      <c r="H315" s="176">
        <f t="shared" si="17"/>
        <v>0</v>
      </c>
      <c r="I315" s="174" t="s">
        <v>265</v>
      </c>
    </row>
    <row r="316" ht="22" customHeight="1" spans="1:9">
      <c r="A316" s="174" t="s">
        <v>19</v>
      </c>
      <c r="B316" s="174" t="s">
        <v>200</v>
      </c>
      <c r="C316" s="174" t="s">
        <v>201</v>
      </c>
      <c r="D316" s="174" t="s">
        <v>208</v>
      </c>
      <c r="E316" s="176">
        <f>'配置页-爬塔'!E36</f>
        <v>24000018</v>
      </c>
      <c r="F316" s="176" t="str">
        <f t="shared" si="16"/>
        <v/>
      </c>
      <c r="G316" s="176">
        <f>'配置页-爬塔'!H36</f>
        <v>1</v>
      </c>
      <c r="H316" s="176">
        <f t="shared" si="17"/>
        <v>0</v>
      </c>
      <c r="I316" s="174" t="s">
        <v>265</v>
      </c>
    </row>
    <row r="317" ht="22" customHeight="1" spans="1:9">
      <c r="A317" s="174" t="s">
        <v>19</v>
      </c>
      <c r="B317" s="174" t="s">
        <v>200</v>
      </c>
      <c r="C317" s="174" t="s">
        <v>201</v>
      </c>
      <c r="D317" s="174" t="s">
        <v>209</v>
      </c>
      <c r="E317" s="176">
        <f>'配置页-爬塔'!E41</f>
        <v>24000021</v>
      </c>
      <c r="F317" s="176" t="str">
        <f t="shared" si="16"/>
        <v/>
      </c>
      <c r="G317" s="176">
        <f>'配置页-爬塔'!H41</f>
        <v>1</v>
      </c>
      <c r="H317" s="176">
        <f t="shared" si="17"/>
        <v>0</v>
      </c>
      <c r="I317" s="174" t="s">
        <v>265</v>
      </c>
    </row>
    <row r="318" ht="22" customHeight="1" spans="1:9">
      <c r="A318" s="174" t="s">
        <v>19</v>
      </c>
      <c r="B318" s="174" t="s">
        <v>200</v>
      </c>
      <c r="C318" s="174" t="s">
        <v>201</v>
      </c>
      <c r="D318" s="174" t="s">
        <v>509</v>
      </c>
      <c r="E318" s="176">
        <f>'配置页-爬塔'!E46</f>
        <v>24000024</v>
      </c>
      <c r="F318" s="176" t="str">
        <f t="shared" si="16"/>
        <v/>
      </c>
      <c r="G318" s="176">
        <f>'配置页-爬塔'!H46</f>
        <v>90</v>
      </c>
      <c r="H318" s="176">
        <f t="shared" si="17"/>
        <v>0</v>
      </c>
      <c r="I318" s="174" t="s">
        <v>265</v>
      </c>
    </row>
    <row r="319" ht="22" customHeight="1" spans="1:9">
      <c r="A319" s="174" t="s">
        <v>19</v>
      </c>
      <c r="B319" s="174" t="s">
        <v>200</v>
      </c>
      <c r="C319" s="174" t="s">
        <v>201</v>
      </c>
      <c r="D319" s="174" t="s">
        <v>510</v>
      </c>
      <c r="E319" s="176">
        <f>'配置页-爬塔'!E51</f>
        <v>24000026</v>
      </c>
      <c r="F319" s="176" t="str">
        <f t="shared" si="16"/>
        <v/>
      </c>
      <c r="G319" s="176">
        <f>'配置页-爬塔'!H51</f>
        <v>1</v>
      </c>
      <c r="H319" s="176">
        <f t="shared" si="17"/>
        <v>0</v>
      </c>
      <c r="I319" s="174" t="s">
        <v>265</v>
      </c>
    </row>
    <row r="320" ht="22" customHeight="1" spans="1:9">
      <c r="A320" s="174" t="s">
        <v>19</v>
      </c>
      <c r="B320" s="174" t="s">
        <v>200</v>
      </c>
      <c r="C320" s="174" t="s">
        <v>201</v>
      </c>
      <c r="D320" s="174" t="s">
        <v>511</v>
      </c>
      <c r="E320" s="176">
        <f>'配置页-爬塔'!E56</f>
        <v>24000029</v>
      </c>
      <c r="F320" s="176" t="str">
        <f t="shared" si="16"/>
        <v/>
      </c>
      <c r="G320" s="176">
        <f>'配置页-爬塔'!H56</f>
        <v>90</v>
      </c>
      <c r="H320" s="176">
        <f t="shared" si="17"/>
        <v>0</v>
      </c>
      <c r="I320" s="174" t="s">
        <v>265</v>
      </c>
    </row>
    <row r="321" ht="22" customHeight="1" spans="1:9">
      <c r="A321" s="174" t="s">
        <v>19</v>
      </c>
      <c r="B321" s="174" t="s">
        <v>200</v>
      </c>
      <c r="C321" s="174" t="s">
        <v>201</v>
      </c>
      <c r="D321" s="174" t="s">
        <v>210</v>
      </c>
      <c r="E321" s="176">
        <f>'配置页-爬塔'!E6</f>
        <v>24000003</v>
      </c>
      <c r="F321" s="176" t="str">
        <f t="shared" si="16"/>
        <v/>
      </c>
      <c r="G321" s="176">
        <f>'配置页-爬塔'!H6</f>
        <v>9</v>
      </c>
      <c r="H321" s="176">
        <f t="shared" si="17"/>
        <v>0</v>
      </c>
      <c r="I321" s="174" t="s">
        <v>265</v>
      </c>
    </row>
    <row r="322" ht="22" customHeight="1" spans="1:9">
      <c r="A322" s="174" t="s">
        <v>19</v>
      </c>
      <c r="B322" s="174" t="s">
        <v>200</v>
      </c>
      <c r="C322" s="174" t="s">
        <v>201</v>
      </c>
      <c r="D322" s="174" t="s">
        <v>512</v>
      </c>
      <c r="E322" s="176">
        <f>'配置页-爬塔'!E61</f>
        <v>24000032</v>
      </c>
      <c r="F322" s="176" t="str">
        <f t="shared" si="16"/>
        <v/>
      </c>
      <c r="G322" s="176">
        <f>'配置页-爬塔'!H61</f>
        <v>9</v>
      </c>
      <c r="H322" s="176">
        <f t="shared" si="17"/>
        <v>0</v>
      </c>
      <c r="I322" s="174" t="s">
        <v>265</v>
      </c>
    </row>
    <row r="323" ht="22" customHeight="1" spans="1:9">
      <c r="A323" s="174" t="s">
        <v>19</v>
      </c>
      <c r="B323" s="174" t="s">
        <v>200</v>
      </c>
      <c r="C323" s="174" t="s">
        <v>201</v>
      </c>
      <c r="D323" s="174" t="s">
        <v>513</v>
      </c>
      <c r="E323" s="176">
        <f>'配置页-爬塔'!E66</f>
        <v>24000034</v>
      </c>
      <c r="F323" s="176" t="str">
        <f t="shared" si="16"/>
        <v/>
      </c>
      <c r="G323" s="176">
        <f>'配置页-爬塔'!H66</f>
        <v>1</v>
      </c>
      <c r="H323" s="176">
        <f t="shared" si="17"/>
        <v>0</v>
      </c>
      <c r="I323" s="174" t="s">
        <v>265</v>
      </c>
    </row>
    <row r="324" ht="22" customHeight="1" spans="1:9">
      <c r="A324" s="174" t="s">
        <v>19</v>
      </c>
      <c r="B324" s="174" t="s">
        <v>200</v>
      </c>
      <c r="C324" s="174" t="s">
        <v>201</v>
      </c>
      <c r="D324" s="174" t="s">
        <v>514</v>
      </c>
      <c r="E324" s="176">
        <f>'配置页-爬塔'!E71</f>
        <v>24000037</v>
      </c>
      <c r="F324" s="176" t="str">
        <f t="shared" si="16"/>
        <v/>
      </c>
      <c r="G324" s="176">
        <f>'配置页-爬塔'!H71</f>
        <v>9</v>
      </c>
      <c r="H324" s="176">
        <f t="shared" si="17"/>
        <v>0</v>
      </c>
      <c r="I324" s="174" t="s">
        <v>265</v>
      </c>
    </row>
    <row r="325" ht="22" customHeight="1" spans="1:9">
      <c r="A325" s="174" t="s">
        <v>19</v>
      </c>
      <c r="B325" s="174" t="s">
        <v>200</v>
      </c>
      <c r="C325" s="174" t="s">
        <v>201</v>
      </c>
      <c r="D325" s="174" t="s">
        <v>515</v>
      </c>
      <c r="E325" s="176">
        <f>'配置页-爬塔'!E76</f>
        <v>24000039</v>
      </c>
      <c r="F325" s="176" t="str">
        <f t="shared" si="16"/>
        <v/>
      </c>
      <c r="G325" s="176">
        <f>'配置页-爬塔'!H76</f>
        <v>1</v>
      </c>
      <c r="H325" s="176">
        <f t="shared" si="17"/>
        <v>0</v>
      </c>
      <c r="I325" s="174" t="s">
        <v>265</v>
      </c>
    </row>
    <row r="326" ht="22" customHeight="1" spans="1:9">
      <c r="A326" s="174" t="s">
        <v>19</v>
      </c>
      <c r="B326" s="174" t="s">
        <v>200</v>
      </c>
      <c r="C326" s="174" t="s">
        <v>201</v>
      </c>
      <c r="D326" s="174" t="s">
        <v>516</v>
      </c>
      <c r="E326" s="176">
        <f>'配置页-爬塔'!E81</f>
        <v>24000042</v>
      </c>
      <c r="F326" s="176" t="str">
        <f t="shared" si="16"/>
        <v/>
      </c>
      <c r="G326" s="176">
        <f>'配置页-爬塔'!H81</f>
        <v>1</v>
      </c>
      <c r="H326" s="176">
        <f t="shared" si="17"/>
        <v>0</v>
      </c>
      <c r="I326" s="174" t="s">
        <v>265</v>
      </c>
    </row>
    <row r="327" ht="22" customHeight="1" spans="1:9">
      <c r="A327" s="174" t="s">
        <v>19</v>
      </c>
      <c r="B327" s="174" t="s">
        <v>200</v>
      </c>
      <c r="C327" s="174" t="s">
        <v>201</v>
      </c>
      <c r="D327" s="174" t="s">
        <v>517</v>
      </c>
      <c r="E327" s="176">
        <f>'配置页-爬塔'!E86</f>
        <v>24000045</v>
      </c>
      <c r="F327" s="176" t="str">
        <f t="shared" si="16"/>
        <v/>
      </c>
      <c r="G327" s="176">
        <f>'配置页-爬塔'!H86</f>
        <v>500</v>
      </c>
      <c r="H327" s="176">
        <f t="shared" si="17"/>
        <v>0</v>
      </c>
      <c r="I327" s="174" t="s">
        <v>265</v>
      </c>
    </row>
    <row r="328" ht="22" customHeight="1" spans="1:9">
      <c r="A328" s="174" t="s">
        <v>19</v>
      </c>
      <c r="B328" s="174" t="s">
        <v>200</v>
      </c>
      <c r="C328" s="174" t="s">
        <v>201</v>
      </c>
      <c r="D328" s="174" t="s">
        <v>518</v>
      </c>
      <c r="E328" s="176">
        <f>'配置页-爬塔'!E91</f>
        <v>24000047</v>
      </c>
      <c r="F328" s="176" t="str">
        <f t="shared" si="16"/>
        <v/>
      </c>
      <c r="G328" s="176">
        <f>'配置页-爬塔'!H91</f>
        <v>1</v>
      </c>
      <c r="H328" s="176">
        <f t="shared" si="17"/>
        <v>0</v>
      </c>
      <c r="I328" s="174" t="s">
        <v>265</v>
      </c>
    </row>
    <row r="329" ht="22" customHeight="1" spans="1:9">
      <c r="A329" s="174" t="s">
        <v>19</v>
      </c>
      <c r="B329" s="174" t="s">
        <v>200</v>
      </c>
      <c r="C329" s="174" t="s">
        <v>201</v>
      </c>
      <c r="D329" s="174" t="s">
        <v>519</v>
      </c>
      <c r="E329" s="176">
        <f>'配置页-爬塔'!E96</f>
        <v>24000050</v>
      </c>
      <c r="F329" s="176" t="str">
        <f t="shared" si="16"/>
        <v/>
      </c>
      <c r="G329" s="176">
        <f>'配置页-爬塔'!H96</f>
        <v>10</v>
      </c>
      <c r="H329" s="176">
        <f t="shared" si="17"/>
        <v>0</v>
      </c>
      <c r="I329" s="174" t="s">
        <v>265</v>
      </c>
    </row>
    <row r="330" ht="22" customHeight="1" spans="1:9">
      <c r="A330" s="174" t="s">
        <v>20</v>
      </c>
      <c r="B330" s="174" t="s">
        <v>520</v>
      </c>
      <c r="C330" s="174" t="s">
        <v>212</v>
      </c>
      <c r="D330" s="174" t="s">
        <v>521</v>
      </c>
      <c r="E330" s="176" t="str">
        <f>'配置页-竞技场'!F6</f>
        <v>钻石</v>
      </c>
      <c r="F330" s="176" t="str">
        <f t="shared" si="16"/>
        <v>钻石</v>
      </c>
      <c r="G330" s="176">
        <f>'配置页-竞技场'!H6</f>
        <v>200</v>
      </c>
      <c r="H330" s="176">
        <f t="shared" si="17"/>
        <v>200</v>
      </c>
      <c r="I330" s="174" t="s">
        <v>265</v>
      </c>
    </row>
    <row r="331" ht="22" customHeight="1" spans="1:9">
      <c r="A331" s="174" t="s">
        <v>20</v>
      </c>
      <c r="B331" s="174" t="s">
        <v>520</v>
      </c>
      <c r="C331" s="174" t="s">
        <v>212</v>
      </c>
      <c r="D331" s="174" t="s">
        <v>522</v>
      </c>
      <c r="E331" s="176" t="str">
        <f>'配置页-竞技场'!F9</f>
        <v>钻石</v>
      </c>
      <c r="F331" s="176" t="str">
        <f t="shared" si="16"/>
        <v>钻石</v>
      </c>
      <c r="G331" s="176">
        <f>'配置页-竞技场'!H9</f>
        <v>300</v>
      </c>
      <c r="H331" s="176">
        <f t="shared" si="17"/>
        <v>300</v>
      </c>
      <c r="I331" s="174" t="s">
        <v>265</v>
      </c>
    </row>
    <row r="332" ht="22" customHeight="1" spans="1:9">
      <c r="A332" s="174" t="s">
        <v>20</v>
      </c>
      <c r="B332" s="174" t="s">
        <v>523</v>
      </c>
      <c r="C332" s="174" t="s">
        <v>212</v>
      </c>
      <c r="D332" s="174" t="s">
        <v>524</v>
      </c>
      <c r="E332" s="176" t="str">
        <f>'配置页-竞技场'!N10</f>
        <v>钻石</v>
      </c>
      <c r="F332" s="176" t="str">
        <f t="shared" si="16"/>
        <v>钻石</v>
      </c>
      <c r="G332" s="176">
        <f>'配置页-竞技场'!P10</f>
        <v>100</v>
      </c>
      <c r="H332" s="176">
        <f t="shared" si="17"/>
        <v>100</v>
      </c>
      <c r="I332" s="174" t="s">
        <v>265</v>
      </c>
    </row>
    <row r="333" ht="22" customHeight="1" spans="1:9">
      <c r="A333" s="174" t="s">
        <v>20</v>
      </c>
      <c r="B333" s="174" t="s">
        <v>523</v>
      </c>
      <c r="C333" s="174" t="s">
        <v>212</v>
      </c>
      <c r="D333" s="174" t="s">
        <v>525</v>
      </c>
      <c r="E333" s="176" t="str">
        <f>'配置页-竞技场'!N12</f>
        <v>钻石</v>
      </c>
      <c r="F333" s="176" t="str">
        <f t="shared" si="16"/>
        <v>钻石</v>
      </c>
      <c r="G333" s="176">
        <f>'配置页-竞技场'!P12</f>
        <v>100</v>
      </c>
      <c r="H333" s="176">
        <f t="shared" si="17"/>
        <v>100</v>
      </c>
      <c r="I333" s="174" t="s">
        <v>265</v>
      </c>
    </row>
    <row r="334" ht="22" customHeight="1" spans="1:9">
      <c r="A334" s="174" t="s">
        <v>20</v>
      </c>
      <c r="B334" s="174" t="s">
        <v>523</v>
      </c>
      <c r="C334" s="174" t="s">
        <v>212</v>
      </c>
      <c r="D334" s="174" t="s">
        <v>526</v>
      </c>
      <c r="E334" s="176" t="str">
        <f>'配置页-竞技场'!N14</f>
        <v>钻石</v>
      </c>
      <c r="F334" s="176" t="str">
        <f t="shared" si="16"/>
        <v>钻石</v>
      </c>
      <c r="G334" s="176">
        <f>'配置页-竞技场'!P14</f>
        <v>150</v>
      </c>
      <c r="H334" s="176">
        <f t="shared" si="17"/>
        <v>150</v>
      </c>
      <c r="I334" s="174" t="s">
        <v>265</v>
      </c>
    </row>
    <row r="335" ht="22" customHeight="1" spans="1:9">
      <c r="A335" s="174" t="s">
        <v>20</v>
      </c>
      <c r="B335" s="174" t="s">
        <v>523</v>
      </c>
      <c r="C335" s="174" t="s">
        <v>212</v>
      </c>
      <c r="D335" s="174" t="s">
        <v>527</v>
      </c>
      <c r="E335" s="176" t="str">
        <f>'配置页-竞技场'!N16</f>
        <v>钻石</v>
      </c>
      <c r="F335" s="176" t="str">
        <f t="shared" si="16"/>
        <v>钻石</v>
      </c>
      <c r="G335" s="176">
        <f>'配置页-竞技场'!P16</f>
        <v>150</v>
      </c>
      <c r="H335" s="176">
        <f t="shared" si="17"/>
        <v>150</v>
      </c>
      <c r="I335" s="174" t="s">
        <v>265</v>
      </c>
    </row>
    <row r="336" ht="22" customHeight="1" spans="1:9">
      <c r="A336" s="174" t="s">
        <v>20</v>
      </c>
      <c r="B336" s="174" t="s">
        <v>523</v>
      </c>
      <c r="C336" s="174" t="s">
        <v>212</v>
      </c>
      <c r="D336" s="174" t="s">
        <v>528</v>
      </c>
      <c r="E336" s="176" t="str">
        <f>'配置页-竞技场'!N18</f>
        <v>钻石</v>
      </c>
      <c r="F336" s="176" t="str">
        <f t="shared" si="16"/>
        <v>钻石</v>
      </c>
      <c r="G336" s="176">
        <f>'配置页-竞技场'!P18</f>
        <v>150</v>
      </c>
      <c r="H336" s="176">
        <f t="shared" si="17"/>
        <v>150</v>
      </c>
      <c r="I336" s="174" t="s">
        <v>265</v>
      </c>
    </row>
    <row r="337" ht="22" customHeight="1" spans="1:9">
      <c r="A337" s="174" t="s">
        <v>20</v>
      </c>
      <c r="B337" s="174" t="s">
        <v>523</v>
      </c>
      <c r="C337" s="174" t="s">
        <v>212</v>
      </c>
      <c r="D337" s="174" t="s">
        <v>529</v>
      </c>
      <c r="E337" s="176" t="str">
        <f>'配置页-竞技场'!N2</f>
        <v>钻石</v>
      </c>
      <c r="F337" s="176" t="str">
        <f t="shared" si="16"/>
        <v>钻石</v>
      </c>
      <c r="G337" s="176">
        <f>'配置页-竞技场'!P2</f>
        <v>100</v>
      </c>
      <c r="H337" s="176">
        <f t="shared" si="17"/>
        <v>100</v>
      </c>
      <c r="I337" s="174" t="s">
        <v>265</v>
      </c>
    </row>
    <row r="338" ht="22" customHeight="1" spans="1:9">
      <c r="A338" s="174" t="s">
        <v>20</v>
      </c>
      <c r="B338" s="174" t="s">
        <v>523</v>
      </c>
      <c r="C338" s="174" t="s">
        <v>212</v>
      </c>
      <c r="D338" s="174" t="s">
        <v>530</v>
      </c>
      <c r="E338" s="176" t="str">
        <f>'配置页-竞技场'!N20</f>
        <v>钻石</v>
      </c>
      <c r="F338" s="176" t="str">
        <f t="shared" si="16"/>
        <v>钻石</v>
      </c>
      <c r="G338" s="176">
        <f>'配置页-竞技场'!P20</f>
        <v>200</v>
      </c>
      <c r="H338" s="176">
        <f t="shared" si="17"/>
        <v>200</v>
      </c>
      <c r="I338" s="174" t="s">
        <v>265</v>
      </c>
    </row>
    <row r="339" ht="22" customHeight="1" spans="1:9">
      <c r="A339" s="174" t="s">
        <v>20</v>
      </c>
      <c r="B339" s="174" t="s">
        <v>523</v>
      </c>
      <c r="C339" s="174" t="s">
        <v>212</v>
      </c>
      <c r="D339" s="174" t="s">
        <v>531</v>
      </c>
      <c r="E339" s="176" t="str">
        <f>'配置页-竞技场'!N22</f>
        <v>钻石</v>
      </c>
      <c r="F339" s="176" t="str">
        <f t="shared" si="16"/>
        <v>钻石</v>
      </c>
      <c r="G339" s="176">
        <f>'配置页-竞技场'!P22</f>
        <v>200</v>
      </c>
      <c r="H339" s="176">
        <f t="shared" si="17"/>
        <v>200</v>
      </c>
      <c r="I339" s="174" t="s">
        <v>265</v>
      </c>
    </row>
    <row r="340" ht="22" customHeight="1" spans="1:9">
      <c r="A340" s="174" t="s">
        <v>20</v>
      </c>
      <c r="B340" s="174" t="s">
        <v>523</v>
      </c>
      <c r="C340" s="174" t="s">
        <v>212</v>
      </c>
      <c r="D340" s="174" t="s">
        <v>532</v>
      </c>
      <c r="E340" s="176" t="str">
        <f>'配置页-竞技场'!N24</f>
        <v>钻石</v>
      </c>
      <c r="F340" s="176" t="str">
        <f t="shared" ref="F340:F403" si="18">IF(E340="钻石","钻石",IF(ISNUMBER(SEARCH("角色抽卡券限时",E340)),"角色抽卡券限时",IF(ISNUMBER(SEARCH("专武抽卡券限时",E340)),"专武抽卡券限时",IF(ISNUMBER(SEARCH("角色抽卡券",E340)),"角色抽卡券普通",IF(ISNUMBER(SEARCH("专武抽卡券",E340)),"专武抽卡券普通","")))))</f>
        <v>钻石</v>
      </c>
      <c r="G340" s="176">
        <f>'配置页-竞技场'!P24</f>
        <v>200</v>
      </c>
      <c r="H340" s="176">
        <f t="shared" ref="H340:H403" si="19">IF(F340="",0,IF(F340="钻石",G340,G340*150))</f>
        <v>200</v>
      </c>
      <c r="I340" s="174" t="s">
        <v>265</v>
      </c>
    </row>
    <row r="341" ht="22" customHeight="1" spans="1:9">
      <c r="A341" s="174" t="s">
        <v>20</v>
      </c>
      <c r="B341" s="174" t="s">
        <v>523</v>
      </c>
      <c r="C341" s="174" t="s">
        <v>212</v>
      </c>
      <c r="D341" s="174" t="s">
        <v>533</v>
      </c>
      <c r="E341" s="176" t="str">
        <f>'配置页-竞技场'!N26</f>
        <v>钻石</v>
      </c>
      <c r="F341" s="176" t="str">
        <f t="shared" si="18"/>
        <v>钻石</v>
      </c>
      <c r="G341" s="176">
        <f>'配置页-竞技场'!P26</f>
        <v>250</v>
      </c>
      <c r="H341" s="176">
        <f t="shared" si="19"/>
        <v>250</v>
      </c>
      <c r="I341" s="174" t="s">
        <v>265</v>
      </c>
    </row>
    <row r="342" ht="22" customHeight="1" spans="1:9">
      <c r="A342" s="174" t="s">
        <v>20</v>
      </c>
      <c r="B342" s="174" t="s">
        <v>523</v>
      </c>
      <c r="C342" s="174" t="s">
        <v>212</v>
      </c>
      <c r="D342" s="174" t="s">
        <v>534</v>
      </c>
      <c r="E342" s="176" t="str">
        <f>'配置页-竞技场'!N28</f>
        <v>钻石</v>
      </c>
      <c r="F342" s="176" t="str">
        <f t="shared" si="18"/>
        <v>钻石</v>
      </c>
      <c r="G342" s="176">
        <f>'配置页-竞技场'!P28</f>
        <v>250</v>
      </c>
      <c r="H342" s="176">
        <f t="shared" si="19"/>
        <v>250</v>
      </c>
      <c r="I342" s="174" t="s">
        <v>265</v>
      </c>
    </row>
    <row r="343" ht="22" customHeight="1" spans="1:9">
      <c r="A343" s="174" t="s">
        <v>20</v>
      </c>
      <c r="B343" s="174" t="s">
        <v>523</v>
      </c>
      <c r="C343" s="174" t="s">
        <v>212</v>
      </c>
      <c r="D343" s="174" t="s">
        <v>535</v>
      </c>
      <c r="E343" s="176" t="str">
        <f>'配置页-竞技场'!N30</f>
        <v>钻石</v>
      </c>
      <c r="F343" s="176" t="str">
        <f t="shared" si="18"/>
        <v>钻石</v>
      </c>
      <c r="G343" s="176">
        <f>'配置页-竞技场'!P30</f>
        <v>250</v>
      </c>
      <c r="H343" s="176">
        <f t="shared" si="19"/>
        <v>250</v>
      </c>
      <c r="I343" s="174" t="s">
        <v>265</v>
      </c>
    </row>
    <row r="344" ht="22" customHeight="1" spans="1:9">
      <c r="A344" s="174" t="s">
        <v>20</v>
      </c>
      <c r="B344" s="174" t="s">
        <v>523</v>
      </c>
      <c r="C344" s="174" t="s">
        <v>212</v>
      </c>
      <c r="D344" s="174" t="s">
        <v>536</v>
      </c>
      <c r="E344" s="176" t="str">
        <f>'配置页-竞技场'!N32</f>
        <v>钻石</v>
      </c>
      <c r="F344" s="176" t="str">
        <f t="shared" si="18"/>
        <v>钻石</v>
      </c>
      <c r="G344" s="176">
        <f>'配置页-竞技场'!P32</f>
        <v>300</v>
      </c>
      <c r="H344" s="176">
        <f t="shared" si="19"/>
        <v>300</v>
      </c>
      <c r="I344" s="174" t="s">
        <v>265</v>
      </c>
    </row>
    <row r="345" ht="22" customHeight="1" spans="1:9">
      <c r="A345" s="174" t="s">
        <v>20</v>
      </c>
      <c r="B345" s="174" t="s">
        <v>523</v>
      </c>
      <c r="C345" s="174" t="s">
        <v>212</v>
      </c>
      <c r="D345" s="174" t="s">
        <v>537</v>
      </c>
      <c r="E345" s="176" t="str">
        <f>'配置页-竞技场'!N34</f>
        <v>钻石</v>
      </c>
      <c r="F345" s="176" t="str">
        <f t="shared" si="18"/>
        <v>钻石</v>
      </c>
      <c r="G345" s="176">
        <f>'配置页-竞技场'!P34</f>
        <v>300</v>
      </c>
      <c r="H345" s="176">
        <f t="shared" si="19"/>
        <v>300</v>
      </c>
      <c r="I345" s="174" t="s">
        <v>265</v>
      </c>
    </row>
    <row r="346" ht="22" customHeight="1" spans="1:9">
      <c r="A346" s="174" t="s">
        <v>20</v>
      </c>
      <c r="B346" s="174" t="s">
        <v>523</v>
      </c>
      <c r="C346" s="174" t="s">
        <v>212</v>
      </c>
      <c r="D346" s="174" t="s">
        <v>538</v>
      </c>
      <c r="E346" s="176" t="str">
        <f>'配置页-竞技场'!N36</f>
        <v>钻石</v>
      </c>
      <c r="F346" s="176" t="str">
        <f t="shared" si="18"/>
        <v>钻石</v>
      </c>
      <c r="G346" s="176">
        <f>'配置页-竞技场'!P36</f>
        <v>300</v>
      </c>
      <c r="H346" s="176">
        <f t="shared" si="19"/>
        <v>300</v>
      </c>
      <c r="I346" s="174" t="s">
        <v>265</v>
      </c>
    </row>
    <row r="347" ht="22" customHeight="1" spans="1:9">
      <c r="A347" s="174" t="s">
        <v>20</v>
      </c>
      <c r="B347" s="174" t="s">
        <v>523</v>
      </c>
      <c r="C347" s="174" t="s">
        <v>212</v>
      </c>
      <c r="D347" s="174" t="s">
        <v>539</v>
      </c>
      <c r="E347" s="176" t="str">
        <f>'配置页-竞技场'!N38</f>
        <v>钻石</v>
      </c>
      <c r="F347" s="176" t="str">
        <f t="shared" si="18"/>
        <v>钻石</v>
      </c>
      <c r="G347" s="176">
        <f>'配置页-竞技场'!P38</f>
        <v>400</v>
      </c>
      <c r="H347" s="176">
        <f t="shared" si="19"/>
        <v>400</v>
      </c>
      <c r="I347" s="174" t="s">
        <v>265</v>
      </c>
    </row>
    <row r="348" ht="22" customHeight="1" spans="1:9">
      <c r="A348" s="174" t="s">
        <v>20</v>
      </c>
      <c r="B348" s="174" t="s">
        <v>523</v>
      </c>
      <c r="C348" s="174" t="s">
        <v>212</v>
      </c>
      <c r="D348" s="174" t="s">
        <v>540</v>
      </c>
      <c r="E348" s="176" t="str">
        <f>'配置页-竞技场'!N4</f>
        <v>钻石</v>
      </c>
      <c r="F348" s="176" t="str">
        <f t="shared" si="18"/>
        <v>钻石</v>
      </c>
      <c r="G348" s="176">
        <f>'配置页-竞技场'!P4</f>
        <v>100</v>
      </c>
      <c r="H348" s="176">
        <f t="shared" si="19"/>
        <v>100</v>
      </c>
      <c r="I348" s="174" t="s">
        <v>265</v>
      </c>
    </row>
    <row r="349" ht="22" customHeight="1" spans="1:9">
      <c r="A349" s="174" t="s">
        <v>20</v>
      </c>
      <c r="B349" s="174" t="s">
        <v>523</v>
      </c>
      <c r="C349" s="174" t="s">
        <v>212</v>
      </c>
      <c r="D349" s="174" t="s">
        <v>541</v>
      </c>
      <c r="E349" s="176" t="str">
        <f>'配置页-竞技场'!N40</f>
        <v>钻石</v>
      </c>
      <c r="F349" s="176" t="str">
        <f t="shared" si="18"/>
        <v>钻石</v>
      </c>
      <c r="G349" s="176">
        <f>'配置页-竞技场'!P40</f>
        <v>400</v>
      </c>
      <c r="H349" s="176">
        <f t="shared" si="19"/>
        <v>400</v>
      </c>
      <c r="I349" s="174" t="s">
        <v>265</v>
      </c>
    </row>
    <row r="350" ht="22" customHeight="1" spans="1:9">
      <c r="A350" s="174" t="s">
        <v>20</v>
      </c>
      <c r="B350" s="174" t="s">
        <v>523</v>
      </c>
      <c r="C350" s="174" t="s">
        <v>212</v>
      </c>
      <c r="D350" s="174" t="s">
        <v>542</v>
      </c>
      <c r="E350" s="176" t="str">
        <f>'配置页-竞技场'!N42</f>
        <v>钻石</v>
      </c>
      <c r="F350" s="176" t="str">
        <f t="shared" si="18"/>
        <v>钻石</v>
      </c>
      <c r="G350" s="176">
        <f>'配置页-竞技场'!P42</f>
        <v>400</v>
      </c>
      <c r="H350" s="176">
        <f t="shared" si="19"/>
        <v>400</v>
      </c>
      <c r="I350" s="174" t="s">
        <v>265</v>
      </c>
    </row>
    <row r="351" ht="22" customHeight="1" spans="1:9">
      <c r="A351" s="174" t="s">
        <v>20</v>
      </c>
      <c r="B351" s="174" t="s">
        <v>523</v>
      </c>
      <c r="C351" s="174" t="s">
        <v>212</v>
      </c>
      <c r="D351" s="174" t="s">
        <v>543</v>
      </c>
      <c r="E351" s="176" t="str">
        <f>'配置页-竞技场'!N44</f>
        <v>钻石</v>
      </c>
      <c r="F351" s="176" t="str">
        <f t="shared" si="18"/>
        <v>钻石</v>
      </c>
      <c r="G351" s="176">
        <f>'配置页-竞技场'!P44</f>
        <v>500</v>
      </c>
      <c r="H351" s="176">
        <f t="shared" si="19"/>
        <v>500</v>
      </c>
      <c r="I351" s="174" t="s">
        <v>265</v>
      </c>
    </row>
    <row r="352" ht="22" customHeight="1" spans="1:9">
      <c r="A352" s="174" t="s">
        <v>20</v>
      </c>
      <c r="B352" s="174" t="s">
        <v>523</v>
      </c>
      <c r="C352" s="174" t="s">
        <v>212</v>
      </c>
      <c r="D352" s="174" t="s">
        <v>544</v>
      </c>
      <c r="E352" s="176" t="str">
        <f>'配置页-竞技场'!N6</f>
        <v>钻石</v>
      </c>
      <c r="F352" s="176" t="str">
        <f t="shared" si="18"/>
        <v>钻石</v>
      </c>
      <c r="G352" s="176">
        <f>'配置页-竞技场'!P6</f>
        <v>100</v>
      </c>
      <c r="H352" s="176">
        <f t="shared" si="19"/>
        <v>100</v>
      </c>
      <c r="I352" s="174" t="s">
        <v>265</v>
      </c>
    </row>
    <row r="353" ht="22" customHeight="1" spans="1:9">
      <c r="A353" s="174" t="s">
        <v>20</v>
      </c>
      <c r="B353" s="174" t="s">
        <v>523</v>
      </c>
      <c r="C353" s="174" t="s">
        <v>212</v>
      </c>
      <c r="D353" s="174" t="s">
        <v>545</v>
      </c>
      <c r="E353" s="176" t="str">
        <f>'配置页-竞技场'!N8</f>
        <v>钻石</v>
      </c>
      <c r="F353" s="176" t="str">
        <f t="shared" si="18"/>
        <v>钻石</v>
      </c>
      <c r="G353" s="176">
        <f>'配置页-竞技场'!P8</f>
        <v>100</v>
      </c>
      <c r="H353" s="176">
        <f t="shared" si="19"/>
        <v>100</v>
      </c>
      <c r="I353" s="174" t="s">
        <v>265</v>
      </c>
    </row>
    <row r="354" ht="22" customHeight="1" spans="1:9">
      <c r="A354" s="174" t="s">
        <v>20</v>
      </c>
      <c r="B354" s="174" t="s">
        <v>546</v>
      </c>
      <c r="C354" s="174" t="s">
        <v>212</v>
      </c>
      <c r="D354" s="174" t="s">
        <v>213</v>
      </c>
      <c r="E354" s="176" t="str">
        <f>'配置页-竞技场'!J14</f>
        <v>炮台升级小材料</v>
      </c>
      <c r="F354" s="176" t="str">
        <f t="shared" si="18"/>
        <v/>
      </c>
      <c r="G354" s="176">
        <f>'配置页-竞技场'!L14</f>
        <v>800</v>
      </c>
      <c r="H354" s="176">
        <f t="shared" si="19"/>
        <v>0</v>
      </c>
      <c r="I354" s="174" t="s">
        <v>265</v>
      </c>
    </row>
    <row r="355" ht="22" customHeight="1" spans="1:9">
      <c r="A355" s="174" t="s">
        <v>20</v>
      </c>
      <c r="B355" s="174" t="s">
        <v>546</v>
      </c>
      <c r="C355" s="174" t="s">
        <v>212</v>
      </c>
      <c r="D355" s="174" t="s">
        <v>215</v>
      </c>
      <c r="E355" s="176" t="str">
        <f>'配置页-竞技场'!J20</f>
        <v>炮台升级小材料</v>
      </c>
      <c r="F355" s="176" t="str">
        <f t="shared" si="18"/>
        <v/>
      </c>
      <c r="G355" s="176">
        <f>'配置页-竞技场'!L20</f>
        <v>1000</v>
      </c>
      <c r="H355" s="176">
        <f t="shared" si="19"/>
        <v>0</v>
      </c>
      <c r="I355" s="174" t="s">
        <v>265</v>
      </c>
    </row>
    <row r="356" ht="22" customHeight="1" spans="1:9">
      <c r="A356" s="174" t="s">
        <v>20</v>
      </c>
      <c r="B356" s="174" t="s">
        <v>546</v>
      </c>
      <c r="C356" s="174" t="s">
        <v>212</v>
      </c>
      <c r="D356" s="174" t="s">
        <v>216</v>
      </c>
      <c r="E356" s="176" t="e">
        <f>'配置页-竞技场'!J26</f>
        <v>#N/A</v>
      </c>
      <c r="F356" s="176" t="e">
        <f t="shared" si="18"/>
        <v>#N/A</v>
      </c>
      <c r="G356" s="176" t="e">
        <f>'配置页-竞技场'!L26</f>
        <v>#N/A</v>
      </c>
      <c r="H356" s="176" t="e">
        <f t="shared" si="19"/>
        <v>#N/A</v>
      </c>
      <c r="I356" s="174" t="s">
        <v>265</v>
      </c>
    </row>
    <row r="357" ht="22" customHeight="1" spans="1:9">
      <c r="A357" s="174" t="s">
        <v>20</v>
      </c>
      <c r="B357" s="174" t="s">
        <v>546</v>
      </c>
      <c r="C357" s="174" t="s">
        <v>212</v>
      </c>
      <c r="D357" s="174" t="s">
        <v>547</v>
      </c>
      <c r="E357" s="176" t="e">
        <f>'配置页-竞技场'!J32</f>
        <v>#N/A</v>
      </c>
      <c r="F357" s="176" t="e">
        <f t="shared" si="18"/>
        <v>#N/A</v>
      </c>
      <c r="G357" s="176" t="e">
        <f>'配置页-竞技场'!L32</f>
        <v>#N/A</v>
      </c>
      <c r="H357" s="176" t="e">
        <f t="shared" si="19"/>
        <v>#N/A</v>
      </c>
      <c r="I357" s="174" t="s">
        <v>265</v>
      </c>
    </row>
    <row r="358" ht="22" customHeight="1" spans="1:9">
      <c r="A358" s="174" t="s">
        <v>20</v>
      </c>
      <c r="B358" s="174" t="s">
        <v>546</v>
      </c>
      <c r="C358" s="174" t="s">
        <v>212</v>
      </c>
      <c r="D358" s="174" t="s">
        <v>548</v>
      </c>
      <c r="E358" s="176" t="e">
        <f>'配置页-竞技场'!J38</f>
        <v>#N/A</v>
      </c>
      <c r="F358" s="176" t="e">
        <f t="shared" si="18"/>
        <v>#N/A</v>
      </c>
      <c r="G358" s="176" t="e">
        <f>'配置页-竞技场'!L38</f>
        <v>#N/A</v>
      </c>
      <c r="H358" s="176" t="e">
        <f t="shared" si="19"/>
        <v>#N/A</v>
      </c>
      <c r="I358" s="174" t="s">
        <v>265</v>
      </c>
    </row>
    <row r="359" ht="22" customHeight="1" spans="1:9">
      <c r="A359" s="174" t="s">
        <v>20</v>
      </c>
      <c r="B359" s="174" t="s">
        <v>546</v>
      </c>
      <c r="C359" s="174" t="s">
        <v>212</v>
      </c>
      <c r="D359" s="174" t="s">
        <v>217</v>
      </c>
      <c r="E359" s="176" t="str">
        <f>'配置页-竞技场'!J4</f>
        <v>钻石</v>
      </c>
      <c r="F359" s="176" t="str">
        <f t="shared" si="18"/>
        <v>钻石</v>
      </c>
      <c r="G359" s="176">
        <f>'配置页-竞技场'!L4</f>
        <v>600</v>
      </c>
      <c r="H359" s="176">
        <f t="shared" si="19"/>
        <v>600</v>
      </c>
      <c r="I359" s="174" t="s">
        <v>265</v>
      </c>
    </row>
    <row r="360" ht="22" customHeight="1" spans="1:9">
      <c r="A360" s="174" t="s">
        <v>20</v>
      </c>
      <c r="B360" s="174" t="s">
        <v>546</v>
      </c>
      <c r="C360" s="174" t="s">
        <v>212</v>
      </c>
      <c r="D360" s="174" t="s">
        <v>549</v>
      </c>
      <c r="E360" s="176" t="e">
        <f>'配置页-竞技场'!J42</f>
        <v>#N/A</v>
      </c>
      <c r="F360" s="176" t="e">
        <f t="shared" si="18"/>
        <v>#N/A</v>
      </c>
      <c r="G360" s="176" t="e">
        <f>'配置页-竞技场'!L42</f>
        <v>#N/A</v>
      </c>
      <c r="H360" s="176" t="e">
        <f t="shared" si="19"/>
        <v>#N/A</v>
      </c>
      <c r="I360" s="174" t="s">
        <v>265</v>
      </c>
    </row>
    <row r="361" ht="22" customHeight="1" spans="1:9">
      <c r="A361" s="174" t="s">
        <v>20</v>
      </c>
      <c r="B361" s="174" t="s">
        <v>546</v>
      </c>
      <c r="C361" s="174" t="s">
        <v>212</v>
      </c>
      <c r="D361" s="174" t="s">
        <v>218</v>
      </c>
      <c r="E361" s="176" t="str">
        <f>'配置页-竞技场'!J8</f>
        <v>炮台升级小材料</v>
      </c>
      <c r="F361" s="176" t="str">
        <f t="shared" si="18"/>
        <v/>
      </c>
      <c r="G361" s="176">
        <f>'配置页-竞技场'!L8</f>
        <v>600</v>
      </c>
      <c r="H361" s="176">
        <f t="shared" si="19"/>
        <v>0</v>
      </c>
      <c r="I361" s="174" t="s">
        <v>265</v>
      </c>
    </row>
    <row r="362" ht="22" customHeight="1" spans="1:9">
      <c r="A362" s="174" t="s">
        <v>21</v>
      </c>
      <c r="B362" s="174" t="s">
        <v>550</v>
      </c>
      <c r="C362" s="174" t="s">
        <v>21</v>
      </c>
      <c r="D362" s="174" t="s">
        <v>223</v>
      </c>
      <c r="E362" s="176" t="str">
        <f>签到!K10</f>
        <v>角色抽卡券</v>
      </c>
      <c r="F362" s="176" t="str">
        <f t="shared" si="18"/>
        <v>角色抽卡券普通</v>
      </c>
      <c r="G362" s="176">
        <f>签到!L10</f>
        <v>2</v>
      </c>
      <c r="H362" s="176">
        <f t="shared" si="19"/>
        <v>300</v>
      </c>
      <c r="I362" s="174" t="s">
        <v>551</v>
      </c>
    </row>
    <row r="363" ht="22" customHeight="1" spans="1:9">
      <c r="A363" s="174" t="s">
        <v>21</v>
      </c>
      <c r="B363" s="174" t="s">
        <v>550</v>
      </c>
      <c r="C363" s="174" t="s">
        <v>21</v>
      </c>
      <c r="D363" s="174" t="s">
        <v>552</v>
      </c>
      <c r="E363" s="176" t="str">
        <f>签到!K13</f>
        <v>角色抽卡券</v>
      </c>
      <c r="F363" s="176" t="str">
        <f t="shared" si="18"/>
        <v>角色抽卡券普通</v>
      </c>
      <c r="G363" s="176">
        <f>签到!L13</f>
        <v>2</v>
      </c>
      <c r="H363" s="176">
        <f t="shared" si="19"/>
        <v>300</v>
      </c>
      <c r="I363" s="174" t="s">
        <v>551</v>
      </c>
    </row>
    <row r="364" ht="22" customHeight="1" spans="1:9">
      <c r="A364" s="174" t="s">
        <v>21</v>
      </c>
      <c r="B364" s="174" t="s">
        <v>550</v>
      </c>
      <c r="C364" s="174" t="s">
        <v>21</v>
      </c>
      <c r="D364" s="174" t="s">
        <v>35</v>
      </c>
      <c r="E364" s="176" t="str">
        <f>签到!K16</f>
        <v>角色抽卡券</v>
      </c>
      <c r="F364" s="176" t="str">
        <f t="shared" si="18"/>
        <v>角色抽卡券普通</v>
      </c>
      <c r="G364" s="176">
        <f>签到!L16</f>
        <v>3</v>
      </c>
      <c r="H364" s="176">
        <f t="shared" si="19"/>
        <v>450</v>
      </c>
      <c r="I364" s="174" t="s">
        <v>551</v>
      </c>
    </row>
    <row r="365" ht="22" customHeight="1" spans="1:9">
      <c r="A365" s="174" t="s">
        <v>21</v>
      </c>
      <c r="B365" s="174" t="s">
        <v>550</v>
      </c>
      <c r="C365" s="174" t="s">
        <v>21</v>
      </c>
      <c r="D365" s="174" t="s">
        <v>220</v>
      </c>
      <c r="E365" s="176" t="str">
        <f>签到!K3</f>
        <v>钻石</v>
      </c>
      <c r="F365" s="176" t="str">
        <f t="shared" si="18"/>
        <v>钻石</v>
      </c>
      <c r="G365" s="176">
        <f>签到!L3</f>
        <v>50</v>
      </c>
      <c r="H365" s="176">
        <f t="shared" si="19"/>
        <v>50</v>
      </c>
      <c r="I365" s="174" t="s">
        <v>551</v>
      </c>
    </row>
    <row r="366" ht="22" customHeight="1" spans="1:9">
      <c r="A366" s="174" t="s">
        <v>21</v>
      </c>
      <c r="B366" s="174" t="s">
        <v>550</v>
      </c>
      <c r="C366" s="174" t="s">
        <v>21</v>
      </c>
      <c r="D366" s="174" t="s">
        <v>553</v>
      </c>
      <c r="E366" s="176" t="str">
        <f>签到!K4</f>
        <v>钻石</v>
      </c>
      <c r="F366" s="176" t="str">
        <f t="shared" si="18"/>
        <v>钻石</v>
      </c>
      <c r="G366" s="176">
        <f>签到!L4</f>
        <v>100</v>
      </c>
      <c r="H366" s="176">
        <f t="shared" si="19"/>
        <v>100</v>
      </c>
      <c r="I366" s="174" t="s">
        <v>551</v>
      </c>
    </row>
    <row r="367" ht="22" customHeight="1" spans="1:9">
      <c r="A367" s="174" t="s">
        <v>21</v>
      </c>
      <c r="B367" s="174" t="s">
        <v>550</v>
      </c>
      <c r="C367" s="174" t="s">
        <v>21</v>
      </c>
      <c r="D367" s="174" t="s">
        <v>554</v>
      </c>
      <c r="E367" s="176" t="str">
        <f>签到!K5</f>
        <v>角色抽卡券</v>
      </c>
      <c r="F367" s="176" t="str">
        <f t="shared" si="18"/>
        <v>角色抽卡券普通</v>
      </c>
      <c r="G367" s="176">
        <f>签到!L5</f>
        <v>1</v>
      </c>
      <c r="H367" s="176">
        <f t="shared" si="19"/>
        <v>150</v>
      </c>
      <c r="I367" s="174" t="s">
        <v>551</v>
      </c>
    </row>
    <row r="368" ht="22" customHeight="1" spans="1:9">
      <c r="A368" s="174" t="s">
        <v>21</v>
      </c>
      <c r="B368" s="174" t="s">
        <v>550</v>
      </c>
      <c r="C368" s="174" t="s">
        <v>21</v>
      </c>
      <c r="D368" s="174" t="s">
        <v>157</v>
      </c>
      <c r="E368" s="176" t="str">
        <f>签到!K9</f>
        <v>钻石</v>
      </c>
      <c r="F368" s="176" t="str">
        <f t="shared" si="18"/>
        <v>钻石</v>
      </c>
      <c r="G368" s="176">
        <f>签到!L9</f>
        <v>100</v>
      </c>
      <c r="H368" s="176">
        <f t="shared" si="19"/>
        <v>100</v>
      </c>
      <c r="I368" s="174" t="s">
        <v>551</v>
      </c>
    </row>
    <row r="369" ht="22" customHeight="1" spans="1:9">
      <c r="A369" s="174" t="s">
        <v>22</v>
      </c>
      <c r="B369" s="174" t="s">
        <v>555</v>
      </c>
      <c r="C369" s="174" t="s">
        <v>226</v>
      </c>
      <c r="D369" s="174" t="s">
        <v>556</v>
      </c>
      <c r="E369" s="176" t="str">
        <f>'配置页-通行证'!L12</f>
        <v>角色抽卡券普通</v>
      </c>
      <c r="F369" s="176" t="str">
        <f t="shared" si="18"/>
        <v>角色抽卡券普通</v>
      </c>
      <c r="G369" s="176">
        <f>'配置页-通行证'!N12</f>
        <v>2</v>
      </c>
      <c r="H369" s="176">
        <f t="shared" si="19"/>
        <v>300</v>
      </c>
      <c r="I369" s="174" t="s">
        <v>265</v>
      </c>
    </row>
    <row r="370" ht="22" customHeight="1" spans="1:9">
      <c r="A370" s="174" t="s">
        <v>22</v>
      </c>
      <c r="B370" s="174" t="s">
        <v>555</v>
      </c>
      <c r="C370" s="174" t="s">
        <v>226</v>
      </c>
      <c r="D370" s="174" t="s">
        <v>557</v>
      </c>
      <c r="E370" s="176" t="str">
        <f>'配置页-通行证'!L13</f>
        <v>专武抽卡券普通</v>
      </c>
      <c r="F370" s="176" t="str">
        <f t="shared" si="18"/>
        <v>专武抽卡券普通</v>
      </c>
      <c r="G370" s="176">
        <f>'配置页-通行证'!N13</f>
        <v>2</v>
      </c>
      <c r="H370" s="176">
        <f t="shared" si="19"/>
        <v>300</v>
      </c>
      <c r="I370" s="174" t="s">
        <v>265</v>
      </c>
    </row>
    <row r="371" ht="22" customHeight="1" spans="1:9">
      <c r="A371" s="174" t="s">
        <v>22</v>
      </c>
      <c r="B371" s="174" t="s">
        <v>555</v>
      </c>
      <c r="C371" s="174" t="s">
        <v>226</v>
      </c>
      <c r="D371" s="174" t="s">
        <v>227</v>
      </c>
      <c r="E371" s="176" t="str">
        <f>'配置页-通行证'!L2</f>
        <v>钻石</v>
      </c>
      <c r="F371" s="176" t="str">
        <f t="shared" si="18"/>
        <v>钻石</v>
      </c>
      <c r="G371" s="176">
        <f>'配置页-通行证'!N2</f>
        <v>680</v>
      </c>
      <c r="H371" s="176">
        <f t="shared" si="19"/>
        <v>680</v>
      </c>
      <c r="I371" s="174" t="s">
        <v>265</v>
      </c>
    </row>
    <row r="372" ht="22" customHeight="1" spans="1:9">
      <c r="A372" s="174" t="s">
        <v>22</v>
      </c>
      <c r="B372" s="174" t="s">
        <v>555</v>
      </c>
      <c r="C372" s="174" t="s">
        <v>226</v>
      </c>
      <c r="D372" s="174" t="s">
        <v>558</v>
      </c>
      <c r="E372" s="176" t="str">
        <f>'配置页-通行证'!L24</f>
        <v>角色抽卡券普通</v>
      </c>
      <c r="F372" s="176" t="str">
        <f t="shared" si="18"/>
        <v>角色抽卡券普通</v>
      </c>
      <c r="G372" s="176">
        <f>'配置页-通行证'!N24</f>
        <v>2</v>
      </c>
      <c r="H372" s="176">
        <f t="shared" si="19"/>
        <v>300</v>
      </c>
      <c r="I372" s="174" t="s">
        <v>265</v>
      </c>
    </row>
    <row r="373" ht="22" customHeight="1" spans="1:9">
      <c r="A373" s="174" t="s">
        <v>22</v>
      </c>
      <c r="B373" s="174" t="s">
        <v>555</v>
      </c>
      <c r="C373" s="174" t="s">
        <v>226</v>
      </c>
      <c r="D373" s="174" t="s">
        <v>559</v>
      </c>
      <c r="E373" s="176" t="str">
        <f>'配置页-通行证'!L25</f>
        <v>专武抽卡券普通</v>
      </c>
      <c r="F373" s="176" t="str">
        <f t="shared" si="18"/>
        <v>专武抽卡券普通</v>
      </c>
      <c r="G373" s="176">
        <f>'配置页-通行证'!N25</f>
        <v>2</v>
      </c>
      <c r="H373" s="176">
        <f t="shared" si="19"/>
        <v>300</v>
      </c>
      <c r="I373" s="174" t="s">
        <v>265</v>
      </c>
    </row>
    <row r="374" ht="22" customHeight="1" spans="1:9">
      <c r="A374" s="174" t="s">
        <v>22</v>
      </c>
      <c r="B374" s="174" t="s">
        <v>555</v>
      </c>
      <c r="C374" s="174" t="s">
        <v>226</v>
      </c>
      <c r="D374" s="174" t="s">
        <v>560</v>
      </c>
      <c r="E374" s="176" t="str">
        <f>'配置页-通行证'!L36</f>
        <v>角色抽卡券普通</v>
      </c>
      <c r="F374" s="176" t="str">
        <f t="shared" si="18"/>
        <v>角色抽卡券普通</v>
      </c>
      <c r="G374" s="176">
        <f>'配置页-通行证'!N36</f>
        <v>2</v>
      </c>
      <c r="H374" s="176">
        <f t="shared" si="19"/>
        <v>300</v>
      </c>
      <c r="I374" s="174" t="s">
        <v>265</v>
      </c>
    </row>
    <row r="375" ht="22" customHeight="1" spans="1:9">
      <c r="A375" s="174" t="s">
        <v>22</v>
      </c>
      <c r="B375" s="174" t="s">
        <v>555</v>
      </c>
      <c r="C375" s="174" t="s">
        <v>226</v>
      </c>
      <c r="D375" s="174" t="s">
        <v>561</v>
      </c>
      <c r="E375" s="176" t="str">
        <f>'配置页-通行证'!L37</f>
        <v>专武抽卡券普通</v>
      </c>
      <c r="F375" s="176" t="str">
        <f t="shared" si="18"/>
        <v>专武抽卡券普通</v>
      </c>
      <c r="G375" s="176">
        <f>'配置页-通行证'!N37</f>
        <v>2</v>
      </c>
      <c r="H375" s="176">
        <f t="shared" si="19"/>
        <v>300</v>
      </c>
      <c r="I375" s="174" t="s">
        <v>265</v>
      </c>
    </row>
    <row r="376" ht="22" customHeight="1" spans="1:9">
      <c r="A376" s="174" t="s">
        <v>22</v>
      </c>
      <c r="B376" s="174" t="s">
        <v>555</v>
      </c>
      <c r="C376" s="174" t="s">
        <v>226</v>
      </c>
      <c r="D376" s="174" t="s">
        <v>562</v>
      </c>
      <c r="E376" s="176" t="str">
        <f>'配置页-通行证'!L48</f>
        <v>角色抽卡券普通</v>
      </c>
      <c r="F376" s="176" t="str">
        <f t="shared" si="18"/>
        <v>角色抽卡券普通</v>
      </c>
      <c r="G376" s="176">
        <f>'配置页-通行证'!N48</f>
        <v>2</v>
      </c>
      <c r="H376" s="176">
        <f t="shared" si="19"/>
        <v>300</v>
      </c>
      <c r="I376" s="174" t="s">
        <v>265</v>
      </c>
    </row>
    <row r="377" ht="22" customHeight="1" spans="1:9">
      <c r="A377" s="174" t="s">
        <v>22</v>
      </c>
      <c r="B377" s="174" t="s">
        <v>555</v>
      </c>
      <c r="C377" s="174" t="s">
        <v>226</v>
      </c>
      <c r="D377" s="174" t="s">
        <v>563</v>
      </c>
      <c r="E377" s="176" t="str">
        <f>'配置页-通行证'!L49</f>
        <v>专武抽卡券普通</v>
      </c>
      <c r="F377" s="176" t="str">
        <f t="shared" si="18"/>
        <v>专武抽卡券普通</v>
      </c>
      <c r="G377" s="176">
        <f>'配置页-通行证'!N49</f>
        <v>2</v>
      </c>
      <c r="H377" s="176">
        <f t="shared" si="19"/>
        <v>300</v>
      </c>
      <c r="I377" s="174" t="s">
        <v>265</v>
      </c>
    </row>
    <row r="378" ht="22" customHeight="1" spans="1:9">
      <c r="A378" s="174" t="s">
        <v>22</v>
      </c>
      <c r="B378" s="174" t="s">
        <v>555</v>
      </c>
      <c r="C378" s="174" t="s">
        <v>226</v>
      </c>
      <c r="D378" s="174" t="s">
        <v>564</v>
      </c>
      <c r="E378" s="176" t="str">
        <f>'配置页-通行证'!L60</f>
        <v>角色抽卡券普通</v>
      </c>
      <c r="F378" s="176" t="str">
        <f t="shared" si="18"/>
        <v>角色抽卡券普通</v>
      </c>
      <c r="G378" s="176">
        <f>'配置页-通行证'!N60</f>
        <v>2</v>
      </c>
      <c r="H378" s="176">
        <f t="shared" si="19"/>
        <v>300</v>
      </c>
      <c r="I378" s="174" t="s">
        <v>265</v>
      </c>
    </row>
    <row r="379" ht="22" customHeight="1" spans="1:9">
      <c r="A379" s="174" t="s">
        <v>22</v>
      </c>
      <c r="B379" s="174" t="s">
        <v>555</v>
      </c>
      <c r="C379" s="174" t="s">
        <v>226</v>
      </c>
      <c r="D379" s="174" t="s">
        <v>565</v>
      </c>
      <c r="E379" s="176" t="str">
        <f>'配置页-通行证'!L61</f>
        <v>专武抽卡券普通</v>
      </c>
      <c r="F379" s="176" t="str">
        <f t="shared" si="18"/>
        <v>专武抽卡券普通</v>
      </c>
      <c r="G379" s="176">
        <f>'配置页-通行证'!N61</f>
        <v>2</v>
      </c>
      <c r="H379" s="176">
        <f t="shared" si="19"/>
        <v>300</v>
      </c>
      <c r="I379" s="174" t="s">
        <v>265</v>
      </c>
    </row>
    <row r="380" ht="22" customHeight="1" spans="1:9">
      <c r="A380" s="174" t="s">
        <v>22</v>
      </c>
      <c r="B380" s="174" t="s">
        <v>555</v>
      </c>
      <c r="C380" s="174" t="s">
        <v>226</v>
      </c>
      <c r="D380" s="174" t="s">
        <v>566</v>
      </c>
      <c r="E380" s="176" t="str">
        <f>'配置页-通行证'!L72</f>
        <v>钻石</v>
      </c>
      <c r="F380" s="176" t="str">
        <f t="shared" si="18"/>
        <v>钻石</v>
      </c>
      <c r="G380" s="176">
        <f>'配置页-通行证'!N72</f>
        <v>1000</v>
      </c>
      <c r="H380" s="176">
        <f t="shared" si="19"/>
        <v>1000</v>
      </c>
      <c r="I380" s="174" t="s">
        <v>265</v>
      </c>
    </row>
    <row r="381" ht="22" customHeight="1" spans="1:9">
      <c r="A381" s="174" t="s">
        <v>22</v>
      </c>
      <c r="B381" s="174" t="s">
        <v>567</v>
      </c>
      <c r="C381" s="174" t="s">
        <v>226</v>
      </c>
      <c r="D381" s="174" t="s">
        <v>568</v>
      </c>
      <c r="E381" s="176" t="str">
        <f>'配置页-通行证'!H11</f>
        <v>钻石</v>
      </c>
      <c r="F381" s="176" t="str">
        <f t="shared" si="18"/>
        <v>钻石</v>
      </c>
      <c r="G381" s="176">
        <f>'配置页-通行证'!J11</f>
        <v>50</v>
      </c>
      <c r="H381" s="176">
        <f t="shared" si="19"/>
        <v>50</v>
      </c>
      <c r="I381" s="174" t="s">
        <v>265</v>
      </c>
    </row>
    <row r="382" ht="22" customHeight="1" spans="1:9">
      <c r="A382" s="174" t="s">
        <v>22</v>
      </c>
      <c r="B382" s="174" t="s">
        <v>567</v>
      </c>
      <c r="C382" s="174" t="s">
        <v>226</v>
      </c>
      <c r="D382" s="174" t="s">
        <v>569</v>
      </c>
      <c r="E382" s="176" t="str">
        <f>'配置页-通行证'!H21</f>
        <v>钻石</v>
      </c>
      <c r="F382" s="176" t="str">
        <f t="shared" si="18"/>
        <v>钻石</v>
      </c>
      <c r="G382" s="176">
        <f>'配置页-通行证'!J21</f>
        <v>50</v>
      </c>
      <c r="H382" s="176">
        <f t="shared" si="19"/>
        <v>50</v>
      </c>
      <c r="I382" s="174" t="s">
        <v>265</v>
      </c>
    </row>
    <row r="383" ht="22" customHeight="1" spans="1:9">
      <c r="A383" s="174" t="s">
        <v>22</v>
      </c>
      <c r="B383" s="174" t="s">
        <v>567</v>
      </c>
      <c r="C383" s="174" t="s">
        <v>226</v>
      </c>
      <c r="D383" s="174" t="s">
        <v>570</v>
      </c>
      <c r="E383" s="176" t="str">
        <f>'配置页-通行证'!H31</f>
        <v>钻石</v>
      </c>
      <c r="F383" s="176" t="str">
        <f t="shared" si="18"/>
        <v>钻石</v>
      </c>
      <c r="G383" s="176">
        <f>'配置页-通行证'!J31</f>
        <v>50</v>
      </c>
      <c r="H383" s="176">
        <f t="shared" si="19"/>
        <v>50</v>
      </c>
      <c r="I383" s="174" t="s">
        <v>265</v>
      </c>
    </row>
    <row r="384" ht="22" customHeight="1" spans="1:9">
      <c r="A384" s="174" t="s">
        <v>22</v>
      </c>
      <c r="B384" s="174" t="s">
        <v>567</v>
      </c>
      <c r="C384" s="174" t="s">
        <v>226</v>
      </c>
      <c r="D384" s="174" t="s">
        <v>571</v>
      </c>
      <c r="E384" s="176" t="str">
        <f>'配置页-通行证'!H41</f>
        <v>钻石</v>
      </c>
      <c r="F384" s="176" t="str">
        <f t="shared" si="18"/>
        <v>钻石</v>
      </c>
      <c r="G384" s="176">
        <f>'配置页-通行证'!J41</f>
        <v>100</v>
      </c>
      <c r="H384" s="176">
        <f t="shared" si="19"/>
        <v>100</v>
      </c>
      <c r="I384" s="174" t="s">
        <v>265</v>
      </c>
    </row>
    <row r="385" ht="22" customHeight="1" spans="1:9">
      <c r="A385" s="174" t="s">
        <v>22</v>
      </c>
      <c r="B385" s="174" t="s">
        <v>567</v>
      </c>
      <c r="C385" s="174" t="s">
        <v>226</v>
      </c>
      <c r="D385" s="174" t="s">
        <v>572</v>
      </c>
      <c r="E385" s="176" t="str">
        <f>'配置页-通行证'!H51</f>
        <v>钻石</v>
      </c>
      <c r="F385" s="176" t="str">
        <f t="shared" si="18"/>
        <v>钻石</v>
      </c>
      <c r="G385" s="176">
        <f>'配置页-通行证'!J51</f>
        <v>100</v>
      </c>
      <c r="H385" s="176">
        <f t="shared" si="19"/>
        <v>100</v>
      </c>
      <c r="I385" s="174" t="s">
        <v>265</v>
      </c>
    </row>
    <row r="386" ht="22" customHeight="1" spans="1:9">
      <c r="A386" s="174" t="s">
        <v>22</v>
      </c>
      <c r="B386" s="174" t="s">
        <v>567</v>
      </c>
      <c r="C386" s="174" t="s">
        <v>226</v>
      </c>
      <c r="D386" s="174" t="s">
        <v>573</v>
      </c>
      <c r="E386" s="176" t="str">
        <f>'配置页-通行证'!H61</f>
        <v>钻石</v>
      </c>
      <c r="F386" s="176" t="str">
        <f t="shared" si="18"/>
        <v>钻石</v>
      </c>
      <c r="G386" s="176">
        <f>'配置页-通行证'!J61</f>
        <v>100</v>
      </c>
      <c r="H386" s="176">
        <f t="shared" si="19"/>
        <v>100</v>
      </c>
      <c r="I386" s="174" t="s">
        <v>265</v>
      </c>
    </row>
    <row r="387" ht="22" customHeight="1" spans="1:9">
      <c r="A387" s="174" t="s">
        <v>23</v>
      </c>
      <c r="B387" s="174" t="s">
        <v>230</v>
      </c>
      <c r="C387" s="174" t="s">
        <v>231</v>
      </c>
      <c r="D387" s="174" t="s">
        <v>232</v>
      </c>
      <c r="E387" s="176" t="s">
        <v>5</v>
      </c>
      <c r="F387" s="176" t="str">
        <f t="shared" si="18"/>
        <v>钻石</v>
      </c>
      <c r="G387" s="176">
        <f>高难主线关卡!AC10</f>
        <v>50</v>
      </c>
      <c r="H387" s="176">
        <f t="shared" si="19"/>
        <v>50</v>
      </c>
      <c r="I387" s="174" t="s">
        <v>574</v>
      </c>
    </row>
    <row r="388" ht="22" customHeight="1" spans="1:9">
      <c r="A388" s="174" t="s">
        <v>23</v>
      </c>
      <c r="B388" s="174" t="s">
        <v>230</v>
      </c>
      <c r="C388" s="174" t="s">
        <v>231</v>
      </c>
      <c r="D388" s="174" t="s">
        <v>234</v>
      </c>
      <c r="E388" s="176" t="s">
        <v>5</v>
      </c>
      <c r="F388" s="176" t="str">
        <f t="shared" si="18"/>
        <v>钻石</v>
      </c>
      <c r="G388" s="176">
        <f>高难主线关卡!AC11</f>
        <v>50</v>
      </c>
      <c r="H388" s="176">
        <f t="shared" si="19"/>
        <v>50</v>
      </c>
      <c r="I388" s="174" t="s">
        <v>574</v>
      </c>
    </row>
    <row r="389" ht="22" customHeight="1" spans="1:9">
      <c r="A389" s="174" t="s">
        <v>23</v>
      </c>
      <c r="B389" s="174" t="s">
        <v>230</v>
      </c>
      <c r="C389" s="174" t="s">
        <v>231</v>
      </c>
      <c r="D389" s="174" t="s">
        <v>235</v>
      </c>
      <c r="E389" s="176" t="s">
        <v>5</v>
      </c>
      <c r="F389" s="176" t="str">
        <f t="shared" si="18"/>
        <v>钻石</v>
      </c>
      <c r="G389" s="176">
        <f>高难主线关卡!AC12</f>
        <v>50</v>
      </c>
      <c r="H389" s="176">
        <f t="shared" si="19"/>
        <v>50</v>
      </c>
      <c r="I389" s="174" t="s">
        <v>574</v>
      </c>
    </row>
    <row r="390" ht="22" customHeight="1" spans="1:9">
      <c r="A390" s="174" t="s">
        <v>23</v>
      </c>
      <c r="B390" s="174" t="s">
        <v>230</v>
      </c>
      <c r="C390" s="174" t="s">
        <v>231</v>
      </c>
      <c r="D390" s="174" t="s">
        <v>236</v>
      </c>
      <c r="E390" s="176" t="s">
        <v>5</v>
      </c>
      <c r="F390" s="176" t="str">
        <f t="shared" si="18"/>
        <v>钻石</v>
      </c>
      <c r="G390" s="176">
        <f>高难主线关卡!AC13</f>
        <v>50</v>
      </c>
      <c r="H390" s="176">
        <f t="shared" si="19"/>
        <v>50</v>
      </c>
      <c r="I390" s="174" t="s">
        <v>574</v>
      </c>
    </row>
    <row r="391" ht="22" customHeight="1" spans="1:9">
      <c r="A391" s="174" t="s">
        <v>23</v>
      </c>
      <c r="B391" s="174" t="s">
        <v>230</v>
      </c>
      <c r="C391" s="174" t="s">
        <v>231</v>
      </c>
      <c r="D391" s="174" t="s">
        <v>237</v>
      </c>
      <c r="E391" s="176" t="s">
        <v>5</v>
      </c>
      <c r="F391" s="176" t="str">
        <f t="shared" si="18"/>
        <v>钻石</v>
      </c>
      <c r="G391" s="176">
        <f>高难主线关卡!AC14</f>
        <v>50</v>
      </c>
      <c r="H391" s="176">
        <f t="shared" si="19"/>
        <v>50</v>
      </c>
      <c r="I391" s="174" t="s">
        <v>574</v>
      </c>
    </row>
    <row r="392" ht="22" customHeight="1" spans="1:9">
      <c r="A392" s="174" t="s">
        <v>23</v>
      </c>
      <c r="B392" s="174" t="s">
        <v>230</v>
      </c>
      <c r="C392" s="174" t="s">
        <v>231</v>
      </c>
      <c r="D392" s="174" t="s">
        <v>238</v>
      </c>
      <c r="E392" s="176" t="s">
        <v>5</v>
      </c>
      <c r="F392" s="176" t="str">
        <f t="shared" si="18"/>
        <v>钻石</v>
      </c>
      <c r="G392" s="176">
        <f>高难主线关卡!AC15</f>
        <v>50</v>
      </c>
      <c r="H392" s="176">
        <f t="shared" si="19"/>
        <v>50</v>
      </c>
      <c r="I392" s="174" t="s">
        <v>574</v>
      </c>
    </row>
    <row r="393" ht="22" customHeight="1" spans="1:9">
      <c r="A393" s="174" t="s">
        <v>23</v>
      </c>
      <c r="B393" s="174" t="s">
        <v>230</v>
      </c>
      <c r="C393" s="174" t="s">
        <v>231</v>
      </c>
      <c r="D393" s="174" t="s">
        <v>239</v>
      </c>
      <c r="E393" s="176" t="s">
        <v>5</v>
      </c>
      <c r="F393" s="176" t="str">
        <f t="shared" si="18"/>
        <v>钻石</v>
      </c>
      <c r="G393" s="176">
        <f>高难主线关卡!AC16</f>
        <v>50</v>
      </c>
      <c r="H393" s="176">
        <f t="shared" si="19"/>
        <v>50</v>
      </c>
      <c r="I393" s="174" t="s">
        <v>574</v>
      </c>
    </row>
    <row r="394" ht="22" customHeight="1" spans="1:9">
      <c r="A394" s="174" t="s">
        <v>23</v>
      </c>
      <c r="B394" s="174" t="s">
        <v>230</v>
      </c>
      <c r="C394" s="174" t="s">
        <v>231</v>
      </c>
      <c r="D394" s="174" t="s">
        <v>240</v>
      </c>
      <c r="E394" s="176" t="s">
        <v>5</v>
      </c>
      <c r="F394" s="176" t="str">
        <f t="shared" si="18"/>
        <v>钻石</v>
      </c>
      <c r="G394" s="176">
        <f>高难主线关卡!AC17</f>
        <v>50</v>
      </c>
      <c r="H394" s="176">
        <f t="shared" si="19"/>
        <v>50</v>
      </c>
      <c r="I394" s="174" t="s">
        <v>574</v>
      </c>
    </row>
    <row r="395" ht="22" customHeight="1" spans="1:9">
      <c r="A395" s="174" t="s">
        <v>23</v>
      </c>
      <c r="B395" s="174" t="s">
        <v>230</v>
      </c>
      <c r="C395" s="174" t="s">
        <v>231</v>
      </c>
      <c r="D395" s="174" t="s">
        <v>241</v>
      </c>
      <c r="E395" s="176" t="s">
        <v>5</v>
      </c>
      <c r="F395" s="176" t="str">
        <f t="shared" si="18"/>
        <v>钻石</v>
      </c>
      <c r="G395" s="176">
        <f>高难主线关卡!AC18</f>
        <v>50</v>
      </c>
      <c r="H395" s="176">
        <f t="shared" si="19"/>
        <v>50</v>
      </c>
      <c r="I395" s="174" t="s">
        <v>574</v>
      </c>
    </row>
    <row r="396" ht="22" customHeight="1" spans="1:9">
      <c r="A396" s="174" t="s">
        <v>23</v>
      </c>
      <c r="B396" s="174" t="s">
        <v>230</v>
      </c>
      <c r="C396" s="174" t="s">
        <v>231</v>
      </c>
      <c r="D396" s="174" t="s">
        <v>242</v>
      </c>
      <c r="E396" s="176" t="s">
        <v>5</v>
      </c>
      <c r="F396" s="176" t="str">
        <f t="shared" si="18"/>
        <v>钻石</v>
      </c>
      <c r="G396" s="176">
        <f>高难主线关卡!AC19</f>
        <v>50</v>
      </c>
      <c r="H396" s="176">
        <f t="shared" si="19"/>
        <v>50</v>
      </c>
      <c r="I396" s="174" t="s">
        <v>574</v>
      </c>
    </row>
    <row r="397" ht="22" customHeight="1" spans="1:9">
      <c r="A397" s="174" t="s">
        <v>23</v>
      </c>
      <c r="B397" s="174" t="s">
        <v>230</v>
      </c>
      <c r="C397" s="174" t="s">
        <v>231</v>
      </c>
      <c r="D397" s="174" t="s">
        <v>243</v>
      </c>
      <c r="E397" s="176" t="s">
        <v>5</v>
      </c>
      <c r="F397" s="176" t="str">
        <f t="shared" si="18"/>
        <v>钻石</v>
      </c>
      <c r="G397" s="176">
        <f>高难主线关卡!AC20</f>
        <v>50</v>
      </c>
      <c r="H397" s="176">
        <f t="shared" si="19"/>
        <v>50</v>
      </c>
      <c r="I397" s="174" t="s">
        <v>574</v>
      </c>
    </row>
    <row r="398" ht="22" customHeight="1" spans="1:9">
      <c r="A398" s="174" t="s">
        <v>23</v>
      </c>
      <c r="B398" s="174" t="s">
        <v>230</v>
      </c>
      <c r="C398" s="174" t="s">
        <v>231</v>
      </c>
      <c r="D398" s="174" t="s">
        <v>244</v>
      </c>
      <c r="E398" s="176" t="s">
        <v>5</v>
      </c>
      <c r="F398" s="176" t="str">
        <f t="shared" si="18"/>
        <v>钻石</v>
      </c>
      <c r="G398" s="176">
        <f>高难主线关卡!AC21</f>
        <v>50</v>
      </c>
      <c r="H398" s="176">
        <f t="shared" si="19"/>
        <v>50</v>
      </c>
      <c r="I398" s="174" t="s">
        <v>574</v>
      </c>
    </row>
    <row r="399" ht="22" customHeight="1" spans="1:9">
      <c r="A399" s="174" t="s">
        <v>23</v>
      </c>
      <c r="B399" s="174" t="s">
        <v>230</v>
      </c>
      <c r="C399" s="174" t="s">
        <v>231</v>
      </c>
      <c r="D399" s="174" t="s">
        <v>245</v>
      </c>
      <c r="E399" s="176" t="s">
        <v>5</v>
      </c>
      <c r="F399" s="176" t="str">
        <f t="shared" si="18"/>
        <v>钻石</v>
      </c>
      <c r="G399" s="176">
        <f>高难主线关卡!AC22</f>
        <v>50</v>
      </c>
      <c r="H399" s="176">
        <f t="shared" si="19"/>
        <v>50</v>
      </c>
      <c r="I399" s="174" t="s">
        <v>574</v>
      </c>
    </row>
    <row r="400" ht="22" customHeight="1" spans="1:9">
      <c r="A400" s="174" t="s">
        <v>23</v>
      </c>
      <c r="B400" s="174" t="s">
        <v>230</v>
      </c>
      <c r="C400" s="174" t="s">
        <v>231</v>
      </c>
      <c r="D400" s="174" t="s">
        <v>246</v>
      </c>
      <c r="E400" s="176" t="s">
        <v>5</v>
      </c>
      <c r="F400" s="176" t="str">
        <f t="shared" si="18"/>
        <v>钻石</v>
      </c>
      <c r="G400" s="176">
        <f>高难主线关卡!AC8</f>
        <v>50</v>
      </c>
      <c r="H400" s="176">
        <f t="shared" si="19"/>
        <v>50</v>
      </c>
      <c r="I400" s="174" t="s">
        <v>574</v>
      </c>
    </row>
    <row r="401" ht="22" customHeight="1" spans="1:9">
      <c r="A401" s="174" t="s">
        <v>23</v>
      </c>
      <c r="B401" s="174" t="s">
        <v>230</v>
      </c>
      <c r="C401" s="174" t="s">
        <v>231</v>
      </c>
      <c r="D401" s="174" t="s">
        <v>247</v>
      </c>
      <c r="E401" s="176" t="s">
        <v>5</v>
      </c>
      <c r="F401" s="176" t="str">
        <f t="shared" si="18"/>
        <v>钻石</v>
      </c>
      <c r="G401" s="176">
        <f>高难主线关卡!AC9</f>
        <v>50</v>
      </c>
      <c r="H401" s="176">
        <f t="shared" si="19"/>
        <v>50</v>
      </c>
      <c r="I401" s="174" t="s">
        <v>574</v>
      </c>
    </row>
    <row r="402" ht="22" customHeight="1" spans="1:9">
      <c r="A402" s="88" t="s">
        <v>267</v>
      </c>
      <c r="B402" s="88" t="s">
        <v>230</v>
      </c>
      <c r="C402" s="88" t="s">
        <v>575</v>
      </c>
      <c r="D402" s="88" t="s">
        <v>141</v>
      </c>
      <c r="E402" s="88" t="str">
        <f>世界boss!D6</f>
        <v>钻石</v>
      </c>
      <c r="F402" s="88" t="str">
        <f t="shared" si="18"/>
        <v>钻石</v>
      </c>
      <c r="G402" s="88">
        <f>世界boss!E6</f>
        <v>50</v>
      </c>
      <c r="H402" s="88">
        <f t="shared" si="19"/>
        <v>50</v>
      </c>
      <c r="I402" s="263" t="s">
        <v>576</v>
      </c>
    </row>
    <row r="403" ht="22" customHeight="1" spans="1:9">
      <c r="A403" s="88" t="s">
        <v>267</v>
      </c>
      <c r="B403" s="88" t="s">
        <v>230</v>
      </c>
      <c r="C403" s="88" t="s">
        <v>575</v>
      </c>
      <c r="D403" s="88" t="s">
        <v>148</v>
      </c>
      <c r="E403" s="88" t="str">
        <f>世界boss!D7</f>
        <v>钻石</v>
      </c>
      <c r="F403" s="88" t="str">
        <f t="shared" si="18"/>
        <v>钻石</v>
      </c>
      <c r="G403" s="88">
        <f>世界boss!E7</f>
        <v>50</v>
      </c>
      <c r="H403" s="88">
        <f t="shared" si="19"/>
        <v>50</v>
      </c>
      <c r="I403" s="263" t="s">
        <v>576</v>
      </c>
    </row>
    <row r="404" ht="14.25" customHeight="1" spans="1:9">
      <c r="A404" s="88" t="s">
        <v>267</v>
      </c>
      <c r="B404" s="88" t="s">
        <v>230</v>
      </c>
      <c r="C404" s="88" t="s">
        <v>575</v>
      </c>
      <c r="D404" s="88" t="s">
        <v>149</v>
      </c>
      <c r="E404" s="88" t="str">
        <f>世界boss!D8</f>
        <v>钻石</v>
      </c>
      <c r="F404" s="88" t="str">
        <f t="shared" ref="F404:F467" si="20">IF(E404="钻石","钻石",IF(ISNUMBER(SEARCH("角色抽卡券限时",E404)),"角色抽卡券限时",IF(ISNUMBER(SEARCH("专武抽卡券限时",E404)),"专武抽卡券限时",IF(ISNUMBER(SEARCH("角色抽卡券",E404)),"角色抽卡券普通",IF(ISNUMBER(SEARCH("专武抽卡券",E404)),"专武抽卡券普通","")))))</f>
        <v>钻石</v>
      </c>
      <c r="G404" s="88">
        <f>世界boss!E8</f>
        <v>50</v>
      </c>
      <c r="H404" s="88">
        <f t="shared" ref="H404:H467" si="21">IF(F404="",0,IF(F404="钻石",G404,G404*150))</f>
        <v>50</v>
      </c>
      <c r="I404" s="263" t="s">
        <v>576</v>
      </c>
    </row>
    <row r="405" ht="14.25" customHeight="1" spans="1:9">
      <c r="A405" s="88" t="s">
        <v>267</v>
      </c>
      <c r="B405" s="88" t="s">
        <v>230</v>
      </c>
      <c r="C405" s="88" t="s">
        <v>575</v>
      </c>
      <c r="D405" s="88" t="s">
        <v>150</v>
      </c>
      <c r="E405" s="88" t="str">
        <f>世界boss!D9</f>
        <v>钻石</v>
      </c>
      <c r="F405" s="88" t="str">
        <f t="shared" si="20"/>
        <v>钻石</v>
      </c>
      <c r="G405" s="88">
        <f>世界boss!E9</f>
        <v>50</v>
      </c>
      <c r="H405" s="88">
        <f t="shared" si="21"/>
        <v>50</v>
      </c>
      <c r="I405" s="263" t="s">
        <v>576</v>
      </c>
    </row>
    <row r="406" ht="14.25" customHeight="1" spans="1:9">
      <c r="A406" s="88" t="s">
        <v>267</v>
      </c>
      <c r="B406" s="88" t="s">
        <v>230</v>
      </c>
      <c r="C406" s="88" t="s">
        <v>575</v>
      </c>
      <c r="D406" s="88" t="s">
        <v>91</v>
      </c>
      <c r="E406" s="88" t="str">
        <f>世界boss!D10</f>
        <v>钻石</v>
      </c>
      <c r="F406" s="88" t="str">
        <f t="shared" si="20"/>
        <v>钻石</v>
      </c>
      <c r="G406" s="88">
        <f>世界boss!E10</f>
        <v>50</v>
      </c>
      <c r="H406" s="88">
        <f t="shared" si="21"/>
        <v>50</v>
      </c>
      <c r="I406" s="263" t="s">
        <v>576</v>
      </c>
    </row>
    <row r="407" ht="14.25" customHeight="1" spans="1:9">
      <c r="A407" s="88" t="s">
        <v>267</v>
      </c>
      <c r="B407" s="88" t="s">
        <v>230</v>
      </c>
      <c r="C407" s="88" t="s">
        <v>575</v>
      </c>
      <c r="D407" s="88" t="s">
        <v>577</v>
      </c>
      <c r="E407" s="88" t="str">
        <f>世界boss!G10</f>
        <v>专武抽卡券普通</v>
      </c>
      <c r="F407" s="88" t="str">
        <f t="shared" si="20"/>
        <v>专武抽卡券普通</v>
      </c>
      <c r="G407" s="88">
        <f>世界boss!H10</f>
        <v>3</v>
      </c>
      <c r="H407" s="88">
        <f t="shared" si="21"/>
        <v>450</v>
      </c>
      <c r="I407" s="263" t="s">
        <v>576</v>
      </c>
    </row>
    <row r="408" ht="14.25" customHeight="1" spans="1:9">
      <c r="A408" s="88" t="s">
        <v>267</v>
      </c>
      <c r="B408" s="88" t="s">
        <v>230</v>
      </c>
      <c r="C408" s="88" t="s">
        <v>575</v>
      </c>
      <c r="D408" s="88" t="s">
        <v>92</v>
      </c>
      <c r="E408" s="88" t="str">
        <f>世界boss!D11</f>
        <v>钻石</v>
      </c>
      <c r="F408" s="88" t="str">
        <f t="shared" si="20"/>
        <v>钻石</v>
      </c>
      <c r="G408" s="88">
        <f>世界boss!E11</f>
        <v>100</v>
      </c>
      <c r="H408" s="88">
        <f t="shared" si="21"/>
        <v>100</v>
      </c>
      <c r="I408" s="263" t="s">
        <v>576</v>
      </c>
    </row>
    <row r="409" ht="14.25" customHeight="1" spans="1:9">
      <c r="A409" s="88" t="s">
        <v>267</v>
      </c>
      <c r="B409" s="88" t="s">
        <v>230</v>
      </c>
      <c r="C409" s="88" t="s">
        <v>575</v>
      </c>
      <c r="D409" s="88" t="s">
        <v>93</v>
      </c>
      <c r="E409" s="88" t="str">
        <f>世界boss!D12</f>
        <v>钻石</v>
      </c>
      <c r="F409" s="88" t="str">
        <f t="shared" si="20"/>
        <v>钻石</v>
      </c>
      <c r="G409" s="88">
        <f>世界boss!E12</f>
        <v>100</v>
      </c>
      <c r="H409" s="88">
        <f t="shared" si="21"/>
        <v>100</v>
      </c>
      <c r="I409" s="263" t="s">
        <v>576</v>
      </c>
    </row>
    <row r="410" ht="14.25" customHeight="1" spans="1:9">
      <c r="A410" s="88" t="s">
        <v>267</v>
      </c>
      <c r="B410" s="88" t="s">
        <v>230</v>
      </c>
      <c r="C410" s="88" t="s">
        <v>575</v>
      </c>
      <c r="D410" s="88" t="s">
        <v>94</v>
      </c>
      <c r="E410" s="88" t="str">
        <f>世界boss!D13</f>
        <v>钻石</v>
      </c>
      <c r="F410" s="88" t="str">
        <f t="shared" si="20"/>
        <v>钻石</v>
      </c>
      <c r="G410" s="88">
        <f>世界boss!E13</f>
        <v>100</v>
      </c>
      <c r="H410" s="88">
        <f t="shared" si="21"/>
        <v>100</v>
      </c>
      <c r="I410" s="263" t="s">
        <v>576</v>
      </c>
    </row>
    <row r="411" ht="14.25" customHeight="1" spans="1:9">
      <c r="A411" s="88" t="s">
        <v>267</v>
      </c>
      <c r="B411" s="88" t="s">
        <v>230</v>
      </c>
      <c r="C411" s="88" t="s">
        <v>575</v>
      </c>
      <c r="D411" s="88" t="s">
        <v>95</v>
      </c>
      <c r="E411" s="88" t="str">
        <f>世界boss!D14</f>
        <v>钻石</v>
      </c>
      <c r="F411" s="88" t="str">
        <f t="shared" si="20"/>
        <v>钻石</v>
      </c>
      <c r="G411" s="88">
        <f>世界boss!E14</f>
        <v>200</v>
      </c>
      <c r="H411" s="88">
        <f t="shared" si="21"/>
        <v>200</v>
      </c>
      <c r="I411" s="263" t="s">
        <v>576</v>
      </c>
    </row>
    <row r="412" ht="14.25" customHeight="1" spans="1:9">
      <c r="A412" s="88" t="s">
        <v>267</v>
      </c>
      <c r="B412" s="88" t="s">
        <v>230</v>
      </c>
      <c r="C412" s="88" t="s">
        <v>575</v>
      </c>
      <c r="D412" s="88" t="s">
        <v>96</v>
      </c>
      <c r="E412" s="88" t="str">
        <f>世界boss!D15</f>
        <v>钻石</v>
      </c>
      <c r="F412" s="88" t="str">
        <f t="shared" si="20"/>
        <v>钻石</v>
      </c>
      <c r="G412" s="88">
        <f>世界boss!E15</f>
        <v>200</v>
      </c>
      <c r="H412" s="88">
        <f t="shared" si="21"/>
        <v>200</v>
      </c>
      <c r="I412" s="263" t="s">
        <v>576</v>
      </c>
    </row>
    <row r="413" ht="14.25" customHeight="1" spans="1:9">
      <c r="A413" s="88" t="s">
        <v>267</v>
      </c>
      <c r="B413" s="88" t="s">
        <v>230</v>
      </c>
      <c r="C413" s="88" t="s">
        <v>575</v>
      </c>
      <c r="D413" s="88" t="s">
        <v>578</v>
      </c>
      <c r="E413" s="88" t="str">
        <f>世界boss!G15</f>
        <v>暗物质时空炮</v>
      </c>
      <c r="F413" s="88" t="str">
        <f t="shared" si="20"/>
        <v/>
      </c>
      <c r="G413" s="88">
        <f>世界boss!H15</f>
        <v>1</v>
      </c>
      <c r="H413" s="88">
        <f t="shared" si="21"/>
        <v>0</v>
      </c>
      <c r="I413" s="263" t="s">
        <v>576</v>
      </c>
    </row>
    <row r="414" ht="14.25" customHeight="1" spans="1:9">
      <c r="A414" s="88" t="s">
        <v>267</v>
      </c>
      <c r="B414" s="88" t="s">
        <v>230</v>
      </c>
      <c r="C414" s="88" t="s">
        <v>575</v>
      </c>
      <c r="D414" s="88" t="s">
        <v>97</v>
      </c>
      <c r="E414" s="88" t="str">
        <f>世界boss!D16</f>
        <v>钻石</v>
      </c>
      <c r="F414" s="88" t="str">
        <f t="shared" si="20"/>
        <v>钻石</v>
      </c>
      <c r="G414" s="88">
        <f>世界boss!E16</f>
        <v>50</v>
      </c>
      <c r="H414" s="88">
        <f t="shared" si="21"/>
        <v>50</v>
      </c>
      <c r="I414" s="263" t="s">
        <v>576</v>
      </c>
    </row>
    <row r="415" ht="14.25" customHeight="1" spans="1:9">
      <c r="A415" s="88" t="s">
        <v>267</v>
      </c>
      <c r="B415" s="88" t="s">
        <v>230</v>
      </c>
      <c r="C415" s="88" t="s">
        <v>575</v>
      </c>
      <c r="D415" s="88" t="s">
        <v>98</v>
      </c>
      <c r="E415" s="88" t="str">
        <f>世界boss!D17</f>
        <v>钻石</v>
      </c>
      <c r="F415" s="88" t="str">
        <f t="shared" si="20"/>
        <v>钻石</v>
      </c>
      <c r="G415" s="88">
        <f>世界boss!E17</f>
        <v>50</v>
      </c>
      <c r="H415" s="88">
        <f t="shared" si="21"/>
        <v>50</v>
      </c>
      <c r="I415" s="263" t="s">
        <v>576</v>
      </c>
    </row>
    <row r="416" ht="14.25" customHeight="1" spans="1:9">
      <c r="A416" s="88" t="s">
        <v>267</v>
      </c>
      <c r="B416" s="88" t="s">
        <v>230</v>
      </c>
      <c r="C416" s="88" t="s">
        <v>575</v>
      </c>
      <c r="D416" s="88" t="s">
        <v>99</v>
      </c>
      <c r="E416" s="88" t="str">
        <f>世界boss!D18</f>
        <v>钻石</v>
      </c>
      <c r="F416" s="88" t="str">
        <f t="shared" si="20"/>
        <v>钻石</v>
      </c>
      <c r="G416" s="88">
        <f>世界boss!E18</f>
        <v>50</v>
      </c>
      <c r="H416" s="88">
        <f t="shared" si="21"/>
        <v>50</v>
      </c>
      <c r="I416" s="263" t="s">
        <v>576</v>
      </c>
    </row>
    <row r="417" ht="14.25" customHeight="1" spans="1:9">
      <c r="A417" s="88" t="s">
        <v>267</v>
      </c>
      <c r="B417" s="88" t="s">
        <v>230</v>
      </c>
      <c r="C417" s="88" t="s">
        <v>575</v>
      </c>
      <c r="D417" s="88" t="s">
        <v>100</v>
      </c>
      <c r="E417" s="88" t="str">
        <f>世界boss!D19</f>
        <v>钻石</v>
      </c>
      <c r="F417" s="88" t="str">
        <f t="shared" si="20"/>
        <v>钻石</v>
      </c>
      <c r="G417" s="88">
        <f>世界boss!E19</f>
        <v>50</v>
      </c>
      <c r="H417" s="88">
        <f t="shared" si="21"/>
        <v>50</v>
      </c>
      <c r="I417" s="263" t="s">
        <v>576</v>
      </c>
    </row>
    <row r="418" ht="14.25" customHeight="1" spans="1:9">
      <c r="A418" s="88" t="s">
        <v>267</v>
      </c>
      <c r="B418" s="88" t="s">
        <v>230</v>
      </c>
      <c r="C418" s="88" t="s">
        <v>575</v>
      </c>
      <c r="D418" s="88" t="s">
        <v>101</v>
      </c>
      <c r="E418" s="88" t="str">
        <f>世界boss!D20</f>
        <v>钻石</v>
      </c>
      <c r="F418" s="88" t="str">
        <f t="shared" si="20"/>
        <v>钻石</v>
      </c>
      <c r="G418" s="88">
        <f>世界boss!E20</f>
        <v>50</v>
      </c>
      <c r="H418" s="88">
        <f t="shared" si="21"/>
        <v>50</v>
      </c>
      <c r="I418" s="263" t="s">
        <v>576</v>
      </c>
    </row>
    <row r="419" ht="14.25" customHeight="1" spans="1:9">
      <c r="A419" s="88" t="s">
        <v>267</v>
      </c>
      <c r="B419" s="88" t="s">
        <v>230</v>
      </c>
      <c r="C419" s="88" t="s">
        <v>575</v>
      </c>
      <c r="D419" s="88" t="s">
        <v>579</v>
      </c>
      <c r="E419" s="88" t="str">
        <f>世界boss!G20</f>
        <v>专武抽卡券普通</v>
      </c>
      <c r="F419" s="88" t="str">
        <f t="shared" si="20"/>
        <v>专武抽卡券普通</v>
      </c>
      <c r="G419" s="88">
        <f>世界boss!H20</f>
        <v>3</v>
      </c>
      <c r="H419" s="88">
        <f t="shared" si="21"/>
        <v>450</v>
      </c>
      <c r="I419" s="263" t="s">
        <v>576</v>
      </c>
    </row>
    <row r="420" ht="14.25" customHeight="1" spans="1:9">
      <c r="A420" s="88" t="s">
        <v>267</v>
      </c>
      <c r="B420" s="88" t="s">
        <v>230</v>
      </c>
      <c r="C420" s="88" t="s">
        <v>575</v>
      </c>
      <c r="D420" s="88" t="s">
        <v>102</v>
      </c>
      <c r="E420" s="88" t="str">
        <f>世界boss!D21</f>
        <v>钻石</v>
      </c>
      <c r="F420" s="88" t="str">
        <f t="shared" si="20"/>
        <v>钻石</v>
      </c>
      <c r="G420" s="88">
        <f>世界boss!E21</f>
        <v>100</v>
      </c>
      <c r="H420" s="88">
        <f t="shared" si="21"/>
        <v>100</v>
      </c>
      <c r="I420" s="263" t="s">
        <v>576</v>
      </c>
    </row>
    <row r="421" ht="14.25" customHeight="1" spans="1:9">
      <c r="A421" s="88" t="s">
        <v>267</v>
      </c>
      <c r="B421" s="88" t="s">
        <v>230</v>
      </c>
      <c r="C421" s="88" t="s">
        <v>575</v>
      </c>
      <c r="D421" s="88" t="s">
        <v>103</v>
      </c>
      <c r="E421" s="88" t="str">
        <f>世界boss!D22</f>
        <v>钻石</v>
      </c>
      <c r="F421" s="88" t="str">
        <f t="shared" si="20"/>
        <v>钻石</v>
      </c>
      <c r="G421" s="88">
        <f>世界boss!E22</f>
        <v>100</v>
      </c>
      <c r="H421" s="88">
        <f t="shared" si="21"/>
        <v>100</v>
      </c>
      <c r="I421" s="263" t="s">
        <v>576</v>
      </c>
    </row>
    <row r="422" ht="14.25" customHeight="1" spans="1:9">
      <c r="A422" s="88" t="s">
        <v>267</v>
      </c>
      <c r="B422" s="88" t="s">
        <v>230</v>
      </c>
      <c r="C422" s="88" t="s">
        <v>575</v>
      </c>
      <c r="D422" s="88" t="s">
        <v>104</v>
      </c>
      <c r="E422" s="88" t="str">
        <f>世界boss!D23</f>
        <v>钻石</v>
      </c>
      <c r="F422" s="88" t="str">
        <f t="shared" si="20"/>
        <v>钻石</v>
      </c>
      <c r="G422" s="88">
        <f>世界boss!E23</f>
        <v>100</v>
      </c>
      <c r="H422" s="88">
        <f t="shared" si="21"/>
        <v>100</v>
      </c>
      <c r="I422" s="263" t="s">
        <v>576</v>
      </c>
    </row>
    <row r="423" ht="14.25" customHeight="1" spans="1:9">
      <c r="A423" s="88" t="s">
        <v>267</v>
      </c>
      <c r="B423" s="88" t="s">
        <v>230</v>
      </c>
      <c r="C423" s="88" t="s">
        <v>575</v>
      </c>
      <c r="D423" s="88" t="s">
        <v>105</v>
      </c>
      <c r="E423" s="88" t="str">
        <f>世界boss!D24</f>
        <v>钻石</v>
      </c>
      <c r="F423" s="88" t="str">
        <f t="shared" si="20"/>
        <v>钻石</v>
      </c>
      <c r="G423" s="88">
        <f>世界boss!E24</f>
        <v>200</v>
      </c>
      <c r="H423" s="88">
        <f t="shared" si="21"/>
        <v>200</v>
      </c>
      <c r="I423" s="263" t="s">
        <v>576</v>
      </c>
    </row>
    <row r="424" ht="14.25" customHeight="1" spans="1:9">
      <c r="A424" s="88" t="s">
        <v>267</v>
      </c>
      <c r="B424" s="88" t="s">
        <v>230</v>
      </c>
      <c r="C424" s="88" t="s">
        <v>575</v>
      </c>
      <c r="D424" s="88" t="s">
        <v>106</v>
      </c>
      <c r="E424" s="88" t="str">
        <f>世界boss!D25</f>
        <v>钻石</v>
      </c>
      <c r="F424" s="88" t="str">
        <f t="shared" si="20"/>
        <v>钻石</v>
      </c>
      <c r="G424" s="88">
        <f>世界boss!E25</f>
        <v>200</v>
      </c>
      <c r="H424" s="88">
        <f t="shared" si="21"/>
        <v>200</v>
      </c>
      <c r="I424" s="263" t="s">
        <v>576</v>
      </c>
    </row>
    <row r="425" ht="14.25" customHeight="1" spans="1:9">
      <c r="A425" s="88" t="s">
        <v>267</v>
      </c>
      <c r="B425" s="88" t="s">
        <v>230</v>
      </c>
      <c r="C425" s="88" t="s">
        <v>575</v>
      </c>
      <c r="D425" s="88" t="s">
        <v>580</v>
      </c>
      <c r="E425" s="88" t="str">
        <f>世界boss!G25</f>
        <v>液态聚合盔甲</v>
      </c>
      <c r="F425" s="88" t="str">
        <f t="shared" si="20"/>
        <v/>
      </c>
      <c r="G425" s="88">
        <f>世界boss!H25</f>
        <v>1</v>
      </c>
      <c r="H425" s="88">
        <f t="shared" si="21"/>
        <v>0</v>
      </c>
      <c r="I425" s="263" t="s">
        <v>576</v>
      </c>
    </row>
    <row r="426" ht="14.25" customHeight="1" spans="1:9">
      <c r="A426" s="88" t="s">
        <v>267</v>
      </c>
      <c r="B426" s="88" t="s">
        <v>230</v>
      </c>
      <c r="C426" s="88" t="s">
        <v>575</v>
      </c>
      <c r="D426" s="88" t="s">
        <v>107</v>
      </c>
      <c r="E426" s="88" t="str">
        <f>世界boss!D26</f>
        <v>钻石</v>
      </c>
      <c r="F426" s="88" t="str">
        <f t="shared" si="20"/>
        <v>钻石</v>
      </c>
      <c r="G426" s="88">
        <f>世界boss!E26</f>
        <v>50</v>
      </c>
      <c r="H426" s="88">
        <f t="shared" si="21"/>
        <v>50</v>
      </c>
      <c r="I426" s="263" t="s">
        <v>576</v>
      </c>
    </row>
    <row r="427" ht="14.25" customHeight="1" spans="1:9">
      <c r="A427" s="88" t="s">
        <v>267</v>
      </c>
      <c r="B427" s="88" t="s">
        <v>230</v>
      </c>
      <c r="C427" s="88" t="s">
        <v>575</v>
      </c>
      <c r="D427" s="88" t="s">
        <v>108</v>
      </c>
      <c r="E427" s="88" t="str">
        <f>世界boss!D27</f>
        <v>钻石</v>
      </c>
      <c r="F427" s="88" t="str">
        <f t="shared" si="20"/>
        <v>钻石</v>
      </c>
      <c r="G427" s="88">
        <f>世界boss!E27</f>
        <v>50</v>
      </c>
      <c r="H427" s="88">
        <f t="shared" si="21"/>
        <v>50</v>
      </c>
      <c r="I427" s="263" t="s">
        <v>576</v>
      </c>
    </row>
    <row r="428" ht="14.25" customHeight="1" spans="1:9">
      <c r="A428" s="88" t="s">
        <v>267</v>
      </c>
      <c r="B428" s="88" t="s">
        <v>230</v>
      </c>
      <c r="C428" s="88" t="s">
        <v>575</v>
      </c>
      <c r="D428" s="88" t="s">
        <v>109</v>
      </c>
      <c r="E428" s="88" t="str">
        <f>世界boss!D28</f>
        <v>钻石</v>
      </c>
      <c r="F428" s="88" t="str">
        <f t="shared" si="20"/>
        <v>钻石</v>
      </c>
      <c r="G428" s="88">
        <f>世界boss!E28</f>
        <v>50</v>
      </c>
      <c r="H428" s="88">
        <f t="shared" si="21"/>
        <v>50</v>
      </c>
      <c r="I428" s="263" t="s">
        <v>576</v>
      </c>
    </row>
    <row r="429" ht="14.25" customHeight="1" spans="1:9">
      <c r="A429" s="88" t="s">
        <v>267</v>
      </c>
      <c r="B429" s="88" t="s">
        <v>230</v>
      </c>
      <c r="C429" s="88" t="s">
        <v>575</v>
      </c>
      <c r="D429" s="88" t="s">
        <v>110</v>
      </c>
      <c r="E429" s="88" t="str">
        <f>世界boss!D29</f>
        <v>钻石</v>
      </c>
      <c r="F429" s="88" t="str">
        <f t="shared" si="20"/>
        <v>钻石</v>
      </c>
      <c r="G429" s="88">
        <f>世界boss!E29</f>
        <v>50</v>
      </c>
      <c r="H429" s="88">
        <f t="shared" si="21"/>
        <v>50</v>
      </c>
      <c r="I429" s="263" t="s">
        <v>576</v>
      </c>
    </row>
    <row r="430" ht="14.25" customHeight="1" spans="1:9">
      <c r="A430" s="88" t="s">
        <v>267</v>
      </c>
      <c r="B430" s="88" t="s">
        <v>230</v>
      </c>
      <c r="C430" s="88" t="s">
        <v>575</v>
      </c>
      <c r="D430" s="88" t="s">
        <v>111</v>
      </c>
      <c r="E430" s="88" t="str">
        <f>世界boss!D30</f>
        <v>钻石</v>
      </c>
      <c r="F430" s="88" t="str">
        <f t="shared" si="20"/>
        <v>钻石</v>
      </c>
      <c r="G430" s="88">
        <f>世界boss!E30</f>
        <v>50</v>
      </c>
      <c r="H430" s="88">
        <f t="shared" si="21"/>
        <v>50</v>
      </c>
      <c r="I430" s="263" t="s">
        <v>576</v>
      </c>
    </row>
    <row r="431" ht="14.25" customHeight="1" spans="1:9">
      <c r="A431" s="88" t="s">
        <v>267</v>
      </c>
      <c r="B431" s="88" t="s">
        <v>230</v>
      </c>
      <c r="C431" s="88" t="s">
        <v>575</v>
      </c>
      <c r="D431" s="88" t="s">
        <v>581</v>
      </c>
      <c r="E431" s="88" t="str">
        <f>世界boss!G30</f>
        <v>专武抽卡券普通</v>
      </c>
      <c r="F431" s="88" t="str">
        <f t="shared" si="20"/>
        <v>专武抽卡券普通</v>
      </c>
      <c r="G431" s="88">
        <f>世界boss!H30</f>
        <v>3</v>
      </c>
      <c r="H431" s="88">
        <f t="shared" si="21"/>
        <v>450</v>
      </c>
      <c r="I431" s="263" t="s">
        <v>576</v>
      </c>
    </row>
    <row r="432" ht="14.25" customHeight="1" spans="1:9">
      <c r="A432" s="88" t="s">
        <v>267</v>
      </c>
      <c r="B432" s="88" t="s">
        <v>230</v>
      </c>
      <c r="C432" s="88" t="s">
        <v>575</v>
      </c>
      <c r="D432" s="88" t="s">
        <v>112</v>
      </c>
      <c r="E432" s="88" t="str">
        <f>世界boss!D31</f>
        <v>钻石</v>
      </c>
      <c r="F432" s="88" t="str">
        <f t="shared" si="20"/>
        <v>钻石</v>
      </c>
      <c r="G432" s="88">
        <f>世界boss!E31</f>
        <v>100</v>
      </c>
      <c r="H432" s="88">
        <f t="shared" si="21"/>
        <v>100</v>
      </c>
      <c r="I432" s="263" t="s">
        <v>576</v>
      </c>
    </row>
    <row r="433" ht="14.25" customHeight="1" spans="1:9">
      <c r="A433" s="88" t="s">
        <v>267</v>
      </c>
      <c r="B433" s="88" t="s">
        <v>230</v>
      </c>
      <c r="C433" s="88" t="s">
        <v>575</v>
      </c>
      <c r="D433" s="88" t="s">
        <v>113</v>
      </c>
      <c r="E433" s="88" t="str">
        <f>世界boss!D32</f>
        <v>钻石</v>
      </c>
      <c r="F433" s="88" t="str">
        <f t="shared" si="20"/>
        <v>钻石</v>
      </c>
      <c r="G433" s="88">
        <f>世界boss!E32</f>
        <v>100</v>
      </c>
      <c r="H433" s="88">
        <f t="shared" si="21"/>
        <v>100</v>
      </c>
      <c r="I433" s="263" t="s">
        <v>576</v>
      </c>
    </row>
    <row r="434" ht="14.25" customHeight="1" spans="1:9">
      <c r="A434" s="88" t="s">
        <v>267</v>
      </c>
      <c r="B434" s="88" t="s">
        <v>230</v>
      </c>
      <c r="C434" s="88" t="s">
        <v>575</v>
      </c>
      <c r="D434" s="88" t="s">
        <v>114</v>
      </c>
      <c r="E434" s="88" t="str">
        <f>世界boss!D33</f>
        <v>钻石</v>
      </c>
      <c r="F434" s="88" t="str">
        <f t="shared" si="20"/>
        <v>钻石</v>
      </c>
      <c r="G434" s="88">
        <f>世界boss!E33</f>
        <v>100</v>
      </c>
      <c r="H434" s="88">
        <f t="shared" si="21"/>
        <v>100</v>
      </c>
      <c r="I434" s="263" t="s">
        <v>576</v>
      </c>
    </row>
    <row r="435" ht="14.25" customHeight="1" spans="1:9">
      <c r="A435" s="88" t="s">
        <v>267</v>
      </c>
      <c r="B435" s="88" t="s">
        <v>230</v>
      </c>
      <c r="C435" s="88" t="s">
        <v>575</v>
      </c>
      <c r="D435" s="88" t="s">
        <v>115</v>
      </c>
      <c r="E435" s="88" t="str">
        <f>世界boss!D34</f>
        <v>钻石</v>
      </c>
      <c r="F435" s="88" t="str">
        <f t="shared" si="20"/>
        <v>钻石</v>
      </c>
      <c r="G435" s="88">
        <f>世界boss!E34</f>
        <v>200</v>
      </c>
      <c r="H435" s="88">
        <f t="shared" si="21"/>
        <v>200</v>
      </c>
      <c r="I435" s="263" t="s">
        <v>576</v>
      </c>
    </row>
    <row r="436" ht="14.25" customHeight="1" spans="1:9">
      <c r="A436" s="88" t="s">
        <v>267</v>
      </c>
      <c r="B436" s="88" t="s">
        <v>230</v>
      </c>
      <c r="C436" s="88" t="s">
        <v>575</v>
      </c>
      <c r="D436" s="88" t="s">
        <v>116</v>
      </c>
      <c r="E436" s="88" t="str">
        <f>世界boss!D35</f>
        <v>钻石</v>
      </c>
      <c r="F436" s="88" t="str">
        <f t="shared" si="20"/>
        <v>钻石</v>
      </c>
      <c r="G436" s="88">
        <f>世界boss!E35</f>
        <v>200</v>
      </c>
      <c r="H436" s="88">
        <f t="shared" si="21"/>
        <v>200</v>
      </c>
      <c r="I436" s="263" t="s">
        <v>576</v>
      </c>
    </row>
    <row r="437" ht="14.25" customHeight="1" spans="1:9">
      <c r="A437" s="88" t="s">
        <v>267</v>
      </c>
      <c r="B437" s="88" t="s">
        <v>230</v>
      </c>
      <c r="C437" s="88" t="s">
        <v>575</v>
      </c>
      <c r="D437" s="88" t="s">
        <v>582</v>
      </c>
      <c r="E437" s="88" t="str">
        <f>世界boss!G35</f>
        <v>神经蔓生手甲</v>
      </c>
      <c r="F437" s="88" t="str">
        <f t="shared" si="20"/>
        <v/>
      </c>
      <c r="G437" s="88">
        <f>世界boss!H35</f>
        <v>1</v>
      </c>
      <c r="H437" s="88">
        <f t="shared" si="21"/>
        <v>0</v>
      </c>
      <c r="I437" s="263" t="s">
        <v>576</v>
      </c>
    </row>
    <row r="438" ht="14.25" customHeight="1" spans="1:9">
      <c r="A438" s="88" t="s">
        <v>267</v>
      </c>
      <c r="B438" s="88" t="s">
        <v>230</v>
      </c>
      <c r="C438" s="88" t="s">
        <v>575</v>
      </c>
      <c r="D438" s="88" t="s">
        <v>117</v>
      </c>
      <c r="E438" s="88" t="str">
        <f>世界boss!D36</f>
        <v>钻石</v>
      </c>
      <c r="F438" s="88" t="str">
        <f t="shared" si="20"/>
        <v>钻石</v>
      </c>
      <c r="G438" s="88">
        <f>世界boss!E36</f>
        <v>50</v>
      </c>
      <c r="H438" s="88">
        <f t="shared" si="21"/>
        <v>50</v>
      </c>
      <c r="I438" s="263" t="s">
        <v>576</v>
      </c>
    </row>
    <row r="439" ht="14.25" customHeight="1" spans="1:9">
      <c r="A439" s="88" t="s">
        <v>267</v>
      </c>
      <c r="B439" s="88" t="s">
        <v>230</v>
      </c>
      <c r="C439" s="88" t="s">
        <v>575</v>
      </c>
      <c r="D439" s="88" t="s">
        <v>118</v>
      </c>
      <c r="E439" s="88" t="str">
        <f>世界boss!D37</f>
        <v>钻石</v>
      </c>
      <c r="F439" s="88" t="str">
        <f t="shared" si="20"/>
        <v>钻石</v>
      </c>
      <c r="G439" s="88">
        <f>世界boss!E37</f>
        <v>50</v>
      </c>
      <c r="H439" s="88">
        <f t="shared" si="21"/>
        <v>50</v>
      </c>
      <c r="I439" s="263" t="s">
        <v>576</v>
      </c>
    </row>
    <row r="440" ht="14.25" customHeight="1" spans="1:9">
      <c r="A440" s="88" t="s">
        <v>267</v>
      </c>
      <c r="B440" s="88" t="s">
        <v>230</v>
      </c>
      <c r="C440" s="88" t="s">
        <v>575</v>
      </c>
      <c r="D440" s="88" t="s">
        <v>119</v>
      </c>
      <c r="E440" s="88" t="str">
        <f>世界boss!D38</f>
        <v>钻石</v>
      </c>
      <c r="F440" s="88" t="str">
        <f t="shared" si="20"/>
        <v>钻石</v>
      </c>
      <c r="G440" s="88">
        <f>世界boss!E38</f>
        <v>50</v>
      </c>
      <c r="H440" s="88">
        <f t="shared" si="21"/>
        <v>50</v>
      </c>
      <c r="I440" s="263" t="s">
        <v>576</v>
      </c>
    </row>
    <row r="441" ht="14.25" customHeight="1" spans="1:9">
      <c r="A441" s="88" t="s">
        <v>267</v>
      </c>
      <c r="B441" s="88" t="s">
        <v>230</v>
      </c>
      <c r="C441" s="88" t="s">
        <v>575</v>
      </c>
      <c r="D441" s="88" t="s">
        <v>120</v>
      </c>
      <c r="E441" s="88" t="str">
        <f>世界boss!D39</f>
        <v>钻石</v>
      </c>
      <c r="F441" s="88" t="str">
        <f t="shared" si="20"/>
        <v>钻石</v>
      </c>
      <c r="G441" s="88">
        <f>世界boss!E39</f>
        <v>50</v>
      </c>
      <c r="H441" s="88">
        <f t="shared" si="21"/>
        <v>50</v>
      </c>
      <c r="I441" s="263" t="s">
        <v>576</v>
      </c>
    </row>
    <row r="442" ht="14.25" customHeight="1" spans="1:9">
      <c r="A442" s="88" t="s">
        <v>267</v>
      </c>
      <c r="B442" s="88" t="s">
        <v>230</v>
      </c>
      <c r="C442" s="88" t="s">
        <v>575</v>
      </c>
      <c r="D442" s="88" t="s">
        <v>121</v>
      </c>
      <c r="E442" s="88" t="str">
        <f>世界boss!D40</f>
        <v>钻石</v>
      </c>
      <c r="F442" s="88" t="str">
        <f t="shared" si="20"/>
        <v>钻石</v>
      </c>
      <c r="G442" s="88">
        <f>世界boss!E40</f>
        <v>50</v>
      </c>
      <c r="H442" s="88">
        <f t="shared" si="21"/>
        <v>50</v>
      </c>
      <c r="I442" s="263" t="s">
        <v>576</v>
      </c>
    </row>
    <row r="443" ht="14.25" customHeight="1" spans="1:9">
      <c r="A443" s="88" t="s">
        <v>267</v>
      </c>
      <c r="B443" s="88" t="s">
        <v>230</v>
      </c>
      <c r="C443" s="88" t="s">
        <v>575</v>
      </c>
      <c r="D443" s="88" t="s">
        <v>583</v>
      </c>
      <c r="E443" s="88" t="str">
        <f>世界boss!G40</f>
        <v>专武抽卡券普通</v>
      </c>
      <c r="F443" s="88" t="str">
        <f t="shared" si="20"/>
        <v>专武抽卡券普通</v>
      </c>
      <c r="G443" s="88">
        <f>世界boss!H40</f>
        <v>3</v>
      </c>
      <c r="H443" s="88">
        <f t="shared" si="21"/>
        <v>450</v>
      </c>
      <c r="I443" s="263" t="s">
        <v>576</v>
      </c>
    </row>
    <row r="444" ht="14.25" customHeight="1" spans="1:9">
      <c r="A444" s="88" t="s">
        <v>267</v>
      </c>
      <c r="B444" s="88" t="s">
        <v>230</v>
      </c>
      <c r="C444" s="88" t="s">
        <v>575</v>
      </c>
      <c r="D444" s="88" t="s">
        <v>122</v>
      </c>
      <c r="E444" s="88" t="str">
        <f>世界boss!D41</f>
        <v>钻石</v>
      </c>
      <c r="F444" s="88" t="str">
        <f t="shared" si="20"/>
        <v>钻石</v>
      </c>
      <c r="G444" s="88">
        <f>世界boss!E41</f>
        <v>100</v>
      </c>
      <c r="H444" s="88">
        <f t="shared" si="21"/>
        <v>100</v>
      </c>
      <c r="I444" s="263" t="s">
        <v>576</v>
      </c>
    </row>
    <row r="445" ht="14.25" customHeight="1" spans="1:9">
      <c r="A445" s="88" t="s">
        <v>267</v>
      </c>
      <c r="B445" s="88" t="s">
        <v>230</v>
      </c>
      <c r="C445" s="88" t="s">
        <v>575</v>
      </c>
      <c r="D445" s="88" t="s">
        <v>123</v>
      </c>
      <c r="E445" s="88" t="str">
        <f>世界boss!D42</f>
        <v>钻石</v>
      </c>
      <c r="F445" s="88" t="str">
        <f t="shared" si="20"/>
        <v>钻石</v>
      </c>
      <c r="G445" s="88">
        <f>世界boss!E42</f>
        <v>100</v>
      </c>
      <c r="H445" s="88">
        <f t="shared" si="21"/>
        <v>100</v>
      </c>
      <c r="I445" s="263" t="s">
        <v>576</v>
      </c>
    </row>
    <row r="446" ht="14.25" customHeight="1" spans="1:9">
      <c r="A446" s="88" t="s">
        <v>267</v>
      </c>
      <c r="B446" s="88" t="s">
        <v>230</v>
      </c>
      <c r="C446" s="88" t="s">
        <v>575</v>
      </c>
      <c r="D446" s="88" t="s">
        <v>124</v>
      </c>
      <c r="E446" s="88" t="str">
        <f>世界boss!D43</f>
        <v>钻石</v>
      </c>
      <c r="F446" s="88" t="str">
        <f t="shared" si="20"/>
        <v>钻石</v>
      </c>
      <c r="G446" s="88">
        <f>世界boss!E43</f>
        <v>100</v>
      </c>
      <c r="H446" s="88">
        <f t="shared" si="21"/>
        <v>100</v>
      </c>
      <c r="I446" s="263" t="s">
        <v>576</v>
      </c>
    </row>
    <row r="447" ht="14.25" customHeight="1" spans="1:9">
      <c r="A447" s="88" t="s">
        <v>267</v>
      </c>
      <c r="B447" s="88" t="s">
        <v>230</v>
      </c>
      <c r="C447" s="88" t="s">
        <v>575</v>
      </c>
      <c r="D447" s="88" t="s">
        <v>125</v>
      </c>
      <c r="E447" s="88" t="str">
        <f>世界boss!D44</f>
        <v>钻石</v>
      </c>
      <c r="F447" s="88" t="str">
        <f t="shared" si="20"/>
        <v>钻石</v>
      </c>
      <c r="G447" s="88">
        <f>世界boss!E44</f>
        <v>200</v>
      </c>
      <c r="H447" s="88">
        <f t="shared" si="21"/>
        <v>200</v>
      </c>
      <c r="I447" s="263" t="s">
        <v>576</v>
      </c>
    </row>
    <row r="448" ht="14.25" customHeight="1" spans="1:9">
      <c r="A448" s="88" t="s">
        <v>267</v>
      </c>
      <c r="B448" s="88" t="s">
        <v>230</v>
      </c>
      <c r="C448" s="88" t="s">
        <v>575</v>
      </c>
      <c r="D448" s="88" t="s">
        <v>126</v>
      </c>
      <c r="E448" s="88" t="str">
        <f>世界boss!D45</f>
        <v>钻石</v>
      </c>
      <c r="F448" s="88" t="str">
        <f t="shared" si="20"/>
        <v>钻石</v>
      </c>
      <c r="G448" s="88">
        <f>世界boss!E45</f>
        <v>200</v>
      </c>
      <c r="H448" s="88">
        <f t="shared" si="21"/>
        <v>200</v>
      </c>
      <c r="I448" s="263" t="s">
        <v>576</v>
      </c>
    </row>
    <row r="449" ht="14.25" customHeight="1" spans="1:9">
      <c r="A449" s="88" t="s">
        <v>267</v>
      </c>
      <c r="B449" s="88" t="s">
        <v>230</v>
      </c>
      <c r="C449" s="88" t="s">
        <v>575</v>
      </c>
      <c r="D449" s="88" t="s">
        <v>584</v>
      </c>
      <c r="E449" s="88" t="str">
        <f>世界boss!G45</f>
        <v>EMP脉冲战靴</v>
      </c>
      <c r="F449" s="88" t="str">
        <f t="shared" si="20"/>
        <v/>
      </c>
      <c r="G449" s="88">
        <f>世界boss!H45</f>
        <v>1</v>
      </c>
      <c r="H449" s="88">
        <f t="shared" si="21"/>
        <v>0</v>
      </c>
      <c r="I449" s="263" t="s">
        <v>576</v>
      </c>
    </row>
    <row r="450" ht="14.25" customHeight="1" spans="1:9">
      <c r="A450" s="88" t="s">
        <v>267</v>
      </c>
      <c r="B450" s="88" t="s">
        <v>230</v>
      </c>
      <c r="C450" s="88" t="s">
        <v>575</v>
      </c>
      <c r="D450" s="88" t="s">
        <v>127</v>
      </c>
      <c r="E450" s="88" t="str">
        <f>世界boss!D46</f>
        <v>钻石</v>
      </c>
      <c r="F450" s="88" t="str">
        <f t="shared" si="20"/>
        <v>钻石</v>
      </c>
      <c r="G450" s="88">
        <f>世界boss!E46</f>
        <v>50</v>
      </c>
      <c r="H450" s="88">
        <f t="shared" si="21"/>
        <v>50</v>
      </c>
      <c r="I450" s="263" t="s">
        <v>576</v>
      </c>
    </row>
    <row r="451" ht="14.25" customHeight="1" spans="1:9">
      <c r="A451" s="88" t="s">
        <v>267</v>
      </c>
      <c r="B451" s="88" t="s">
        <v>230</v>
      </c>
      <c r="C451" s="88" t="s">
        <v>575</v>
      </c>
      <c r="D451" s="88" t="s">
        <v>128</v>
      </c>
      <c r="E451" s="88" t="str">
        <f>世界boss!D47</f>
        <v>钻石</v>
      </c>
      <c r="F451" s="88" t="str">
        <f t="shared" si="20"/>
        <v>钻石</v>
      </c>
      <c r="G451" s="88">
        <f>世界boss!E47</f>
        <v>50</v>
      </c>
      <c r="H451" s="88">
        <f t="shared" si="21"/>
        <v>50</v>
      </c>
      <c r="I451" s="263" t="s">
        <v>576</v>
      </c>
    </row>
    <row r="452" ht="14.25" customHeight="1" spans="1:9">
      <c r="A452" s="88" t="s">
        <v>267</v>
      </c>
      <c r="B452" s="88" t="s">
        <v>230</v>
      </c>
      <c r="C452" s="88" t="s">
        <v>575</v>
      </c>
      <c r="D452" s="88" t="s">
        <v>129</v>
      </c>
      <c r="E452" s="88" t="str">
        <f>世界boss!D48</f>
        <v>钻石</v>
      </c>
      <c r="F452" s="88" t="str">
        <f t="shared" si="20"/>
        <v>钻石</v>
      </c>
      <c r="G452" s="88">
        <f>世界boss!E48</f>
        <v>50</v>
      </c>
      <c r="H452" s="88">
        <f t="shared" si="21"/>
        <v>50</v>
      </c>
      <c r="I452" s="263" t="s">
        <v>576</v>
      </c>
    </row>
    <row r="453" ht="14.25" customHeight="1" spans="1:9">
      <c r="A453" s="88" t="s">
        <v>267</v>
      </c>
      <c r="B453" s="88" t="s">
        <v>230</v>
      </c>
      <c r="C453" s="88" t="s">
        <v>575</v>
      </c>
      <c r="D453" s="88" t="s">
        <v>130</v>
      </c>
      <c r="E453" s="88" t="str">
        <f>世界boss!D49</f>
        <v>钻石</v>
      </c>
      <c r="F453" s="88" t="str">
        <f t="shared" si="20"/>
        <v>钻石</v>
      </c>
      <c r="G453" s="88">
        <f>世界boss!E49</f>
        <v>50</v>
      </c>
      <c r="H453" s="88">
        <f t="shared" si="21"/>
        <v>50</v>
      </c>
      <c r="I453" s="263" t="s">
        <v>576</v>
      </c>
    </row>
    <row r="454" ht="14.25" customHeight="1" spans="1:9">
      <c r="A454" s="88" t="s">
        <v>267</v>
      </c>
      <c r="B454" s="88" t="s">
        <v>230</v>
      </c>
      <c r="C454" s="88" t="s">
        <v>575</v>
      </c>
      <c r="D454" s="88" t="s">
        <v>131</v>
      </c>
      <c r="E454" s="88" t="str">
        <f>世界boss!D50</f>
        <v>钻石</v>
      </c>
      <c r="F454" s="88" t="str">
        <f t="shared" si="20"/>
        <v>钻石</v>
      </c>
      <c r="G454" s="88">
        <f>世界boss!E50</f>
        <v>50</v>
      </c>
      <c r="H454" s="88">
        <f t="shared" si="21"/>
        <v>50</v>
      </c>
      <c r="I454" s="263" t="s">
        <v>576</v>
      </c>
    </row>
    <row r="455" ht="14.25" customHeight="1" spans="1:9">
      <c r="A455" s="88" t="s">
        <v>267</v>
      </c>
      <c r="B455" s="88" t="s">
        <v>230</v>
      </c>
      <c r="C455" s="88" t="s">
        <v>575</v>
      </c>
      <c r="D455" s="88" t="s">
        <v>585</v>
      </c>
      <c r="E455" s="88" t="str">
        <f>世界boss!G50</f>
        <v>专武抽卡券普通</v>
      </c>
      <c r="F455" s="88" t="str">
        <f t="shared" si="20"/>
        <v>专武抽卡券普通</v>
      </c>
      <c r="G455" s="88">
        <f>世界boss!H50</f>
        <v>3</v>
      </c>
      <c r="H455" s="88">
        <f t="shared" si="21"/>
        <v>450</v>
      </c>
      <c r="I455" s="263" t="s">
        <v>576</v>
      </c>
    </row>
    <row r="456" ht="14.25" customHeight="1" spans="1:9">
      <c r="A456" s="88" t="s">
        <v>267</v>
      </c>
      <c r="B456" s="88" t="s">
        <v>230</v>
      </c>
      <c r="C456" s="88" t="s">
        <v>575</v>
      </c>
      <c r="D456" s="88" t="s">
        <v>132</v>
      </c>
      <c r="E456" s="88" t="str">
        <f>世界boss!D51</f>
        <v>钻石</v>
      </c>
      <c r="F456" s="88" t="str">
        <f t="shared" si="20"/>
        <v>钻石</v>
      </c>
      <c r="G456" s="88">
        <f>世界boss!E51</f>
        <v>100</v>
      </c>
      <c r="H456" s="88">
        <f t="shared" si="21"/>
        <v>100</v>
      </c>
      <c r="I456" s="263" t="s">
        <v>576</v>
      </c>
    </row>
    <row r="457" ht="14.25" customHeight="1" spans="1:9">
      <c r="A457" s="88" t="s">
        <v>267</v>
      </c>
      <c r="B457" s="88" t="s">
        <v>230</v>
      </c>
      <c r="C457" s="88" t="s">
        <v>575</v>
      </c>
      <c r="D457" s="88" t="s">
        <v>133</v>
      </c>
      <c r="E457" s="88" t="str">
        <f>世界boss!D52</f>
        <v>钻石</v>
      </c>
      <c r="F457" s="88" t="str">
        <f t="shared" si="20"/>
        <v>钻石</v>
      </c>
      <c r="G457" s="88">
        <f>世界boss!E52</f>
        <v>100</v>
      </c>
      <c r="H457" s="88">
        <f t="shared" si="21"/>
        <v>100</v>
      </c>
      <c r="I457" s="263" t="s">
        <v>576</v>
      </c>
    </row>
    <row r="458" ht="14.25" customHeight="1" spans="1:9">
      <c r="A458" s="88" t="s">
        <v>267</v>
      </c>
      <c r="B458" s="88" t="s">
        <v>230</v>
      </c>
      <c r="C458" s="88" t="s">
        <v>575</v>
      </c>
      <c r="D458" s="88" t="s">
        <v>134</v>
      </c>
      <c r="E458" s="88" t="str">
        <f>世界boss!D53</f>
        <v>钻石</v>
      </c>
      <c r="F458" s="88" t="str">
        <f t="shared" si="20"/>
        <v>钻石</v>
      </c>
      <c r="G458" s="88">
        <f>世界boss!E53</f>
        <v>100</v>
      </c>
      <c r="H458" s="88">
        <f t="shared" si="21"/>
        <v>100</v>
      </c>
      <c r="I458" s="263" t="s">
        <v>576</v>
      </c>
    </row>
    <row r="459" ht="14.25" customHeight="1" spans="1:9">
      <c r="A459" s="88" t="s">
        <v>267</v>
      </c>
      <c r="B459" s="88" t="s">
        <v>230</v>
      </c>
      <c r="C459" s="88" t="s">
        <v>575</v>
      </c>
      <c r="D459" s="88" t="s">
        <v>135</v>
      </c>
      <c r="E459" s="88" t="str">
        <f>世界boss!D54</f>
        <v>钻石</v>
      </c>
      <c r="F459" s="88" t="str">
        <f t="shared" si="20"/>
        <v>钻石</v>
      </c>
      <c r="G459" s="88">
        <f>世界boss!E54</f>
        <v>200</v>
      </c>
      <c r="H459" s="88">
        <f t="shared" si="21"/>
        <v>200</v>
      </c>
      <c r="I459" s="263" t="s">
        <v>576</v>
      </c>
    </row>
    <row r="460" ht="14.25" customHeight="1" spans="1:9">
      <c r="A460" s="88" t="s">
        <v>267</v>
      </c>
      <c r="B460" s="88" t="s">
        <v>230</v>
      </c>
      <c r="C460" s="88" t="s">
        <v>575</v>
      </c>
      <c r="D460" s="88" t="s">
        <v>136</v>
      </c>
      <c r="E460" s="88" t="str">
        <f>世界boss!D55</f>
        <v>钻石</v>
      </c>
      <c r="F460" s="88" t="str">
        <f t="shared" si="20"/>
        <v>钻石</v>
      </c>
      <c r="G460" s="88">
        <f>世界boss!E55</f>
        <v>200</v>
      </c>
      <c r="H460" s="88">
        <f t="shared" si="21"/>
        <v>200</v>
      </c>
      <c r="I460" s="263" t="s">
        <v>576</v>
      </c>
    </row>
    <row r="461" ht="14.25" customHeight="1" spans="1:9">
      <c r="A461" s="88" t="s">
        <v>267</v>
      </c>
      <c r="B461" s="88" t="s">
        <v>230</v>
      </c>
      <c r="C461" s="88" t="s">
        <v>575</v>
      </c>
      <c r="D461" s="88" t="s">
        <v>586</v>
      </c>
      <c r="E461" s="88" t="str">
        <f>世界boss!G55</f>
        <v>全知之眼</v>
      </c>
      <c r="F461" s="88" t="str">
        <f t="shared" si="20"/>
        <v/>
      </c>
      <c r="G461" s="88">
        <f>世界boss!H55</f>
        <v>1</v>
      </c>
      <c r="H461" s="88">
        <f t="shared" si="21"/>
        <v>0</v>
      </c>
      <c r="I461" s="263" t="s">
        <v>576</v>
      </c>
    </row>
    <row r="462" ht="16.5" customHeight="1" spans="1:9">
      <c r="A462" s="174" t="s">
        <v>23</v>
      </c>
      <c r="B462" s="174" t="s">
        <v>248</v>
      </c>
      <c r="C462" s="174" t="s">
        <v>231</v>
      </c>
      <c r="D462" s="174" t="s">
        <v>90</v>
      </c>
      <c r="E462" s="176" t="str">
        <f>高难主线关卡!AG8</f>
        <v>角色抽卡券限时</v>
      </c>
      <c r="F462" s="176" t="str">
        <f t="shared" si="20"/>
        <v>角色抽卡券限时</v>
      </c>
      <c r="G462" s="176">
        <f>高难主线关卡!AH8</f>
        <v>1</v>
      </c>
      <c r="H462" s="176">
        <f t="shared" si="21"/>
        <v>150</v>
      </c>
      <c r="I462" s="174" t="s">
        <v>587</v>
      </c>
    </row>
    <row r="463" ht="16.5" customHeight="1" spans="1:9">
      <c r="A463" s="174" t="s">
        <v>23</v>
      </c>
      <c r="B463" s="174" t="s">
        <v>248</v>
      </c>
      <c r="C463" s="174" t="s">
        <v>231</v>
      </c>
      <c r="D463" s="174" t="s">
        <v>250</v>
      </c>
      <c r="E463" s="176" t="str">
        <f>高难主线关卡!AG9</f>
        <v>角色抽卡券限时</v>
      </c>
      <c r="F463" s="176" t="str">
        <f t="shared" si="20"/>
        <v>角色抽卡券限时</v>
      </c>
      <c r="G463" s="176">
        <f>高难主线关卡!AH9</f>
        <v>1</v>
      </c>
      <c r="H463" s="176">
        <f t="shared" si="21"/>
        <v>150</v>
      </c>
      <c r="I463" s="174" t="s">
        <v>587</v>
      </c>
    </row>
    <row r="464" ht="16.5" customHeight="1" spans="1:9">
      <c r="A464" s="174" t="s">
        <v>23</v>
      </c>
      <c r="B464" s="174" t="s">
        <v>248</v>
      </c>
      <c r="C464" s="174" t="s">
        <v>231</v>
      </c>
      <c r="D464" s="174" t="s">
        <v>251</v>
      </c>
      <c r="E464" s="176" t="str">
        <f>高难主线关卡!AI9</f>
        <v>映射之匙</v>
      </c>
      <c r="F464" s="176" t="str">
        <f t="shared" si="20"/>
        <v/>
      </c>
      <c r="G464" s="176">
        <f>高难主线关卡!AJ9</f>
        <v>3</v>
      </c>
      <c r="H464" s="176">
        <f t="shared" si="21"/>
        <v>0</v>
      </c>
      <c r="I464" s="174" t="s">
        <v>587</v>
      </c>
    </row>
    <row r="465" ht="16.5" customHeight="1" spans="1:9">
      <c r="A465" s="174" t="s">
        <v>23</v>
      </c>
      <c r="B465" s="174" t="s">
        <v>248</v>
      </c>
      <c r="C465" s="174" t="s">
        <v>231</v>
      </c>
      <c r="D465" s="174" t="s">
        <v>252</v>
      </c>
      <c r="E465" s="176" t="str">
        <f>高难主线关卡!AG10</f>
        <v>角色抽卡券限时</v>
      </c>
      <c r="F465" s="176" t="str">
        <f t="shared" si="20"/>
        <v>角色抽卡券限时</v>
      </c>
      <c r="G465" s="176">
        <f>高难主线关卡!AH10</f>
        <v>3</v>
      </c>
      <c r="H465" s="176">
        <f t="shared" si="21"/>
        <v>450</v>
      </c>
      <c r="I465" s="174" t="s">
        <v>587</v>
      </c>
    </row>
    <row r="466" ht="16.5" customHeight="1" spans="1:9">
      <c r="A466" s="174" t="s">
        <v>23</v>
      </c>
      <c r="B466" s="174" t="s">
        <v>248</v>
      </c>
      <c r="C466" s="174" t="s">
        <v>231</v>
      </c>
      <c r="D466" s="174" t="s">
        <v>253</v>
      </c>
      <c r="E466" s="176" t="str">
        <f>高难主线关卡!AI10</f>
        <v>映射之匙</v>
      </c>
      <c r="F466" s="176" t="str">
        <f t="shared" si="20"/>
        <v/>
      </c>
      <c r="G466" s="176">
        <f>高难主线关卡!AJ10</f>
        <v>5</v>
      </c>
      <c r="H466" s="176">
        <f t="shared" si="21"/>
        <v>0</v>
      </c>
      <c r="I466" s="174" t="s">
        <v>587</v>
      </c>
    </row>
    <row r="467" ht="16.5" customHeight="1" spans="1:9">
      <c r="A467" s="174" t="s">
        <v>23</v>
      </c>
      <c r="B467" s="174" t="s">
        <v>248</v>
      </c>
      <c r="C467" s="174" t="s">
        <v>231</v>
      </c>
      <c r="D467" s="174" t="s">
        <v>254</v>
      </c>
      <c r="E467" s="176" t="str">
        <f>高难主线关卡!AG11</f>
        <v>角色抽卡券限时</v>
      </c>
      <c r="F467" s="176" t="str">
        <f t="shared" si="20"/>
        <v>角色抽卡券限时</v>
      </c>
      <c r="G467" s="176">
        <f>高难主线关卡!AH11</f>
        <v>1</v>
      </c>
      <c r="H467" s="176">
        <f t="shared" si="21"/>
        <v>150</v>
      </c>
      <c r="I467" s="174" t="s">
        <v>587</v>
      </c>
    </row>
    <row r="468" ht="16.5" customHeight="1" spans="1:9">
      <c r="A468" s="174" t="s">
        <v>23</v>
      </c>
      <c r="B468" s="174" t="s">
        <v>248</v>
      </c>
      <c r="C468" s="174" t="s">
        <v>231</v>
      </c>
      <c r="D468" s="174" t="s">
        <v>83</v>
      </c>
      <c r="E468" s="176" t="str">
        <f>高难主线关卡!AG12</f>
        <v>角色抽卡券限时</v>
      </c>
      <c r="F468" s="176" t="str">
        <f t="shared" ref="F468:F476" si="22">IF(E468="钻石","钻石",IF(ISNUMBER(SEARCH("角色抽卡券限时",E468)),"角色抽卡券限时",IF(ISNUMBER(SEARCH("专武抽卡券限时",E468)),"专武抽卡券限时",IF(ISNUMBER(SEARCH("角色抽卡券",E468)),"角色抽卡券普通",IF(ISNUMBER(SEARCH("专武抽卡券",E468)),"专武抽卡券普通","")))))</f>
        <v>角色抽卡券限时</v>
      </c>
      <c r="G468" s="176">
        <f>高难主线关卡!AH12</f>
        <v>1</v>
      </c>
      <c r="H468" s="176">
        <f t="shared" ref="H468:H476" si="23">IF(F468="",0,IF(F468="钻石",G468,G468*150))</f>
        <v>150</v>
      </c>
      <c r="I468" s="174" t="s">
        <v>587</v>
      </c>
    </row>
    <row r="469" ht="16.5" customHeight="1" spans="1:9">
      <c r="A469" s="174" t="s">
        <v>23</v>
      </c>
      <c r="B469" s="174" t="s">
        <v>248</v>
      </c>
      <c r="C469" s="174" t="s">
        <v>231</v>
      </c>
      <c r="D469" s="174" t="s">
        <v>255</v>
      </c>
      <c r="E469" s="176" t="str">
        <f>高难主线关卡!AI12</f>
        <v>映射之匙</v>
      </c>
      <c r="F469" s="176" t="str">
        <f t="shared" si="22"/>
        <v/>
      </c>
      <c r="G469" s="176">
        <f>高难主线关卡!AJ12</f>
        <v>3</v>
      </c>
      <c r="H469" s="176">
        <f t="shared" si="23"/>
        <v>0</v>
      </c>
      <c r="I469" s="174" t="s">
        <v>587</v>
      </c>
    </row>
    <row r="470" ht="16.5" customHeight="1" spans="1:9">
      <c r="A470" s="174" t="s">
        <v>23</v>
      </c>
      <c r="B470" s="174" t="s">
        <v>248</v>
      </c>
      <c r="C470" s="174" t="s">
        <v>231</v>
      </c>
      <c r="D470" s="174" t="s">
        <v>256</v>
      </c>
      <c r="E470" s="176" t="str">
        <f>高难主线关卡!AG13</f>
        <v>角色抽卡券限时</v>
      </c>
      <c r="F470" s="176" t="str">
        <f t="shared" si="22"/>
        <v>角色抽卡券限时</v>
      </c>
      <c r="G470" s="176">
        <f>高难主线关卡!AH13</f>
        <v>3</v>
      </c>
      <c r="H470" s="176">
        <f t="shared" si="23"/>
        <v>450</v>
      </c>
      <c r="I470" s="174" t="s">
        <v>587</v>
      </c>
    </row>
    <row r="471" ht="16.5" customHeight="1" spans="1:9">
      <c r="A471" s="174" t="s">
        <v>23</v>
      </c>
      <c r="B471" s="174" t="s">
        <v>248</v>
      </c>
      <c r="C471" s="174" t="s">
        <v>231</v>
      </c>
      <c r="D471" s="174" t="s">
        <v>257</v>
      </c>
      <c r="E471" s="176" t="str">
        <f>高难主线关卡!AI13</f>
        <v>映射之匙</v>
      </c>
      <c r="F471" s="176" t="str">
        <f t="shared" si="22"/>
        <v/>
      </c>
      <c r="G471" s="176">
        <f>高难主线关卡!AJ13</f>
        <v>5</v>
      </c>
      <c r="H471" s="176">
        <f t="shared" si="23"/>
        <v>0</v>
      </c>
      <c r="I471" s="174" t="s">
        <v>587</v>
      </c>
    </row>
    <row r="472" ht="16.5" customHeight="1" spans="1:9">
      <c r="A472" s="174" t="s">
        <v>23</v>
      </c>
      <c r="B472" s="174" t="s">
        <v>248</v>
      </c>
      <c r="C472" s="174" t="s">
        <v>231</v>
      </c>
      <c r="D472" s="174" t="s">
        <v>258</v>
      </c>
      <c r="E472" s="176" t="str">
        <f>高难主线关卡!AG14</f>
        <v>角色抽卡券限时</v>
      </c>
      <c r="F472" s="176" t="str">
        <f t="shared" si="22"/>
        <v>角色抽卡券限时</v>
      </c>
      <c r="G472" s="176">
        <f>高难主线关卡!AH14</f>
        <v>1</v>
      </c>
      <c r="H472" s="176">
        <f t="shared" si="23"/>
        <v>150</v>
      </c>
      <c r="I472" s="174" t="s">
        <v>587</v>
      </c>
    </row>
    <row r="473" ht="16.5" customHeight="1" spans="1:9">
      <c r="A473" s="174" t="s">
        <v>23</v>
      </c>
      <c r="B473" s="174" t="s">
        <v>248</v>
      </c>
      <c r="C473" s="174" t="s">
        <v>231</v>
      </c>
      <c r="D473" s="174" t="s">
        <v>259</v>
      </c>
      <c r="E473" s="176" t="str">
        <f>高难主线关卡!AG15</f>
        <v>角色抽卡券限时</v>
      </c>
      <c r="F473" s="176" t="str">
        <f t="shared" si="22"/>
        <v>角色抽卡券限时</v>
      </c>
      <c r="G473" s="176">
        <f>高难主线关卡!AH15</f>
        <v>1</v>
      </c>
      <c r="H473" s="176">
        <f t="shared" si="23"/>
        <v>150</v>
      </c>
      <c r="I473" s="174" t="s">
        <v>587</v>
      </c>
    </row>
    <row r="474" ht="16.5" customHeight="1" spans="1:9">
      <c r="A474" s="174" t="s">
        <v>23</v>
      </c>
      <c r="B474" s="174" t="s">
        <v>248</v>
      </c>
      <c r="C474" s="174" t="s">
        <v>231</v>
      </c>
      <c r="D474" s="174" t="s">
        <v>260</v>
      </c>
      <c r="E474" s="176" t="str">
        <f>高难主线关卡!AI15</f>
        <v>映射之匙</v>
      </c>
      <c r="F474" s="176" t="str">
        <f t="shared" si="22"/>
        <v/>
      </c>
      <c r="G474" s="176">
        <f>高难主线关卡!AJ15</f>
        <v>3</v>
      </c>
      <c r="H474" s="176">
        <f t="shared" si="23"/>
        <v>0</v>
      </c>
      <c r="I474" s="174" t="s">
        <v>587</v>
      </c>
    </row>
    <row r="475" ht="16.5" customHeight="1" spans="1:9">
      <c r="A475" s="174" t="s">
        <v>23</v>
      </c>
      <c r="B475" s="174" t="s">
        <v>248</v>
      </c>
      <c r="C475" s="174" t="s">
        <v>231</v>
      </c>
      <c r="D475" s="174" t="s">
        <v>261</v>
      </c>
      <c r="E475" s="176" t="str">
        <f>高难主线关卡!AG16</f>
        <v>角色抽卡券限时</v>
      </c>
      <c r="F475" s="176" t="str">
        <f t="shared" si="22"/>
        <v>角色抽卡券限时</v>
      </c>
      <c r="G475" s="176">
        <f>高难主线关卡!AH16</f>
        <v>3</v>
      </c>
      <c r="H475" s="176">
        <f t="shared" si="23"/>
        <v>450</v>
      </c>
      <c r="I475" s="174" t="s">
        <v>587</v>
      </c>
    </row>
    <row r="476" ht="16.5" customHeight="1" spans="1:9">
      <c r="A476" s="174" t="s">
        <v>23</v>
      </c>
      <c r="B476" s="174" t="s">
        <v>248</v>
      </c>
      <c r="C476" s="174" t="s">
        <v>231</v>
      </c>
      <c r="D476" s="174" t="s">
        <v>262</v>
      </c>
      <c r="E476" s="176" t="str">
        <f>高难主线关卡!AI16</f>
        <v>映射之匙</v>
      </c>
      <c r="F476" s="176" t="str">
        <f t="shared" si="22"/>
        <v/>
      </c>
      <c r="G476" s="176">
        <f>高难主线关卡!AJ16</f>
        <v>5</v>
      </c>
      <c r="H476" s="176">
        <f t="shared" si="23"/>
        <v>0</v>
      </c>
      <c r="I476" s="174" t="s">
        <v>587</v>
      </c>
    </row>
  </sheetData>
  <autoFilter xmlns:etc="http://www.wps.cn/officeDocument/2017/etCustomData" ref="A19:I476" etc:filterBottomFollowUsedRange="0">
    <extLst/>
  </autoFilter>
  <mergeCells count="2">
    <mergeCell ref="A1:I1"/>
    <mergeCell ref="A2:I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58"/>
  <sheetViews>
    <sheetView topLeftCell="A121" workbookViewId="0">
      <selection activeCell="K136" sqref="K136"/>
    </sheetView>
  </sheetViews>
  <sheetFormatPr defaultColWidth="9" defaultRowHeight="16.5" outlineLevelCol="7"/>
  <cols>
    <col min="1" max="2" width="12.875" style="3" customWidth="1"/>
    <col min="3" max="3" width="19.125" style="3" customWidth="1"/>
    <col min="4" max="4" width="16.375" style="3" customWidth="1"/>
    <col min="5" max="5" width="13.75" style="3" customWidth="1"/>
    <col min="6" max="6" width="14.375" style="3" customWidth="1"/>
    <col min="7" max="16384" width="9" style="3" customWidth="1"/>
  </cols>
  <sheetData>
    <row r="2" spans="1:8">
      <c r="B2" s="253" t="s">
        <v>588</v>
      </c>
      <c r="C2" s="253" t="s">
        <v>589</v>
      </c>
      <c r="D2" s="253" t="s">
        <v>590</v>
      </c>
      <c r="E2" s="253" t="s">
        <v>591</v>
      </c>
      <c r="F2" s="253" t="s">
        <v>592</v>
      </c>
    </row>
    <row r="3" spans="1:8">
      <c r="A3" s="16" t="s">
        <v>593</v>
      </c>
      <c r="C3" s="3" t="s">
        <v>594</v>
      </c>
      <c r="D3" s="3">
        <v>0</v>
      </c>
      <c r="E3" s="3">
        <v>0</v>
      </c>
      <c r="F3" s="3">
        <v>0</v>
      </c>
    </row>
    <row r="4" spans="1:8">
      <c r="C4" s="3" t="s">
        <v>595</v>
      </c>
      <c r="D4" s="3">
        <v>0</v>
      </c>
      <c r="E4" s="3">
        <v>0</v>
      </c>
      <c r="F4" s="3">
        <v>0</v>
      </c>
    </row>
    <row r="5" spans="1:8">
      <c r="C5" s="3" t="s">
        <v>596</v>
      </c>
      <c r="D5" s="3">
        <v>0</v>
      </c>
      <c r="E5" s="3">
        <v>0</v>
      </c>
      <c r="F5" s="3">
        <v>0</v>
      </c>
    </row>
    <row r="6" spans="1:8">
      <c r="C6" s="3" t="s">
        <v>597</v>
      </c>
      <c r="D6" s="3">
        <v>0</v>
      </c>
      <c r="E6" s="3">
        <v>68</v>
      </c>
      <c r="F6" s="3">
        <f>E6*10</f>
        <v>680</v>
      </c>
    </row>
    <row r="9" spans="1:8">
      <c r="A9" s="16" t="s">
        <v>598</v>
      </c>
      <c r="C9" s="3" t="s">
        <v>599</v>
      </c>
      <c r="D9" s="3">
        <v>3</v>
      </c>
      <c r="E9" s="3">
        <v>0.4</v>
      </c>
      <c r="F9" s="3">
        <f t="shared" ref="F9:F17" si="0">E9*10</f>
        <v>4</v>
      </c>
      <c r="H9" s="3" t="s">
        <v>600</v>
      </c>
    </row>
    <row r="10" spans="1:8">
      <c r="C10" s="3" t="s">
        <v>5</v>
      </c>
      <c r="D10" s="3">
        <v>2</v>
      </c>
      <c r="E10" s="3">
        <v>0.1</v>
      </c>
      <c r="F10" s="3">
        <f t="shared" si="0"/>
        <v>1</v>
      </c>
    </row>
    <row r="11" spans="1:8">
      <c r="C11" s="3" t="s">
        <v>601</v>
      </c>
      <c r="D11" s="3">
        <v>1</v>
      </c>
      <c r="E11" s="3">
        <v>0.0001</v>
      </c>
      <c r="F11" s="3">
        <f t="shared" si="0"/>
        <v>0.001</v>
      </c>
    </row>
    <row r="12" spans="1:8">
      <c r="C12" s="3" t="s">
        <v>602</v>
      </c>
      <c r="D12" s="3">
        <v>4</v>
      </c>
      <c r="E12" s="3">
        <v>0.04</v>
      </c>
      <c r="F12" s="3">
        <f t="shared" si="0"/>
        <v>0.4</v>
      </c>
    </row>
    <row r="13" spans="1:8">
      <c r="C13" s="3" t="s">
        <v>6</v>
      </c>
      <c r="D13" s="3">
        <v>106</v>
      </c>
      <c r="E13" s="3">
        <v>15</v>
      </c>
      <c r="F13" s="3">
        <f t="shared" si="0"/>
        <v>150</v>
      </c>
    </row>
    <row r="14" spans="1:8">
      <c r="C14" s="3" t="s">
        <v>7</v>
      </c>
      <c r="D14" s="3">
        <v>107</v>
      </c>
      <c r="E14" s="3">
        <v>15</v>
      </c>
      <c r="F14" s="3">
        <f t="shared" si="0"/>
        <v>150</v>
      </c>
    </row>
    <row r="15" spans="1:8">
      <c r="C15" s="3" t="s">
        <v>603</v>
      </c>
      <c r="D15" s="3">
        <v>21</v>
      </c>
      <c r="E15" s="3">
        <v>1.5</v>
      </c>
      <c r="F15" s="3">
        <f t="shared" si="0"/>
        <v>15</v>
      </c>
    </row>
    <row r="16" spans="1:8">
      <c r="C16" s="3" t="s">
        <v>604</v>
      </c>
      <c r="D16" s="3">
        <v>22</v>
      </c>
      <c r="E16" s="3">
        <v>0.15</v>
      </c>
      <c r="F16" s="3">
        <f t="shared" si="0"/>
        <v>1.5</v>
      </c>
    </row>
    <row r="17" spans="1:6">
      <c r="C17" s="3" t="s">
        <v>605</v>
      </c>
      <c r="D17" s="3">
        <v>27</v>
      </c>
      <c r="E17" s="3">
        <v>0.1</v>
      </c>
      <c r="F17" s="3">
        <f t="shared" si="0"/>
        <v>1</v>
      </c>
    </row>
    <row r="18" spans="1:6">
      <c r="C18" s="3" t="s">
        <v>606</v>
      </c>
      <c r="D18" s="3">
        <v>105</v>
      </c>
      <c r="E18" s="3">
        <f>E9*60</f>
        <v>24</v>
      </c>
      <c r="F18" s="3">
        <f>F9*60</f>
        <v>240</v>
      </c>
    </row>
    <row r="19" spans="1:6">
      <c r="C19" s="3" t="s">
        <v>607</v>
      </c>
      <c r="D19" s="3">
        <v>19</v>
      </c>
      <c r="E19" s="3">
        <v>1</v>
      </c>
      <c r="F19" s="3">
        <f>E19*10</f>
        <v>10</v>
      </c>
    </row>
    <row r="20" spans="1:6">
      <c r="C20" s="3" t="s">
        <v>8</v>
      </c>
      <c r="D20" s="3">
        <v>111</v>
      </c>
      <c r="E20" s="3">
        <v>15</v>
      </c>
      <c r="F20" s="3">
        <f>E20*10</f>
        <v>150</v>
      </c>
    </row>
    <row r="21" spans="1:6">
      <c r="C21" s="3" t="s">
        <v>9</v>
      </c>
      <c r="D21" s="3">
        <v>112</v>
      </c>
      <c r="E21" s="3">
        <v>15</v>
      </c>
      <c r="F21" s="3">
        <f>E21*10</f>
        <v>150</v>
      </c>
    </row>
    <row r="22" ht="17.25" customHeight="1" spans="1:6">
      <c r="A22" s="16" t="s">
        <v>266</v>
      </c>
      <c r="C22" s="104" t="s">
        <v>608</v>
      </c>
      <c r="D22" s="15">
        <v>15</v>
      </c>
      <c r="E22" s="3">
        <v>0.1</v>
      </c>
      <c r="F22" s="3">
        <f>E22*10</f>
        <v>1</v>
      </c>
    </row>
    <row r="23" ht="17.25" customHeight="1" spans="1:6">
      <c r="C23" s="104" t="s">
        <v>609</v>
      </c>
      <c r="D23" s="15">
        <v>14</v>
      </c>
      <c r="E23" s="3">
        <v>0.1</v>
      </c>
      <c r="F23" s="3">
        <f>E23*10</f>
        <v>1</v>
      </c>
    </row>
    <row r="24" spans="1:6">
      <c r="A24" s="16"/>
    </row>
    <row r="25" spans="1:6">
      <c r="A25" s="16" t="s">
        <v>610</v>
      </c>
      <c r="C25" s="3" t="s">
        <v>611</v>
      </c>
      <c r="E25" s="3">
        <v>0.0001</v>
      </c>
      <c r="F25" s="3">
        <f>E25*10</f>
        <v>0.001</v>
      </c>
    </row>
    <row r="26" spans="1:6">
      <c r="C26" s="3" t="s">
        <v>612</v>
      </c>
      <c r="D26" s="3">
        <v>100</v>
      </c>
      <c r="E26" s="3">
        <f>E25*500</f>
        <v>0.05</v>
      </c>
      <c r="F26" s="3">
        <f>E26*10</f>
        <v>0.5</v>
      </c>
    </row>
    <row r="27" spans="1:6">
      <c r="C27" s="3" t="s">
        <v>613</v>
      </c>
      <c r="D27" s="3">
        <v>101</v>
      </c>
      <c r="E27" s="3">
        <f>E25*2000</f>
        <v>0.2</v>
      </c>
      <c r="F27" s="3">
        <f>E27*10</f>
        <v>2</v>
      </c>
    </row>
    <row r="28" spans="1:6">
      <c r="C28" s="3" t="s">
        <v>614</v>
      </c>
      <c r="D28" s="3">
        <v>102</v>
      </c>
      <c r="E28" s="3">
        <f>E25*10000</f>
        <v>1</v>
      </c>
      <c r="F28" s="3">
        <f>E28*10</f>
        <v>10</v>
      </c>
    </row>
    <row r="29" spans="1:6">
      <c r="B29" s="104"/>
    </row>
    <row r="30" spans="1:6">
      <c r="B30" s="104"/>
      <c r="C30" s="3" t="s">
        <v>615</v>
      </c>
      <c r="E30" s="3">
        <f>E31</f>
        <v>0.4</v>
      </c>
      <c r="F30" s="3">
        <f t="shared" ref="F30:F82" si="1">E30*10</f>
        <v>4</v>
      </c>
    </row>
    <row r="31" spans="1:6">
      <c r="B31" s="104" t="s">
        <v>616</v>
      </c>
      <c r="C31" s="3" t="s">
        <v>617</v>
      </c>
      <c r="E31" s="3">
        <v>0.4</v>
      </c>
      <c r="F31" s="3">
        <f t="shared" si="1"/>
        <v>4</v>
      </c>
    </row>
    <row r="32" spans="1:6">
      <c r="C32" s="3" t="s">
        <v>618</v>
      </c>
      <c r="E32" s="3">
        <f>E31*3</f>
        <v>1.2</v>
      </c>
      <c r="F32" s="3">
        <f t="shared" si="1"/>
        <v>12</v>
      </c>
    </row>
    <row r="33" spans="1:6">
      <c r="C33" s="3" t="s">
        <v>619</v>
      </c>
      <c r="E33" s="3">
        <f>E32*3</f>
        <v>3.6</v>
      </c>
      <c r="F33" s="3">
        <f t="shared" si="1"/>
        <v>36</v>
      </c>
    </row>
    <row r="34" spans="1:6">
      <c r="B34" s="104"/>
      <c r="C34" s="3" t="s">
        <v>620</v>
      </c>
      <c r="D34" s="3">
        <v>1001</v>
      </c>
      <c r="E34" s="3">
        <f t="shared" ref="E34:E42" si="2">E31</f>
        <v>0.4</v>
      </c>
      <c r="F34" s="3">
        <f t="shared" si="1"/>
        <v>4</v>
      </c>
    </row>
    <row r="35" spans="1:6">
      <c r="C35" s="3" t="s">
        <v>621</v>
      </c>
      <c r="D35" s="3">
        <v>1004</v>
      </c>
      <c r="E35" s="3">
        <f t="shared" si="2"/>
        <v>1.2</v>
      </c>
      <c r="F35" s="3">
        <f t="shared" si="1"/>
        <v>12</v>
      </c>
    </row>
    <row r="36" spans="1:6">
      <c r="C36" s="3" t="s">
        <v>622</v>
      </c>
      <c r="D36" s="3">
        <v>1007</v>
      </c>
      <c r="E36" s="3">
        <f t="shared" si="2"/>
        <v>3.6</v>
      </c>
      <c r="F36" s="3">
        <f t="shared" si="1"/>
        <v>36</v>
      </c>
    </row>
    <row r="37" spans="1:6">
      <c r="B37" s="104"/>
      <c r="C37" s="3" t="s">
        <v>623</v>
      </c>
      <c r="D37" s="3">
        <v>1002</v>
      </c>
      <c r="E37" s="3">
        <f t="shared" si="2"/>
        <v>0.4</v>
      </c>
      <c r="F37" s="3">
        <f t="shared" si="1"/>
        <v>4</v>
      </c>
    </row>
    <row r="38" spans="1:6">
      <c r="C38" s="3" t="s">
        <v>624</v>
      </c>
      <c r="D38" s="3">
        <v>1005</v>
      </c>
      <c r="E38" s="3">
        <f t="shared" si="2"/>
        <v>1.2</v>
      </c>
      <c r="F38" s="3">
        <f t="shared" si="1"/>
        <v>12</v>
      </c>
    </row>
    <row r="39" spans="1:6">
      <c r="C39" s="3" t="s">
        <v>625</v>
      </c>
      <c r="D39" s="3">
        <v>1008</v>
      </c>
      <c r="E39" s="3">
        <f t="shared" si="2"/>
        <v>3.6</v>
      </c>
      <c r="F39" s="3">
        <f t="shared" si="1"/>
        <v>36</v>
      </c>
    </row>
    <row r="40" spans="1:6">
      <c r="B40" s="104"/>
      <c r="C40" s="3" t="s">
        <v>626</v>
      </c>
      <c r="D40" s="3">
        <v>1003</v>
      </c>
      <c r="E40" s="3">
        <f t="shared" si="2"/>
        <v>0.4</v>
      </c>
      <c r="F40" s="3">
        <f t="shared" si="1"/>
        <v>4</v>
      </c>
    </row>
    <row r="41" spans="1:6">
      <c r="C41" s="3" t="s">
        <v>627</v>
      </c>
      <c r="D41" s="3">
        <v>1006</v>
      </c>
      <c r="E41" s="3">
        <f t="shared" si="2"/>
        <v>1.2</v>
      </c>
      <c r="F41" s="3">
        <f t="shared" si="1"/>
        <v>12</v>
      </c>
    </row>
    <row r="42" spans="1:6">
      <c r="C42" s="3" t="s">
        <v>628</v>
      </c>
      <c r="D42" s="3">
        <v>1009</v>
      </c>
      <c r="E42" s="3">
        <f t="shared" si="2"/>
        <v>3.6</v>
      </c>
      <c r="F42" s="3">
        <f t="shared" si="1"/>
        <v>36</v>
      </c>
    </row>
    <row r="43" spans="1:6">
      <c r="C43" s="3" t="s">
        <v>629</v>
      </c>
      <c r="E43" s="3">
        <v>750</v>
      </c>
      <c r="F43" s="3">
        <f t="shared" si="1"/>
        <v>7500</v>
      </c>
    </row>
    <row r="44" spans="1:6">
      <c r="C44" s="3" t="s">
        <v>630</v>
      </c>
      <c r="E44" s="3">
        <v>50</v>
      </c>
      <c r="F44" s="3">
        <f t="shared" si="1"/>
        <v>500</v>
      </c>
    </row>
    <row r="45" spans="1:6">
      <c r="C45" s="3" t="s">
        <v>631</v>
      </c>
      <c r="E45" s="3">
        <v>9</v>
      </c>
      <c r="F45" s="3">
        <f t="shared" si="1"/>
        <v>90</v>
      </c>
    </row>
    <row r="46" spans="1:6">
      <c r="A46" s="16" t="s">
        <v>632</v>
      </c>
      <c r="C46" s="3" t="s">
        <v>633</v>
      </c>
      <c r="E46" s="3">
        <f>E50</f>
        <v>1</v>
      </c>
      <c r="F46" s="3">
        <f t="shared" si="1"/>
        <v>10</v>
      </c>
    </row>
    <row r="47" spans="1:6">
      <c r="B47" s="104"/>
      <c r="C47" s="3" t="s">
        <v>634</v>
      </c>
      <c r="E47" s="3">
        <f>E51</f>
        <v>1.5</v>
      </c>
      <c r="F47" s="3">
        <f t="shared" si="1"/>
        <v>15</v>
      </c>
    </row>
    <row r="48" spans="1:6">
      <c r="B48" s="104"/>
      <c r="C48" s="3" t="s">
        <v>635</v>
      </c>
      <c r="E48" s="3">
        <f>E52</f>
        <v>2</v>
      </c>
      <c r="F48" s="3">
        <f t="shared" si="1"/>
        <v>20</v>
      </c>
    </row>
    <row r="49" spans="2:6">
      <c r="B49" s="104"/>
      <c r="C49" s="3" t="s">
        <v>636</v>
      </c>
      <c r="E49" s="3">
        <f>E53</f>
        <v>2.5</v>
      </c>
      <c r="F49" s="3">
        <f t="shared" si="1"/>
        <v>25</v>
      </c>
    </row>
    <row r="50" spans="2:6">
      <c r="B50" s="259"/>
      <c r="C50" s="3" t="s">
        <v>637</v>
      </c>
      <c r="E50" s="3">
        <v>1</v>
      </c>
      <c r="F50" s="3">
        <f t="shared" si="1"/>
        <v>10</v>
      </c>
    </row>
    <row r="51" spans="2:6">
      <c r="B51" s="259"/>
      <c r="C51" s="3" t="s">
        <v>638</v>
      </c>
      <c r="E51" s="3">
        <v>1.5</v>
      </c>
      <c r="F51" s="3">
        <f t="shared" si="1"/>
        <v>15</v>
      </c>
    </row>
    <row r="52" spans="2:6">
      <c r="B52" s="259"/>
      <c r="C52" s="3" t="s">
        <v>639</v>
      </c>
      <c r="E52" s="3">
        <v>2</v>
      </c>
      <c r="F52" s="3">
        <f t="shared" si="1"/>
        <v>20</v>
      </c>
    </row>
    <row r="53" spans="2:6">
      <c r="B53" s="259"/>
      <c r="C53" s="3" t="s">
        <v>640</v>
      </c>
      <c r="E53" s="3">
        <v>2.5</v>
      </c>
      <c r="F53" s="3">
        <f t="shared" si="1"/>
        <v>25</v>
      </c>
    </row>
    <row r="54" spans="2:6">
      <c r="B54" s="259"/>
      <c r="C54" s="3" t="s">
        <v>641</v>
      </c>
      <c r="D54" s="3">
        <v>1019</v>
      </c>
      <c r="E54" s="3">
        <f t="shared" ref="E54:E77" si="3">E50</f>
        <v>1</v>
      </c>
      <c r="F54" s="3">
        <f t="shared" si="1"/>
        <v>10</v>
      </c>
    </row>
    <row r="55" spans="2:6">
      <c r="B55" s="259"/>
      <c r="C55" s="3" t="s">
        <v>642</v>
      </c>
      <c r="D55" s="3">
        <v>1025</v>
      </c>
      <c r="E55" s="3">
        <f t="shared" si="3"/>
        <v>1.5</v>
      </c>
      <c r="F55" s="3">
        <f t="shared" si="1"/>
        <v>15</v>
      </c>
    </row>
    <row r="56" spans="2:6">
      <c r="B56" s="259"/>
      <c r="C56" s="3" t="s">
        <v>643</v>
      </c>
      <c r="D56" s="3">
        <v>1031</v>
      </c>
      <c r="E56" s="3">
        <f t="shared" si="3"/>
        <v>2</v>
      </c>
      <c r="F56" s="3">
        <f t="shared" si="1"/>
        <v>20</v>
      </c>
    </row>
    <row r="57" spans="2:6">
      <c r="B57" s="259"/>
      <c r="C57" s="3" t="s">
        <v>644</v>
      </c>
      <c r="D57" s="3">
        <v>1037</v>
      </c>
      <c r="E57" s="3">
        <f t="shared" si="3"/>
        <v>2.5</v>
      </c>
      <c r="F57" s="3">
        <f t="shared" si="1"/>
        <v>25</v>
      </c>
    </row>
    <row r="58" spans="2:6">
      <c r="B58" s="259"/>
      <c r="C58" s="3" t="s">
        <v>645</v>
      </c>
      <c r="D58" s="3">
        <v>1022</v>
      </c>
      <c r="E58" s="3">
        <f t="shared" si="3"/>
        <v>1</v>
      </c>
      <c r="F58" s="3">
        <f t="shared" si="1"/>
        <v>10</v>
      </c>
    </row>
    <row r="59" spans="2:6">
      <c r="B59" s="259"/>
      <c r="C59" s="3" t="s">
        <v>646</v>
      </c>
      <c r="D59" s="3">
        <v>1028</v>
      </c>
      <c r="E59" s="3">
        <f t="shared" si="3"/>
        <v>1.5</v>
      </c>
      <c r="F59" s="3">
        <f t="shared" si="1"/>
        <v>15</v>
      </c>
    </row>
    <row r="60" spans="2:6">
      <c r="B60" s="259"/>
      <c r="C60" s="3" t="s">
        <v>647</v>
      </c>
      <c r="D60" s="3">
        <v>1034</v>
      </c>
      <c r="E60" s="3">
        <f t="shared" si="3"/>
        <v>2</v>
      </c>
      <c r="F60" s="3">
        <f t="shared" si="1"/>
        <v>20</v>
      </c>
    </row>
    <row r="61" spans="2:6">
      <c r="B61" s="259"/>
      <c r="C61" s="3" t="s">
        <v>648</v>
      </c>
      <c r="D61" s="3">
        <v>1040</v>
      </c>
      <c r="E61" s="3">
        <f t="shared" si="3"/>
        <v>2.5</v>
      </c>
      <c r="F61" s="3">
        <f t="shared" si="1"/>
        <v>25</v>
      </c>
    </row>
    <row r="62" spans="2:6">
      <c r="B62" s="259"/>
      <c r="C62" s="3" t="s">
        <v>649</v>
      </c>
      <c r="D62" s="3">
        <v>1020</v>
      </c>
      <c r="E62" s="3">
        <f t="shared" si="3"/>
        <v>1</v>
      </c>
      <c r="F62" s="3">
        <f t="shared" si="1"/>
        <v>10</v>
      </c>
    </row>
    <row r="63" spans="2:6">
      <c r="B63" s="259"/>
      <c r="C63" s="3" t="s">
        <v>650</v>
      </c>
      <c r="D63" s="3">
        <v>1026</v>
      </c>
      <c r="E63" s="3">
        <f t="shared" si="3"/>
        <v>1.5</v>
      </c>
      <c r="F63" s="3">
        <f t="shared" si="1"/>
        <v>15</v>
      </c>
    </row>
    <row r="64" spans="2:6">
      <c r="B64" s="259"/>
      <c r="C64" s="3" t="s">
        <v>651</v>
      </c>
      <c r="D64" s="3">
        <v>1032</v>
      </c>
      <c r="E64" s="3">
        <f t="shared" si="3"/>
        <v>2</v>
      </c>
      <c r="F64" s="3">
        <f t="shared" si="1"/>
        <v>20</v>
      </c>
    </row>
    <row r="65" spans="1:6">
      <c r="B65" s="259"/>
      <c r="C65" s="3" t="s">
        <v>652</v>
      </c>
      <c r="D65" s="3">
        <v>1038</v>
      </c>
      <c r="E65" s="3">
        <f t="shared" si="3"/>
        <v>2.5</v>
      </c>
      <c r="F65" s="3">
        <f t="shared" si="1"/>
        <v>25</v>
      </c>
    </row>
    <row r="66" spans="1:6">
      <c r="B66" s="259"/>
      <c r="C66" s="3" t="s">
        <v>653</v>
      </c>
      <c r="D66" s="3">
        <v>1023</v>
      </c>
      <c r="E66" s="3">
        <f t="shared" si="3"/>
        <v>1</v>
      </c>
      <c r="F66" s="3">
        <f t="shared" si="1"/>
        <v>10</v>
      </c>
    </row>
    <row r="67" spans="1:6">
      <c r="B67" s="259"/>
      <c r="C67" s="3" t="s">
        <v>654</v>
      </c>
      <c r="D67" s="3">
        <v>1029</v>
      </c>
      <c r="E67" s="3">
        <f t="shared" si="3"/>
        <v>1.5</v>
      </c>
      <c r="F67" s="3">
        <f t="shared" si="1"/>
        <v>15</v>
      </c>
    </row>
    <row r="68" spans="1:6">
      <c r="B68" s="259"/>
      <c r="C68" s="3" t="s">
        <v>655</v>
      </c>
      <c r="D68" s="3">
        <v>1035</v>
      </c>
      <c r="E68" s="3">
        <f t="shared" si="3"/>
        <v>2</v>
      </c>
      <c r="F68" s="3">
        <f t="shared" si="1"/>
        <v>20</v>
      </c>
    </row>
    <row r="69" spans="1:6">
      <c r="B69" s="259"/>
      <c r="C69" s="3" t="s">
        <v>656</v>
      </c>
      <c r="D69" s="3">
        <v>1041</v>
      </c>
      <c r="E69" s="3">
        <f t="shared" si="3"/>
        <v>2.5</v>
      </c>
      <c r="F69" s="3">
        <f t="shared" si="1"/>
        <v>25</v>
      </c>
    </row>
    <row r="70" spans="1:6">
      <c r="B70" s="259"/>
      <c r="C70" s="3" t="s">
        <v>657</v>
      </c>
      <c r="D70" s="3">
        <v>1021</v>
      </c>
      <c r="E70" s="3">
        <f t="shared" si="3"/>
        <v>1</v>
      </c>
      <c r="F70" s="3">
        <f t="shared" si="1"/>
        <v>10</v>
      </c>
    </row>
    <row r="71" spans="1:6">
      <c r="B71" s="259"/>
      <c r="C71" s="3" t="s">
        <v>658</v>
      </c>
      <c r="D71" s="3">
        <v>1027</v>
      </c>
      <c r="E71" s="3">
        <f t="shared" si="3"/>
        <v>1.5</v>
      </c>
      <c r="F71" s="3">
        <f t="shared" si="1"/>
        <v>15</v>
      </c>
    </row>
    <row r="72" spans="1:6">
      <c r="B72" s="259"/>
      <c r="C72" s="3" t="s">
        <v>659</v>
      </c>
      <c r="D72" s="3">
        <v>1033</v>
      </c>
      <c r="E72" s="3">
        <f t="shared" si="3"/>
        <v>2</v>
      </c>
      <c r="F72" s="3">
        <f t="shared" si="1"/>
        <v>20</v>
      </c>
    </row>
    <row r="73" spans="1:6">
      <c r="B73" s="259"/>
      <c r="C73" s="3" t="s">
        <v>660</v>
      </c>
      <c r="D73" s="3">
        <v>1039</v>
      </c>
      <c r="E73" s="3">
        <f t="shared" si="3"/>
        <v>2.5</v>
      </c>
      <c r="F73" s="3">
        <f t="shared" si="1"/>
        <v>25</v>
      </c>
    </row>
    <row r="74" spans="1:6">
      <c r="B74" s="259"/>
      <c r="C74" s="3" t="s">
        <v>661</v>
      </c>
      <c r="D74" s="3">
        <v>1024</v>
      </c>
      <c r="E74" s="3">
        <f t="shared" si="3"/>
        <v>1</v>
      </c>
      <c r="F74" s="3">
        <f t="shared" si="1"/>
        <v>10</v>
      </c>
    </row>
    <row r="75" spans="1:6">
      <c r="B75" s="259"/>
      <c r="C75" s="3" t="s">
        <v>662</v>
      </c>
      <c r="D75" s="3">
        <v>1030</v>
      </c>
      <c r="E75" s="3">
        <f t="shared" si="3"/>
        <v>1.5</v>
      </c>
      <c r="F75" s="3">
        <f t="shared" si="1"/>
        <v>15</v>
      </c>
    </row>
    <row r="76" spans="1:6">
      <c r="B76" s="259"/>
      <c r="C76" s="3" t="s">
        <v>663</v>
      </c>
      <c r="D76" s="3">
        <v>1036</v>
      </c>
      <c r="E76" s="3">
        <f t="shared" si="3"/>
        <v>2</v>
      </c>
      <c r="F76" s="3">
        <f t="shared" si="1"/>
        <v>20</v>
      </c>
    </row>
    <row r="77" spans="1:6">
      <c r="B77" s="259"/>
      <c r="C77" s="3" t="s">
        <v>664</v>
      </c>
      <c r="D77" s="3">
        <v>1042</v>
      </c>
      <c r="E77" s="3">
        <f t="shared" si="3"/>
        <v>2.5</v>
      </c>
      <c r="F77" s="3">
        <f t="shared" si="1"/>
        <v>25</v>
      </c>
    </row>
    <row r="78" spans="1:6">
      <c r="B78" s="259"/>
      <c r="C78" s="3" t="s">
        <v>665</v>
      </c>
      <c r="D78" s="3">
        <v>103</v>
      </c>
      <c r="E78" s="3">
        <v>50</v>
      </c>
      <c r="F78" s="3">
        <f t="shared" si="1"/>
        <v>500</v>
      </c>
    </row>
    <row r="79" spans="1:6">
      <c r="A79" s="16" t="s">
        <v>666</v>
      </c>
      <c r="C79" s="3" t="s">
        <v>667</v>
      </c>
      <c r="E79" s="3">
        <v>5e-5</v>
      </c>
      <c r="F79" s="3">
        <f t="shared" si="1"/>
        <v>0.0005</v>
      </c>
    </row>
    <row r="80" ht="17.25" customHeight="1" spans="1:6">
      <c r="C80" s="3" t="s">
        <v>668</v>
      </c>
      <c r="D80" s="15">
        <v>108</v>
      </c>
      <c r="E80" s="3">
        <f>E79*1000</f>
        <v>0.05</v>
      </c>
      <c r="F80" s="3">
        <f t="shared" si="1"/>
        <v>0.5</v>
      </c>
    </row>
    <row r="81" ht="17.25" customHeight="1" spans="2:6">
      <c r="C81" s="3" t="s">
        <v>669</v>
      </c>
      <c r="D81" s="15">
        <v>109</v>
      </c>
      <c r="E81" s="3">
        <f>E79*4000</f>
        <v>0.2</v>
      </c>
      <c r="F81" s="3">
        <f t="shared" si="1"/>
        <v>2</v>
      </c>
    </row>
    <row r="82" ht="17.25" customHeight="1" spans="2:6">
      <c r="C82" s="3" t="s">
        <v>670</v>
      </c>
      <c r="D82" s="15">
        <v>110</v>
      </c>
      <c r="E82" s="3">
        <f>E79*20000</f>
        <v>1</v>
      </c>
      <c r="F82" s="3">
        <f t="shared" si="1"/>
        <v>10</v>
      </c>
    </row>
    <row r="84" spans="2:6">
      <c r="C84" s="3" t="s">
        <v>671</v>
      </c>
      <c r="E84" s="3">
        <f>E85</f>
        <v>0.4</v>
      </c>
      <c r="F84" s="3">
        <f t="shared" ref="F84:F115" si="4">E84*10</f>
        <v>4</v>
      </c>
    </row>
    <row r="85" spans="2:6">
      <c r="B85" s="104" t="s">
        <v>616</v>
      </c>
      <c r="C85" s="3" t="s">
        <v>672</v>
      </c>
      <c r="E85" s="3">
        <v>0.4</v>
      </c>
      <c r="F85" s="3">
        <f t="shared" si="4"/>
        <v>4</v>
      </c>
    </row>
    <row r="86" spans="2:6">
      <c r="C86" s="3" t="s">
        <v>673</v>
      </c>
      <c r="E86" s="3">
        <f>E85*3</f>
        <v>1.2</v>
      </c>
      <c r="F86" s="3">
        <f t="shared" si="4"/>
        <v>12</v>
      </c>
    </row>
    <row r="87" spans="2:6">
      <c r="C87" s="3" t="s">
        <v>674</v>
      </c>
      <c r="E87" s="3">
        <f>E86*3</f>
        <v>3.6</v>
      </c>
      <c r="F87" s="3">
        <f t="shared" si="4"/>
        <v>36</v>
      </c>
    </row>
    <row r="88" spans="2:6">
      <c r="B88" s="104"/>
      <c r="C88" s="3" t="s">
        <v>675</v>
      </c>
      <c r="D88" s="3">
        <v>1010</v>
      </c>
      <c r="E88" s="3">
        <v>0.4</v>
      </c>
      <c r="F88" s="3">
        <f t="shared" si="4"/>
        <v>4</v>
      </c>
    </row>
    <row r="89" spans="2:6">
      <c r="C89" s="3" t="s">
        <v>676</v>
      </c>
      <c r="D89" s="3">
        <v>1013</v>
      </c>
      <c r="E89" s="3">
        <f>E88*3</f>
        <v>1.2</v>
      </c>
      <c r="F89" s="3">
        <f t="shared" si="4"/>
        <v>12</v>
      </c>
    </row>
    <row r="90" spans="2:6">
      <c r="C90" s="3" t="s">
        <v>677</v>
      </c>
      <c r="D90" s="3">
        <v>1016</v>
      </c>
      <c r="E90" s="3">
        <f>E89*3</f>
        <v>3.6</v>
      </c>
      <c r="F90" s="3">
        <f t="shared" si="4"/>
        <v>36</v>
      </c>
    </row>
    <row r="91" spans="2:6">
      <c r="B91" s="104"/>
      <c r="C91" s="3" t="s">
        <v>678</v>
      </c>
      <c r="D91" s="3">
        <v>1011</v>
      </c>
      <c r="E91" s="3">
        <v>0.4</v>
      </c>
      <c r="F91" s="3">
        <f t="shared" si="4"/>
        <v>4</v>
      </c>
    </row>
    <row r="92" spans="2:6">
      <c r="C92" s="3" t="s">
        <v>679</v>
      </c>
      <c r="D92" s="3">
        <v>1014</v>
      </c>
      <c r="E92" s="3">
        <f>E91*3</f>
        <v>1.2</v>
      </c>
      <c r="F92" s="3">
        <f t="shared" si="4"/>
        <v>12</v>
      </c>
    </row>
    <row r="93" spans="2:6">
      <c r="C93" s="3" t="s">
        <v>680</v>
      </c>
      <c r="D93" s="3">
        <v>1017</v>
      </c>
      <c r="E93" s="3">
        <f>E92*3</f>
        <v>3.6</v>
      </c>
      <c r="F93" s="3">
        <f t="shared" si="4"/>
        <v>36</v>
      </c>
    </row>
    <row r="94" spans="2:6">
      <c r="B94" s="104"/>
      <c r="C94" s="3" t="s">
        <v>681</v>
      </c>
      <c r="D94" s="3">
        <v>1012</v>
      </c>
      <c r="E94" s="3">
        <v>0.4</v>
      </c>
      <c r="F94" s="3">
        <f t="shared" si="4"/>
        <v>4</v>
      </c>
    </row>
    <row r="95" spans="2:6">
      <c r="C95" s="3" t="s">
        <v>682</v>
      </c>
      <c r="D95" s="3">
        <v>1015</v>
      </c>
      <c r="E95" s="3">
        <f>E94*3</f>
        <v>1.2</v>
      </c>
      <c r="F95" s="3">
        <f t="shared" si="4"/>
        <v>12</v>
      </c>
    </row>
    <row r="96" spans="2:6">
      <c r="C96" s="3" t="s">
        <v>683</v>
      </c>
      <c r="D96" s="3">
        <v>1018</v>
      </c>
      <c r="E96" s="3">
        <f>E95*3</f>
        <v>3.6</v>
      </c>
      <c r="F96" s="3">
        <f t="shared" si="4"/>
        <v>36</v>
      </c>
    </row>
    <row r="97" spans="1:6">
      <c r="C97" s="3" t="s">
        <v>684</v>
      </c>
      <c r="E97" s="3">
        <v>500</v>
      </c>
      <c r="F97" s="3">
        <f t="shared" si="4"/>
        <v>5000</v>
      </c>
    </row>
    <row r="98" spans="1:6">
      <c r="C98" s="3" t="s">
        <v>685</v>
      </c>
      <c r="E98" s="3">
        <v>50</v>
      </c>
      <c r="F98" s="3">
        <f t="shared" si="4"/>
        <v>500</v>
      </c>
    </row>
    <row r="99" spans="1:6">
      <c r="C99" s="3" t="s">
        <v>686</v>
      </c>
      <c r="E99" s="3">
        <v>13</v>
      </c>
      <c r="F99" s="3">
        <f t="shared" si="4"/>
        <v>130</v>
      </c>
    </row>
    <row r="100" spans="1:6">
      <c r="A100" s="230" t="s">
        <v>687</v>
      </c>
      <c r="B100" s="231"/>
      <c r="C100" s="231" t="s">
        <v>688</v>
      </c>
      <c r="D100" s="231"/>
      <c r="E100" s="231">
        <v>0.001</v>
      </c>
      <c r="F100" s="231">
        <f t="shared" si="4"/>
        <v>0.01</v>
      </c>
    </row>
    <row r="101" spans="1:6">
      <c r="B101" s="231"/>
      <c r="C101" s="231" t="s">
        <v>689</v>
      </c>
      <c r="D101" s="231"/>
      <c r="E101" s="231">
        <v>150</v>
      </c>
      <c r="F101" s="231">
        <f t="shared" si="4"/>
        <v>1500</v>
      </c>
    </row>
    <row r="102" spans="1:6">
      <c r="B102" s="231"/>
      <c r="C102" s="231" t="s">
        <v>690</v>
      </c>
      <c r="D102" s="231"/>
      <c r="E102" s="231">
        <v>150</v>
      </c>
      <c r="F102" s="231">
        <f t="shared" si="4"/>
        <v>1500</v>
      </c>
    </row>
    <row r="103" spans="1:6">
      <c r="B103" s="231"/>
      <c r="C103" s="231" t="s">
        <v>691</v>
      </c>
      <c r="D103" s="231"/>
      <c r="E103" s="231">
        <v>200</v>
      </c>
      <c r="F103" s="231">
        <f t="shared" si="4"/>
        <v>2000</v>
      </c>
    </row>
    <row r="104" spans="1:6">
      <c r="B104" s="231"/>
      <c r="C104" s="231" t="s">
        <v>692</v>
      </c>
      <c r="D104" s="231"/>
      <c r="E104" s="231">
        <v>30</v>
      </c>
      <c r="F104" s="231">
        <f t="shared" si="4"/>
        <v>300</v>
      </c>
    </row>
    <row r="105" spans="1:6">
      <c r="B105" s="231"/>
      <c r="C105" s="231" t="s">
        <v>693</v>
      </c>
      <c r="D105" s="231"/>
      <c r="E105" s="231">
        <v>5</v>
      </c>
      <c r="F105" s="231">
        <f t="shared" si="4"/>
        <v>50</v>
      </c>
    </row>
    <row r="106" spans="1:6">
      <c r="B106" s="231"/>
      <c r="C106" s="231" t="s">
        <v>694</v>
      </c>
      <c r="D106" s="231"/>
      <c r="E106" s="231">
        <f>E101*1.5</f>
        <v>225</v>
      </c>
      <c r="F106" s="231">
        <f t="shared" si="4"/>
        <v>2250</v>
      </c>
    </row>
    <row r="107" spans="1:6">
      <c r="B107" s="231"/>
      <c r="C107" s="231" t="s">
        <v>695</v>
      </c>
      <c r="D107" s="231"/>
      <c r="E107" s="231">
        <f>E104*1.5</f>
        <v>45</v>
      </c>
      <c r="F107" s="231">
        <f t="shared" si="4"/>
        <v>450</v>
      </c>
    </row>
    <row r="108" spans="1:6">
      <c r="B108" s="231"/>
      <c r="C108" s="231" t="s">
        <v>696</v>
      </c>
      <c r="D108" s="231"/>
      <c r="E108" s="231">
        <f>E105*1.5</f>
        <v>7.5</v>
      </c>
      <c r="F108" s="231">
        <f t="shared" si="4"/>
        <v>75</v>
      </c>
    </row>
    <row r="109" spans="1:6">
      <c r="B109" s="231"/>
      <c r="C109" s="231" t="s">
        <v>697</v>
      </c>
      <c r="D109" s="231"/>
      <c r="E109" s="231">
        <v>4</v>
      </c>
      <c r="F109" s="231">
        <f t="shared" si="4"/>
        <v>40</v>
      </c>
    </row>
    <row r="110" spans="1:6">
      <c r="B110" s="231"/>
      <c r="C110" s="231" t="s">
        <v>698</v>
      </c>
      <c r="D110" s="231"/>
      <c r="E110" s="231">
        <v>1</v>
      </c>
      <c r="F110" s="231">
        <f t="shared" si="4"/>
        <v>10</v>
      </c>
    </row>
    <row r="111" spans="1:6">
      <c r="A111" s="16" t="s">
        <v>699</v>
      </c>
      <c r="C111" s="3" t="s">
        <v>700</v>
      </c>
      <c r="D111" s="3">
        <v>6</v>
      </c>
      <c r="E111" s="3">
        <v>0.001</v>
      </c>
      <c r="F111" s="3">
        <f t="shared" si="4"/>
        <v>0.01</v>
      </c>
    </row>
    <row r="112" spans="1:6">
      <c r="C112" s="3" t="s">
        <v>701</v>
      </c>
      <c r="E112" s="3">
        <v>5</v>
      </c>
      <c r="F112" s="3">
        <f t="shared" si="4"/>
        <v>50</v>
      </c>
    </row>
    <row r="113" spans="1:6">
      <c r="C113" s="3" t="s">
        <v>702</v>
      </c>
      <c r="E113" s="3">
        <v>1</v>
      </c>
      <c r="F113" s="3">
        <f t="shared" si="4"/>
        <v>10</v>
      </c>
    </row>
    <row r="114" spans="1:6">
      <c r="C114" s="3" t="s">
        <v>703</v>
      </c>
      <c r="E114" s="3">
        <v>0.5</v>
      </c>
      <c r="F114" s="3">
        <f t="shared" si="4"/>
        <v>5</v>
      </c>
    </row>
    <row r="115" spans="1:6">
      <c r="C115" s="3" t="s">
        <v>704</v>
      </c>
      <c r="E115" s="3">
        <v>0.2</v>
      </c>
      <c r="F115" s="3">
        <f t="shared" si="4"/>
        <v>2</v>
      </c>
    </row>
    <row r="122" spans="1:6">
      <c r="A122" s="16" t="s">
        <v>705</v>
      </c>
      <c r="C122" s="3" t="s">
        <v>706</v>
      </c>
      <c r="E122" s="3">
        <f>$E$144*映射装备!M32</f>
        <v>0.2</v>
      </c>
      <c r="F122" s="3">
        <f t="shared" ref="F122:F152" si="5">E122*10</f>
        <v>2</v>
      </c>
    </row>
    <row r="123" spans="1:6">
      <c r="C123" s="3" t="s">
        <v>707</v>
      </c>
      <c r="E123" s="3">
        <f>$E$144*映射装备!M33</f>
        <v>0.8</v>
      </c>
      <c r="F123" s="3">
        <f t="shared" si="5"/>
        <v>8</v>
      </c>
    </row>
    <row r="124" spans="1:6">
      <c r="C124" s="3" t="s">
        <v>708</v>
      </c>
      <c r="E124" s="3">
        <f>$E$144*映射装备!M34</f>
        <v>2</v>
      </c>
      <c r="F124" s="3">
        <f t="shared" si="5"/>
        <v>20</v>
      </c>
    </row>
    <row r="125" spans="1:6">
      <c r="C125" s="3" t="s">
        <v>709</v>
      </c>
      <c r="E125" s="3">
        <v>100</v>
      </c>
      <c r="F125" s="3">
        <f t="shared" si="5"/>
        <v>1000</v>
      </c>
    </row>
    <row r="126" ht="17.25" customHeight="1" spans="1:6">
      <c r="C126" s="3" t="s">
        <v>710</v>
      </c>
      <c r="D126" s="15">
        <v>1066</v>
      </c>
      <c r="E126" s="3">
        <v>5</v>
      </c>
      <c r="F126" s="3">
        <f t="shared" si="5"/>
        <v>50</v>
      </c>
    </row>
    <row r="127" ht="17.25" customHeight="1" spans="1:6">
      <c r="C127" s="3" t="s">
        <v>711</v>
      </c>
      <c r="D127" s="15">
        <v>1067</v>
      </c>
      <c r="E127" s="3">
        <v>15</v>
      </c>
      <c r="F127" s="3">
        <f t="shared" si="5"/>
        <v>150</v>
      </c>
    </row>
    <row r="128" ht="17.25" customHeight="1" spans="1:6">
      <c r="C128" s="3" t="s">
        <v>712</v>
      </c>
      <c r="D128" s="15">
        <v>1068</v>
      </c>
      <c r="E128" s="3">
        <v>50</v>
      </c>
      <c r="F128" s="3">
        <f t="shared" si="5"/>
        <v>500</v>
      </c>
    </row>
    <row r="129" ht="17.25" customHeight="1" spans="3:6">
      <c r="C129" s="3" t="s">
        <v>713</v>
      </c>
      <c r="D129" s="15">
        <v>1069</v>
      </c>
      <c r="E129" s="3">
        <v>300</v>
      </c>
      <c r="F129" s="3">
        <f t="shared" si="5"/>
        <v>3000</v>
      </c>
    </row>
    <row r="130" ht="17.25" customHeight="1" spans="3:6">
      <c r="C130" s="3" t="s">
        <v>714</v>
      </c>
      <c r="D130" s="15">
        <v>1070</v>
      </c>
      <c r="E130" s="3">
        <v>0.5</v>
      </c>
      <c r="F130" s="3">
        <f t="shared" si="5"/>
        <v>5</v>
      </c>
    </row>
    <row r="131" ht="17.25" customHeight="1" spans="3:6">
      <c r="C131" s="3" t="s">
        <v>715</v>
      </c>
      <c r="D131" s="15">
        <v>1071</v>
      </c>
      <c r="E131" s="3">
        <v>1.5</v>
      </c>
      <c r="F131" s="3">
        <f t="shared" si="5"/>
        <v>15</v>
      </c>
    </row>
    <row r="132" ht="17.25" customHeight="1" spans="3:6">
      <c r="C132" s="3" t="s">
        <v>716</v>
      </c>
      <c r="D132" s="15">
        <v>1072</v>
      </c>
      <c r="E132" s="3">
        <v>5</v>
      </c>
      <c r="F132" s="3">
        <f t="shared" si="5"/>
        <v>50</v>
      </c>
    </row>
    <row r="133" ht="17.25" customHeight="1" spans="3:6">
      <c r="C133" s="3" t="s">
        <v>717</v>
      </c>
      <c r="D133" s="15">
        <v>1073</v>
      </c>
      <c r="E133" s="3">
        <v>0</v>
      </c>
      <c r="F133" s="3">
        <f t="shared" si="5"/>
        <v>0</v>
      </c>
    </row>
    <row r="134" spans="3:6">
      <c r="C134" s="3" t="s">
        <v>718</v>
      </c>
      <c r="E134" s="3">
        <v>1</v>
      </c>
      <c r="F134" s="3">
        <f t="shared" si="5"/>
        <v>10</v>
      </c>
    </row>
    <row r="135" spans="3:6">
      <c r="C135" s="3" t="s">
        <v>719</v>
      </c>
      <c r="E135" s="3">
        <f>E134*映射装备!C7</f>
        <v>3</v>
      </c>
      <c r="F135" s="3">
        <f t="shared" si="5"/>
        <v>30</v>
      </c>
    </row>
    <row r="136" spans="3:6">
      <c r="C136" s="3" t="s">
        <v>720</v>
      </c>
      <c r="E136" s="3">
        <f>E135*映射装备!C8</f>
        <v>9</v>
      </c>
      <c r="F136" s="3">
        <f t="shared" si="5"/>
        <v>90</v>
      </c>
    </row>
    <row r="137" spans="3:6">
      <c r="C137" s="3" t="s">
        <v>721</v>
      </c>
      <c r="E137" s="3">
        <f>E136*映射装备!C9</f>
        <v>27</v>
      </c>
      <c r="F137" s="3">
        <f t="shared" si="5"/>
        <v>270</v>
      </c>
    </row>
    <row r="138" spans="3:6">
      <c r="C138" s="3" t="s">
        <v>722</v>
      </c>
      <c r="E138" s="3">
        <f>E137*映射装备!C10</f>
        <v>81</v>
      </c>
      <c r="F138" s="3">
        <f t="shared" si="5"/>
        <v>810</v>
      </c>
    </row>
    <row r="139" spans="3:6">
      <c r="C139" s="3" t="s">
        <v>723</v>
      </c>
      <c r="E139" s="3">
        <f>E138*映射装备!C11</f>
        <v>243</v>
      </c>
      <c r="F139" s="3">
        <f t="shared" si="5"/>
        <v>2430</v>
      </c>
    </row>
    <row r="140" spans="3:6">
      <c r="C140" s="3" t="s">
        <v>724</v>
      </c>
      <c r="E140" s="3">
        <f>E139*映射装备!C12</f>
        <v>729</v>
      </c>
      <c r="F140" s="3">
        <f t="shared" si="5"/>
        <v>7290</v>
      </c>
    </row>
    <row r="141" spans="3:6">
      <c r="C141" s="231" t="s">
        <v>725</v>
      </c>
      <c r="D141" s="231"/>
      <c r="E141" s="231">
        <v>10</v>
      </c>
      <c r="F141" s="231">
        <f t="shared" si="5"/>
        <v>100</v>
      </c>
    </row>
    <row r="142" spans="3:6">
      <c r="C142" s="231" t="s">
        <v>726</v>
      </c>
      <c r="D142" s="231"/>
      <c r="E142" s="231">
        <v>25</v>
      </c>
      <c r="F142" s="231">
        <f t="shared" si="5"/>
        <v>250</v>
      </c>
    </row>
    <row r="143" spans="3:6">
      <c r="C143" s="231" t="s">
        <v>727</v>
      </c>
      <c r="D143" s="231"/>
      <c r="E143" s="231">
        <v>100</v>
      </c>
      <c r="F143" s="231">
        <f t="shared" si="5"/>
        <v>1000</v>
      </c>
    </row>
    <row r="144" spans="3:6">
      <c r="C144" s="3" t="s">
        <v>728</v>
      </c>
      <c r="D144" s="3">
        <v>13</v>
      </c>
      <c r="E144" s="3">
        <v>0.001</v>
      </c>
      <c r="F144" s="3">
        <f t="shared" si="5"/>
        <v>0.01</v>
      </c>
    </row>
    <row r="145" spans="1:6">
      <c r="C145" s="3" t="s">
        <v>729</v>
      </c>
      <c r="E145" s="3">
        <v>0.2</v>
      </c>
      <c r="F145" s="3">
        <f t="shared" si="5"/>
        <v>2</v>
      </c>
    </row>
    <row r="146" ht="15" customHeight="1" spans="1:6">
      <c r="C146" s="3" t="s">
        <v>730</v>
      </c>
      <c r="E146" s="3">
        <v>1</v>
      </c>
      <c r="F146" s="3">
        <f t="shared" si="5"/>
        <v>10</v>
      </c>
    </row>
    <row r="147" spans="1:6">
      <c r="C147" s="3" t="s">
        <v>731</v>
      </c>
      <c r="E147" s="3">
        <f>E9*15</f>
        <v>6</v>
      </c>
      <c r="F147" s="3">
        <f t="shared" si="5"/>
        <v>60</v>
      </c>
    </row>
    <row r="148" spans="1:6">
      <c r="A148" s="16" t="s">
        <v>732</v>
      </c>
      <c r="C148" s="3" t="s">
        <v>733</v>
      </c>
      <c r="E148" s="3">
        <v>600</v>
      </c>
      <c r="F148" s="3">
        <f t="shared" si="5"/>
        <v>6000</v>
      </c>
    </row>
    <row r="149" spans="1:6">
      <c r="C149" s="3" t="s">
        <v>734</v>
      </c>
      <c r="E149" s="3">
        <v>100</v>
      </c>
      <c r="F149" s="3">
        <f t="shared" si="5"/>
        <v>1000</v>
      </c>
    </row>
    <row r="150" spans="1:6">
      <c r="C150" s="3" t="s">
        <v>735</v>
      </c>
      <c r="E150" s="3">
        <v>50</v>
      </c>
      <c r="F150" s="3">
        <f t="shared" si="5"/>
        <v>500</v>
      </c>
    </row>
    <row r="151" spans="1:6">
      <c r="C151" s="3" t="s">
        <v>736</v>
      </c>
      <c r="E151" s="3">
        <v>0.1</v>
      </c>
      <c r="F151" s="3">
        <f t="shared" si="5"/>
        <v>1</v>
      </c>
    </row>
    <row r="152" spans="1:6">
      <c r="C152" s="3" t="s">
        <v>737</v>
      </c>
      <c r="E152" s="3">
        <v>100</v>
      </c>
      <c r="F152" s="3">
        <f t="shared" si="5"/>
        <v>1000</v>
      </c>
    </row>
  </sheetData>
  <mergeCells count="18">
    <mergeCell ref="A3:A8"/>
    <mergeCell ref="A9:A21"/>
    <mergeCell ref="A22:A23"/>
    <mergeCell ref="A25:A45"/>
    <mergeCell ref="A46:A78"/>
    <mergeCell ref="A79:A99"/>
    <mergeCell ref="A100:A110"/>
    <mergeCell ref="A111:A121"/>
    <mergeCell ref="A122:A147"/>
    <mergeCell ref="A148:A158"/>
    <mergeCell ref="B31:B33"/>
    <mergeCell ref="B34:B36"/>
    <mergeCell ref="B37:B39"/>
    <mergeCell ref="B40:B42"/>
    <mergeCell ref="B85:B87"/>
    <mergeCell ref="B88:B90"/>
    <mergeCell ref="B91:B93"/>
    <mergeCell ref="B94:B9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579"/>
  <sheetViews>
    <sheetView workbookViewId="0">
      <selection activeCell="N19" sqref="N19:R579"/>
    </sheetView>
  </sheetViews>
  <sheetFormatPr defaultColWidth="9" defaultRowHeight="13.5"/>
  <cols>
    <col min="7" max="7" width="11.5" style="14" customWidth="1"/>
    <col min="10" max="10" width="15" style="14" customWidth="1"/>
    <col min="11" max="11" width="20.375" style="14" customWidth="1"/>
    <col min="12" max="12" width="12.875" style="14" customWidth="1"/>
    <col min="15" max="15" width="10.75" style="14" customWidth="1"/>
  </cols>
  <sheetData>
    <row r="2" spans="2:18">
      <c r="B2" t="s">
        <v>738</v>
      </c>
      <c r="F2" t="s">
        <v>739</v>
      </c>
      <c r="J2" t="s">
        <v>740</v>
      </c>
      <c r="N2" t="s">
        <v>741</v>
      </c>
    </row>
    <row r="3" ht="15" customHeight="1" spans="2:18">
      <c r="B3" s="19" t="s">
        <v>742</v>
      </c>
      <c r="C3" s="19" t="s">
        <v>743</v>
      </c>
      <c r="D3" s="19" t="s">
        <v>744</v>
      </c>
      <c r="F3" s="19" t="s">
        <v>744</v>
      </c>
      <c r="G3" s="19" t="s">
        <v>742</v>
      </c>
      <c r="H3" s="19" t="s">
        <v>743</v>
      </c>
      <c r="J3" s="19" t="s">
        <v>745</v>
      </c>
      <c r="K3" s="19" t="s">
        <v>746</v>
      </c>
      <c r="L3" s="19" t="s">
        <v>747</v>
      </c>
      <c r="N3" s="19" t="s">
        <v>748</v>
      </c>
      <c r="O3" s="19" t="s">
        <v>749</v>
      </c>
      <c r="P3" s="19" t="s">
        <v>750</v>
      </c>
      <c r="Q3" s="19" t="s">
        <v>751</v>
      </c>
      <c r="R3" s="19" t="s">
        <v>752</v>
      </c>
    </row>
    <row r="4" ht="17.25" customHeight="1" spans="2:18">
      <c r="B4" s="104" t="s">
        <v>753</v>
      </c>
      <c r="C4" s="232" t="s">
        <v>754</v>
      </c>
      <c r="D4">
        <v>1003</v>
      </c>
      <c r="F4" s="208">
        <v>52001</v>
      </c>
      <c r="G4" s="254" t="s">
        <v>755</v>
      </c>
      <c r="H4" s="232" t="s">
        <v>754</v>
      </c>
      <c r="J4" s="15">
        <v>80001</v>
      </c>
      <c r="K4" s="15" t="s">
        <v>756</v>
      </c>
      <c r="L4" s="255" t="s">
        <v>757</v>
      </c>
      <c r="N4" s="256">
        <v>60001</v>
      </c>
      <c r="O4" s="256">
        <v>1</v>
      </c>
      <c r="P4" s="256" t="s">
        <v>758</v>
      </c>
      <c r="Q4" s="256">
        <v>1</v>
      </c>
      <c r="R4" s="256" t="s">
        <v>757</v>
      </c>
    </row>
    <row r="5" ht="17.25" customHeight="1" spans="2:18">
      <c r="B5" s="16" t="s">
        <v>759</v>
      </c>
      <c r="C5" s="232" t="s">
        <v>754</v>
      </c>
      <c r="D5">
        <v>1005</v>
      </c>
      <c r="F5" s="208">
        <v>52002</v>
      </c>
      <c r="G5" s="254" t="s">
        <v>760</v>
      </c>
      <c r="H5" s="232" t="s">
        <v>754</v>
      </c>
      <c r="J5" s="15">
        <v>80002</v>
      </c>
      <c r="K5" s="15" t="s">
        <v>761</v>
      </c>
      <c r="L5" s="255" t="s">
        <v>762</v>
      </c>
      <c r="N5" s="256">
        <v>60002</v>
      </c>
      <c r="O5" s="256">
        <v>1</v>
      </c>
      <c r="P5" s="256" t="s">
        <v>758</v>
      </c>
      <c r="Q5" s="256">
        <v>2</v>
      </c>
      <c r="R5" s="256" t="s">
        <v>757</v>
      </c>
    </row>
    <row r="6" ht="17.25" customHeight="1" spans="2:18">
      <c r="B6" s="16" t="s">
        <v>763</v>
      </c>
      <c r="C6" s="232" t="s">
        <v>754</v>
      </c>
      <c r="D6">
        <v>1006</v>
      </c>
      <c r="F6" s="208">
        <v>52003</v>
      </c>
      <c r="G6" s="254" t="s">
        <v>764</v>
      </c>
      <c r="H6" s="232" t="s">
        <v>754</v>
      </c>
      <c r="J6" s="15">
        <v>80003</v>
      </c>
      <c r="K6" s="15" t="s">
        <v>765</v>
      </c>
      <c r="L6" s="255" t="s">
        <v>766</v>
      </c>
      <c r="N6" s="256">
        <v>60003</v>
      </c>
      <c r="O6" s="256">
        <v>1</v>
      </c>
      <c r="P6" s="256" t="s">
        <v>758</v>
      </c>
      <c r="Q6" s="256">
        <v>3</v>
      </c>
      <c r="R6" s="256" t="s">
        <v>757</v>
      </c>
    </row>
    <row r="7" ht="17.25" customHeight="1" spans="2:18">
      <c r="B7" s="16" t="s">
        <v>767</v>
      </c>
      <c r="C7" s="232" t="s">
        <v>754</v>
      </c>
      <c r="D7">
        <v>1007</v>
      </c>
      <c r="F7" s="208">
        <v>52004</v>
      </c>
      <c r="G7" s="254" t="s">
        <v>768</v>
      </c>
      <c r="H7" s="232" t="s">
        <v>754</v>
      </c>
      <c r="J7" s="15">
        <v>80004</v>
      </c>
      <c r="K7" s="15" t="s">
        <v>769</v>
      </c>
      <c r="L7" s="255" t="s">
        <v>757</v>
      </c>
      <c r="N7" s="256">
        <v>60004</v>
      </c>
      <c r="O7" s="256">
        <v>1</v>
      </c>
      <c r="P7" s="256" t="s">
        <v>758</v>
      </c>
      <c r="Q7" s="256">
        <v>4</v>
      </c>
      <c r="R7" s="256" t="s">
        <v>757</v>
      </c>
    </row>
    <row r="8" ht="17.25" customHeight="1" spans="2:18">
      <c r="B8" s="16" t="s">
        <v>770</v>
      </c>
      <c r="C8" s="232" t="s">
        <v>754</v>
      </c>
      <c r="D8">
        <v>1017</v>
      </c>
      <c r="F8" s="208">
        <v>52005</v>
      </c>
      <c r="G8" s="254" t="s">
        <v>771</v>
      </c>
      <c r="H8" s="232" t="s">
        <v>754</v>
      </c>
      <c r="J8" s="15">
        <v>80005</v>
      </c>
      <c r="K8" s="15" t="s">
        <v>772</v>
      </c>
      <c r="L8" s="255" t="s">
        <v>762</v>
      </c>
      <c r="N8" s="256">
        <v>60005</v>
      </c>
      <c r="O8" s="256">
        <v>1</v>
      </c>
      <c r="P8" s="256" t="s">
        <v>758</v>
      </c>
      <c r="Q8" s="256">
        <v>5</v>
      </c>
      <c r="R8" s="256" t="s">
        <v>757</v>
      </c>
    </row>
    <row r="9" ht="17.25" customHeight="1" spans="2:18">
      <c r="B9" s="16" t="s">
        <v>773</v>
      </c>
      <c r="C9" s="232" t="s">
        <v>754</v>
      </c>
      <c r="D9">
        <v>1009</v>
      </c>
      <c r="F9" s="208">
        <v>52006</v>
      </c>
      <c r="G9" s="254" t="s">
        <v>774</v>
      </c>
      <c r="H9" s="232" t="s">
        <v>754</v>
      </c>
      <c r="J9" s="15">
        <v>80006</v>
      </c>
      <c r="K9" s="15" t="s">
        <v>775</v>
      </c>
      <c r="L9" s="255" t="s">
        <v>766</v>
      </c>
      <c r="N9" s="256">
        <v>60006</v>
      </c>
      <c r="O9" s="256">
        <v>1</v>
      </c>
      <c r="P9" s="256" t="s">
        <v>758</v>
      </c>
      <c r="Q9" s="256">
        <v>6</v>
      </c>
      <c r="R9" s="256" t="s">
        <v>757</v>
      </c>
    </row>
    <row r="10" ht="17.25" customHeight="1" spans="2:18">
      <c r="B10" s="16" t="s">
        <v>776</v>
      </c>
      <c r="C10" s="232" t="s">
        <v>754</v>
      </c>
      <c r="D10">
        <v>1013</v>
      </c>
      <c r="F10" s="208">
        <v>52007</v>
      </c>
      <c r="G10" s="254" t="s">
        <v>777</v>
      </c>
      <c r="H10" s="234" t="s">
        <v>778</v>
      </c>
      <c r="J10" s="15">
        <v>80007</v>
      </c>
      <c r="K10" s="15" t="s">
        <v>779</v>
      </c>
      <c r="L10" s="255" t="s">
        <v>757</v>
      </c>
      <c r="N10" s="256">
        <v>60007</v>
      </c>
      <c r="O10" s="256">
        <v>1</v>
      </c>
      <c r="P10" s="256" t="s">
        <v>758</v>
      </c>
      <c r="Q10" s="256">
        <v>1</v>
      </c>
      <c r="R10" s="256" t="s">
        <v>762</v>
      </c>
    </row>
    <row r="11" ht="17.25" customHeight="1" spans="2:18">
      <c r="B11" s="16" t="s">
        <v>780</v>
      </c>
      <c r="C11" s="232" t="s">
        <v>754</v>
      </c>
      <c r="D11">
        <v>1016</v>
      </c>
      <c r="F11" s="208">
        <v>52008</v>
      </c>
      <c r="G11" s="254" t="s">
        <v>781</v>
      </c>
      <c r="H11" s="234" t="s">
        <v>778</v>
      </c>
      <c r="J11" s="15">
        <v>80008</v>
      </c>
      <c r="K11" s="15" t="s">
        <v>782</v>
      </c>
      <c r="L11" s="255" t="s">
        <v>762</v>
      </c>
      <c r="N11" s="256">
        <v>60008</v>
      </c>
      <c r="O11" s="256">
        <v>1</v>
      </c>
      <c r="P11" s="256" t="s">
        <v>758</v>
      </c>
      <c r="Q11" s="256">
        <v>2</v>
      </c>
      <c r="R11" s="256" t="s">
        <v>762</v>
      </c>
    </row>
    <row r="12" ht="17.25" customHeight="1" spans="2:18">
      <c r="B12" s="16" t="s">
        <v>783</v>
      </c>
      <c r="C12" s="232" t="s">
        <v>754</v>
      </c>
      <c r="D12">
        <v>1032</v>
      </c>
      <c r="F12" s="208">
        <v>52009</v>
      </c>
      <c r="G12" s="254" t="s">
        <v>784</v>
      </c>
      <c r="H12" s="234" t="s">
        <v>778</v>
      </c>
      <c r="J12" s="257">
        <v>80009</v>
      </c>
      <c r="K12" s="257" t="s">
        <v>785</v>
      </c>
      <c r="L12" s="258" t="s">
        <v>766</v>
      </c>
      <c r="N12" s="256">
        <v>60009</v>
      </c>
      <c r="O12" s="256">
        <v>1</v>
      </c>
      <c r="P12" s="256" t="s">
        <v>758</v>
      </c>
      <c r="Q12" s="256">
        <v>3</v>
      </c>
      <c r="R12" s="256" t="s">
        <v>762</v>
      </c>
    </row>
    <row r="13" ht="17.25" customHeight="1" spans="2:18">
      <c r="B13" s="16" t="s">
        <v>786</v>
      </c>
      <c r="C13" s="232" t="s">
        <v>754</v>
      </c>
      <c r="D13">
        <v>1033</v>
      </c>
      <c r="F13" s="208">
        <v>52010</v>
      </c>
      <c r="G13" s="254" t="s">
        <v>787</v>
      </c>
      <c r="H13" s="234" t="s">
        <v>778</v>
      </c>
      <c r="J13" s="15">
        <v>80010</v>
      </c>
      <c r="K13" s="15" t="s">
        <v>788</v>
      </c>
      <c r="L13" s="255" t="s">
        <v>757</v>
      </c>
      <c r="N13" s="256">
        <v>60010</v>
      </c>
      <c r="O13" s="256">
        <v>1</v>
      </c>
      <c r="P13" s="256" t="s">
        <v>758</v>
      </c>
      <c r="Q13" s="256">
        <v>4</v>
      </c>
      <c r="R13" s="256" t="s">
        <v>762</v>
      </c>
    </row>
    <row r="14" ht="17.25" customHeight="1" spans="2:18">
      <c r="B14" s="16" t="s">
        <v>789</v>
      </c>
      <c r="C14" s="232" t="s">
        <v>754</v>
      </c>
      <c r="D14">
        <v>1034</v>
      </c>
      <c r="F14" s="208">
        <v>52011</v>
      </c>
      <c r="G14" s="254" t="s">
        <v>790</v>
      </c>
      <c r="H14" s="234" t="s">
        <v>778</v>
      </c>
      <c r="J14" s="15">
        <v>80011</v>
      </c>
      <c r="K14" s="15" t="s">
        <v>791</v>
      </c>
      <c r="L14" s="255" t="s">
        <v>762</v>
      </c>
      <c r="N14" s="256">
        <v>60011</v>
      </c>
      <c r="O14" s="256">
        <v>1</v>
      </c>
      <c r="P14" s="256" t="s">
        <v>758</v>
      </c>
      <c r="Q14" s="256">
        <v>5</v>
      </c>
      <c r="R14" s="256" t="s">
        <v>762</v>
      </c>
    </row>
    <row r="15" ht="17.25" customHeight="1" spans="2:18">
      <c r="B15" s="16" t="s">
        <v>792</v>
      </c>
      <c r="C15" s="232" t="s">
        <v>754</v>
      </c>
      <c r="D15">
        <v>1028</v>
      </c>
      <c r="F15" s="208">
        <v>52012</v>
      </c>
      <c r="G15" s="254" t="s">
        <v>793</v>
      </c>
      <c r="H15" s="234" t="s">
        <v>778</v>
      </c>
      <c r="J15" s="15">
        <v>80012</v>
      </c>
      <c r="K15" s="15" t="s">
        <v>794</v>
      </c>
      <c r="L15" s="255" t="s">
        <v>766</v>
      </c>
      <c r="N15" s="256">
        <v>60012</v>
      </c>
      <c r="O15" s="256">
        <v>1</v>
      </c>
      <c r="P15" s="256" t="s">
        <v>758</v>
      </c>
      <c r="Q15" s="256">
        <v>6</v>
      </c>
      <c r="R15" s="256" t="s">
        <v>762</v>
      </c>
    </row>
    <row r="16" ht="17.25" customHeight="1" spans="2:18">
      <c r="B16" s="16" t="s">
        <v>795</v>
      </c>
      <c r="C16" s="232" t="s">
        <v>754</v>
      </c>
      <c r="D16">
        <v>1025</v>
      </c>
      <c r="F16" s="208">
        <v>52013</v>
      </c>
      <c r="G16" s="208" t="s">
        <v>796</v>
      </c>
      <c r="H16" s="233" t="s">
        <v>797</v>
      </c>
      <c r="J16" s="15">
        <v>80013</v>
      </c>
      <c r="K16" s="15" t="s">
        <v>798</v>
      </c>
      <c r="L16" s="255" t="s">
        <v>757</v>
      </c>
      <c r="N16" s="256">
        <v>60013</v>
      </c>
      <c r="O16" s="256">
        <v>1</v>
      </c>
      <c r="P16" s="256" t="s">
        <v>758</v>
      </c>
      <c r="Q16" s="256">
        <v>1</v>
      </c>
      <c r="R16" s="256" t="s">
        <v>766</v>
      </c>
    </row>
    <row r="17" ht="17.25" customHeight="1" spans="2:18">
      <c r="B17" s="16" t="s">
        <v>799</v>
      </c>
      <c r="C17" s="232" t="s">
        <v>754</v>
      </c>
      <c r="D17">
        <v>1010</v>
      </c>
      <c r="F17" s="208">
        <v>52014</v>
      </c>
      <c r="G17" s="208" t="s">
        <v>800</v>
      </c>
      <c r="H17" s="233" t="s">
        <v>797</v>
      </c>
      <c r="J17" s="15">
        <v>80014</v>
      </c>
      <c r="K17" s="15" t="s">
        <v>801</v>
      </c>
      <c r="L17" s="255" t="s">
        <v>762</v>
      </c>
      <c r="N17" s="256">
        <v>60014</v>
      </c>
      <c r="O17" s="256">
        <v>1</v>
      </c>
      <c r="P17" s="256" t="s">
        <v>758</v>
      </c>
      <c r="Q17" s="256">
        <v>2</v>
      </c>
      <c r="R17" s="256" t="s">
        <v>766</v>
      </c>
    </row>
    <row r="18" ht="17.25" customHeight="1" spans="2:18">
      <c r="B18" s="16" t="s">
        <v>802</v>
      </c>
      <c r="C18" s="234" t="s">
        <v>778</v>
      </c>
      <c r="D18">
        <v>1001</v>
      </c>
      <c r="F18" s="208">
        <v>52015</v>
      </c>
      <c r="G18" s="254" t="s">
        <v>803</v>
      </c>
      <c r="H18" s="233" t="s">
        <v>797</v>
      </c>
      <c r="J18" s="15">
        <v>80015</v>
      </c>
      <c r="K18" s="15" t="s">
        <v>804</v>
      </c>
      <c r="L18" s="255" t="s">
        <v>766</v>
      </c>
      <c r="N18" s="256">
        <v>60015</v>
      </c>
      <c r="O18" s="256">
        <v>1</v>
      </c>
      <c r="P18" s="256" t="s">
        <v>805</v>
      </c>
      <c r="Q18" s="256">
        <v>3</v>
      </c>
      <c r="R18" s="256" t="s">
        <v>766</v>
      </c>
    </row>
    <row r="19" ht="17.25" customHeight="1" spans="2:18">
      <c r="B19" s="16" t="s">
        <v>806</v>
      </c>
      <c r="C19" s="234" t="s">
        <v>778</v>
      </c>
      <c r="D19">
        <v>1002</v>
      </c>
      <c r="F19" s="208">
        <v>52016</v>
      </c>
      <c r="G19" s="254" t="s">
        <v>807</v>
      </c>
      <c r="H19" s="233" t="s">
        <v>797</v>
      </c>
      <c r="J19" s="15">
        <v>80016</v>
      </c>
      <c r="K19" s="15" t="s">
        <v>808</v>
      </c>
      <c r="L19" s="255" t="s">
        <v>757</v>
      </c>
      <c r="N19" s="256">
        <v>60016</v>
      </c>
      <c r="O19" s="256">
        <v>1</v>
      </c>
      <c r="P19" s="256" t="s">
        <v>758</v>
      </c>
      <c r="Q19" s="256">
        <v>4</v>
      </c>
      <c r="R19" s="256" t="s">
        <v>766</v>
      </c>
    </row>
    <row r="20" ht="17.25" customHeight="1" spans="2:18">
      <c r="B20" s="16" t="s">
        <v>809</v>
      </c>
      <c r="C20" s="234" t="s">
        <v>778</v>
      </c>
      <c r="D20">
        <v>1004</v>
      </c>
      <c r="F20" s="208">
        <v>52017</v>
      </c>
      <c r="G20" s="254" t="s">
        <v>810</v>
      </c>
      <c r="H20" s="233" t="s">
        <v>797</v>
      </c>
      <c r="J20" s="15">
        <v>80017</v>
      </c>
      <c r="K20" s="15" t="s">
        <v>811</v>
      </c>
      <c r="L20" s="255" t="s">
        <v>762</v>
      </c>
      <c r="N20" s="256">
        <v>60017</v>
      </c>
      <c r="O20" s="256">
        <v>1</v>
      </c>
      <c r="P20" s="256" t="s">
        <v>758</v>
      </c>
      <c r="Q20" s="256">
        <v>5</v>
      </c>
      <c r="R20" s="256" t="s">
        <v>766</v>
      </c>
    </row>
    <row r="21" ht="17.25" customHeight="1" spans="2:18">
      <c r="B21" s="16" t="s">
        <v>812</v>
      </c>
      <c r="C21" s="234" t="s">
        <v>778</v>
      </c>
      <c r="D21">
        <v>1011</v>
      </c>
      <c r="F21" s="208">
        <v>52018</v>
      </c>
      <c r="G21" s="254" t="s">
        <v>813</v>
      </c>
      <c r="H21" s="233" t="s">
        <v>797</v>
      </c>
      <c r="J21" s="257">
        <v>80018</v>
      </c>
      <c r="K21" s="257" t="s">
        <v>814</v>
      </c>
      <c r="L21" s="258" t="s">
        <v>766</v>
      </c>
      <c r="N21" s="256">
        <v>60018</v>
      </c>
      <c r="O21" s="256">
        <v>1</v>
      </c>
      <c r="P21" s="256" t="s">
        <v>758</v>
      </c>
      <c r="Q21" s="256">
        <v>6</v>
      </c>
      <c r="R21" s="256" t="s">
        <v>766</v>
      </c>
    </row>
    <row r="22" ht="17.25" customHeight="1" spans="2:18">
      <c r="B22" s="16" t="s">
        <v>815</v>
      </c>
      <c r="C22" s="234" t="s">
        <v>778</v>
      </c>
      <c r="D22">
        <v>1014</v>
      </c>
      <c r="J22" s="15">
        <v>80019</v>
      </c>
      <c r="K22" s="15" t="s">
        <v>816</v>
      </c>
      <c r="L22" s="255" t="s">
        <v>757</v>
      </c>
      <c r="N22" s="256">
        <v>60019</v>
      </c>
      <c r="O22" s="256">
        <v>1</v>
      </c>
      <c r="P22" s="256" t="s">
        <v>758</v>
      </c>
      <c r="Q22" s="256">
        <v>1</v>
      </c>
      <c r="R22" s="256" t="s">
        <v>817</v>
      </c>
    </row>
    <row r="23" ht="17.25" customHeight="1" spans="2:18">
      <c r="B23" s="16" t="s">
        <v>818</v>
      </c>
      <c r="C23" s="234" t="s">
        <v>778</v>
      </c>
      <c r="D23">
        <v>1015</v>
      </c>
      <c r="J23" s="15">
        <v>80020</v>
      </c>
      <c r="K23" s="15" t="s">
        <v>819</v>
      </c>
      <c r="L23" s="255" t="s">
        <v>762</v>
      </c>
      <c r="N23" s="256">
        <v>60020</v>
      </c>
      <c r="O23" s="256">
        <v>1</v>
      </c>
      <c r="P23" s="256" t="s">
        <v>758</v>
      </c>
      <c r="Q23" s="256">
        <v>2</v>
      </c>
      <c r="R23" s="256" t="s">
        <v>817</v>
      </c>
    </row>
    <row r="24" ht="17.25" customHeight="1" spans="2:18">
      <c r="B24" s="16" t="s">
        <v>820</v>
      </c>
      <c r="C24" s="234" t="s">
        <v>778</v>
      </c>
      <c r="D24">
        <v>1012</v>
      </c>
      <c r="J24" s="15">
        <v>80021</v>
      </c>
      <c r="K24" s="15" t="s">
        <v>821</v>
      </c>
      <c r="L24" s="255" t="s">
        <v>766</v>
      </c>
      <c r="N24" s="256">
        <v>60021</v>
      </c>
      <c r="O24" s="256">
        <v>1</v>
      </c>
      <c r="P24" s="256" t="s">
        <v>758</v>
      </c>
      <c r="Q24" s="256">
        <v>3</v>
      </c>
      <c r="R24" s="256" t="s">
        <v>817</v>
      </c>
    </row>
    <row r="25" ht="17.25" customHeight="1" spans="2:18">
      <c r="B25" s="16" t="s">
        <v>822</v>
      </c>
      <c r="C25" s="234" t="s">
        <v>778</v>
      </c>
      <c r="D25">
        <v>1008</v>
      </c>
      <c r="J25" s="15">
        <v>80022</v>
      </c>
      <c r="K25" s="15" t="s">
        <v>823</v>
      </c>
      <c r="L25" s="255" t="s">
        <v>757</v>
      </c>
      <c r="N25" s="256">
        <v>60022</v>
      </c>
      <c r="O25" s="256">
        <v>1</v>
      </c>
      <c r="P25" s="256" t="s">
        <v>758</v>
      </c>
      <c r="Q25" s="256">
        <v>4</v>
      </c>
      <c r="R25" s="256" t="s">
        <v>817</v>
      </c>
    </row>
    <row r="26" ht="17.25" customHeight="1" spans="2:18">
      <c r="B26" s="16" t="s">
        <v>824</v>
      </c>
      <c r="C26" s="234" t="s">
        <v>778</v>
      </c>
      <c r="D26">
        <v>1018</v>
      </c>
      <c r="J26" s="15">
        <v>80023</v>
      </c>
      <c r="K26" s="15" t="s">
        <v>825</v>
      </c>
      <c r="L26" s="255" t="s">
        <v>762</v>
      </c>
      <c r="N26" s="256">
        <v>60023</v>
      </c>
      <c r="O26" s="256">
        <v>1</v>
      </c>
      <c r="P26" s="256" t="s">
        <v>758</v>
      </c>
      <c r="Q26" s="256">
        <v>5</v>
      </c>
      <c r="R26" s="256" t="s">
        <v>817</v>
      </c>
    </row>
    <row r="27" ht="17.25" customHeight="1" spans="2:18">
      <c r="B27" s="16" t="s">
        <v>826</v>
      </c>
      <c r="C27" s="234" t="s">
        <v>778</v>
      </c>
      <c r="D27">
        <v>1026</v>
      </c>
      <c r="J27" s="15">
        <v>80024</v>
      </c>
      <c r="K27" s="15" t="s">
        <v>827</v>
      </c>
      <c r="L27" s="255" t="s">
        <v>766</v>
      </c>
      <c r="N27" s="256">
        <v>60024</v>
      </c>
      <c r="O27" s="256">
        <v>1</v>
      </c>
      <c r="P27" s="256" t="s">
        <v>758</v>
      </c>
      <c r="Q27" s="256">
        <v>6</v>
      </c>
      <c r="R27" s="256" t="s">
        <v>817</v>
      </c>
    </row>
    <row r="28" ht="17.25" customHeight="1" spans="2:18">
      <c r="B28" s="16" t="s">
        <v>828</v>
      </c>
      <c r="C28" s="234" t="s">
        <v>778</v>
      </c>
      <c r="D28">
        <v>1028</v>
      </c>
      <c r="J28" s="15">
        <v>80025</v>
      </c>
      <c r="K28" s="15" t="s">
        <v>829</v>
      </c>
      <c r="L28" s="255" t="s">
        <v>757</v>
      </c>
      <c r="N28" s="256">
        <v>60025</v>
      </c>
      <c r="O28" s="256">
        <v>2</v>
      </c>
      <c r="P28" s="256" t="s">
        <v>830</v>
      </c>
      <c r="Q28" s="256">
        <v>1</v>
      </c>
      <c r="R28" s="256" t="s">
        <v>757</v>
      </c>
    </row>
    <row r="29" ht="17.25" customHeight="1" spans="2:18">
      <c r="B29" s="16" t="s">
        <v>831</v>
      </c>
      <c r="C29" s="234" t="s">
        <v>778</v>
      </c>
      <c r="D29">
        <v>1031</v>
      </c>
      <c r="J29" s="15">
        <v>80026</v>
      </c>
      <c r="K29" s="15" t="s">
        <v>832</v>
      </c>
      <c r="L29" s="255" t="s">
        <v>762</v>
      </c>
      <c r="N29" s="256">
        <v>60026</v>
      </c>
      <c r="O29" s="256">
        <v>2</v>
      </c>
      <c r="P29" s="256" t="s">
        <v>830</v>
      </c>
      <c r="Q29" s="256">
        <v>2</v>
      </c>
      <c r="R29" s="256" t="s">
        <v>757</v>
      </c>
    </row>
    <row r="30" ht="17.25" customHeight="1" spans="2:18">
      <c r="B30" s="16" t="s">
        <v>833</v>
      </c>
      <c r="C30" s="233" t="s">
        <v>797</v>
      </c>
      <c r="D30">
        <v>1020</v>
      </c>
      <c r="J30" s="257">
        <v>80027</v>
      </c>
      <c r="K30" s="257" t="s">
        <v>834</v>
      </c>
      <c r="L30" s="258" t="s">
        <v>766</v>
      </c>
      <c r="N30" s="256">
        <v>60027</v>
      </c>
      <c r="O30" s="256">
        <v>2</v>
      </c>
      <c r="P30" s="256" t="s">
        <v>830</v>
      </c>
      <c r="Q30" s="256">
        <v>3</v>
      </c>
      <c r="R30" s="256" t="s">
        <v>757</v>
      </c>
    </row>
    <row r="31" ht="17.25" customHeight="1" spans="2:18">
      <c r="B31" s="16" t="s">
        <v>835</v>
      </c>
      <c r="C31" s="233" t="s">
        <v>797</v>
      </c>
      <c r="D31">
        <v>1021</v>
      </c>
      <c r="J31" s="15">
        <v>80028</v>
      </c>
      <c r="K31" s="15" t="s">
        <v>836</v>
      </c>
      <c r="L31" s="255" t="s">
        <v>757</v>
      </c>
      <c r="N31" s="256">
        <v>60028</v>
      </c>
      <c r="O31" s="256">
        <v>2</v>
      </c>
      <c r="P31" s="256" t="s">
        <v>830</v>
      </c>
      <c r="Q31" s="256">
        <v>4</v>
      </c>
      <c r="R31" s="256" t="s">
        <v>757</v>
      </c>
    </row>
    <row r="32" ht="17.25" customHeight="1" spans="2:18">
      <c r="B32" s="16" t="s">
        <v>837</v>
      </c>
      <c r="C32" s="233" t="s">
        <v>797</v>
      </c>
      <c r="D32">
        <v>1023</v>
      </c>
      <c r="J32" s="15">
        <v>80029</v>
      </c>
      <c r="K32" s="15" t="s">
        <v>838</v>
      </c>
      <c r="L32" s="255" t="s">
        <v>762</v>
      </c>
      <c r="N32" s="256">
        <v>60029</v>
      </c>
      <c r="O32" s="256">
        <v>2</v>
      </c>
      <c r="P32" s="256" t="s">
        <v>830</v>
      </c>
      <c r="Q32" s="256">
        <v>5</v>
      </c>
      <c r="R32" s="256" t="s">
        <v>757</v>
      </c>
    </row>
    <row r="33" ht="17.25" customHeight="1" spans="2:18">
      <c r="B33" s="16" t="s">
        <v>839</v>
      </c>
      <c r="C33" s="233" t="s">
        <v>797</v>
      </c>
      <c r="D33">
        <v>1024</v>
      </c>
      <c r="J33" s="15">
        <v>80030</v>
      </c>
      <c r="K33" s="15" t="s">
        <v>840</v>
      </c>
      <c r="L33" s="255" t="s">
        <v>766</v>
      </c>
      <c r="N33" s="256">
        <v>60030</v>
      </c>
      <c r="O33" s="256">
        <v>2</v>
      </c>
      <c r="P33" s="256" t="s">
        <v>830</v>
      </c>
      <c r="Q33" s="256">
        <v>6</v>
      </c>
      <c r="R33" s="256" t="s">
        <v>757</v>
      </c>
    </row>
    <row r="34" ht="17.25" customHeight="1" spans="2:18">
      <c r="B34" s="16" t="s">
        <v>841</v>
      </c>
      <c r="C34" s="233" t="s">
        <v>797</v>
      </c>
      <c r="D34">
        <v>1029</v>
      </c>
      <c r="J34" s="15">
        <v>80031</v>
      </c>
      <c r="K34" s="15" t="s">
        <v>842</v>
      </c>
      <c r="L34" s="255" t="s">
        <v>757</v>
      </c>
      <c r="N34" s="256">
        <v>60031</v>
      </c>
      <c r="O34" s="256">
        <v>2</v>
      </c>
      <c r="P34" s="256" t="s">
        <v>830</v>
      </c>
      <c r="Q34" s="256">
        <v>1</v>
      </c>
      <c r="R34" s="256" t="s">
        <v>762</v>
      </c>
    </row>
    <row r="35" ht="17.25" customHeight="1" spans="2:18">
      <c r="B35" s="16" t="s">
        <v>843</v>
      </c>
      <c r="C35" s="233" t="s">
        <v>797</v>
      </c>
      <c r="D35">
        <v>1030</v>
      </c>
      <c r="J35" s="15">
        <v>80032</v>
      </c>
      <c r="K35" s="15" t="s">
        <v>844</v>
      </c>
      <c r="L35" s="255" t="s">
        <v>762</v>
      </c>
      <c r="N35" s="256">
        <v>60032</v>
      </c>
      <c r="O35" s="256">
        <v>2</v>
      </c>
      <c r="P35" s="256" t="s">
        <v>830</v>
      </c>
      <c r="Q35" s="256">
        <v>2</v>
      </c>
      <c r="R35" s="256" t="s">
        <v>762</v>
      </c>
    </row>
    <row r="36" ht="17.25" customHeight="1" spans="2:18">
      <c r="B36" s="16" t="s">
        <v>845</v>
      </c>
      <c r="C36" s="233" t="s">
        <v>797</v>
      </c>
      <c r="D36">
        <v>1019</v>
      </c>
      <c r="J36" s="15">
        <v>80033</v>
      </c>
      <c r="K36" s="15" t="s">
        <v>846</v>
      </c>
      <c r="L36" s="255" t="s">
        <v>766</v>
      </c>
      <c r="N36" s="256">
        <v>60033</v>
      </c>
      <c r="O36" s="256">
        <v>2</v>
      </c>
      <c r="P36" s="256" t="s">
        <v>830</v>
      </c>
      <c r="Q36" s="256">
        <v>3</v>
      </c>
      <c r="R36" s="256" t="s">
        <v>762</v>
      </c>
    </row>
    <row r="37" ht="17.25" customHeight="1" spans="2:18">
      <c r="B37" s="16" t="s">
        <v>847</v>
      </c>
      <c r="C37" s="233" t="s">
        <v>797</v>
      </c>
      <c r="D37">
        <v>1022</v>
      </c>
      <c r="J37" s="15">
        <v>80034</v>
      </c>
      <c r="K37" s="15" t="s">
        <v>848</v>
      </c>
      <c r="L37" s="255" t="s">
        <v>757</v>
      </c>
      <c r="N37" s="256">
        <v>60034</v>
      </c>
      <c r="O37" s="256">
        <v>2</v>
      </c>
      <c r="P37" s="256" t="s">
        <v>830</v>
      </c>
      <c r="Q37" s="256">
        <v>4</v>
      </c>
      <c r="R37" s="256" t="s">
        <v>762</v>
      </c>
    </row>
    <row r="38" ht="17.25" customHeight="1" spans="2:18">
      <c r="J38" s="15">
        <v>80035</v>
      </c>
      <c r="K38" s="15" t="s">
        <v>849</v>
      </c>
      <c r="L38" s="255" t="s">
        <v>762</v>
      </c>
      <c r="N38" s="256">
        <v>60035</v>
      </c>
      <c r="O38" s="256">
        <v>2</v>
      </c>
      <c r="P38" s="256" t="s">
        <v>830</v>
      </c>
      <c r="Q38" s="256">
        <v>5</v>
      </c>
      <c r="R38" s="256" t="s">
        <v>762</v>
      </c>
    </row>
    <row r="39" ht="17.25" customHeight="1" spans="2:18">
      <c r="J39" s="15">
        <v>80036</v>
      </c>
      <c r="K39" s="15" t="s">
        <v>850</v>
      </c>
      <c r="L39" s="255" t="s">
        <v>766</v>
      </c>
      <c r="N39" s="256">
        <v>60036</v>
      </c>
      <c r="O39" s="256">
        <v>2</v>
      </c>
      <c r="P39" s="256" t="s">
        <v>830</v>
      </c>
      <c r="Q39" s="256">
        <v>6</v>
      </c>
      <c r="R39" s="256" t="s">
        <v>762</v>
      </c>
    </row>
    <row r="40" ht="17.25" customHeight="1" spans="2:18">
      <c r="J40" s="15">
        <v>80037</v>
      </c>
      <c r="K40" s="15" t="s">
        <v>851</v>
      </c>
      <c r="L40" s="255" t="s">
        <v>757</v>
      </c>
      <c r="N40" s="256">
        <v>60037</v>
      </c>
      <c r="O40" s="256">
        <v>2</v>
      </c>
      <c r="P40" s="256" t="s">
        <v>830</v>
      </c>
      <c r="Q40" s="256">
        <v>1</v>
      </c>
      <c r="R40" s="256" t="s">
        <v>766</v>
      </c>
    </row>
    <row r="41" ht="17.25" customHeight="1" spans="2:18">
      <c r="J41" s="15">
        <v>80038</v>
      </c>
      <c r="K41" s="15" t="s">
        <v>852</v>
      </c>
      <c r="L41" s="255" t="s">
        <v>762</v>
      </c>
      <c r="N41" s="256">
        <v>60038</v>
      </c>
      <c r="O41" s="256">
        <v>2</v>
      </c>
      <c r="P41" s="256" t="s">
        <v>830</v>
      </c>
      <c r="Q41" s="256">
        <v>2</v>
      </c>
      <c r="R41" s="256" t="s">
        <v>766</v>
      </c>
    </row>
    <row r="42" ht="17.25" customHeight="1" spans="2:18">
      <c r="J42" s="15">
        <v>80039</v>
      </c>
      <c r="K42" s="15" t="s">
        <v>853</v>
      </c>
      <c r="L42" s="255" t="s">
        <v>766</v>
      </c>
      <c r="N42" s="256">
        <v>60039</v>
      </c>
      <c r="O42" s="256">
        <v>2</v>
      </c>
      <c r="P42" s="256" t="s">
        <v>830</v>
      </c>
      <c r="Q42" s="256">
        <v>3</v>
      </c>
      <c r="R42" s="256" t="s">
        <v>766</v>
      </c>
    </row>
    <row r="43" ht="17.25" customHeight="1" spans="2:18">
      <c r="J43" s="15">
        <v>80040</v>
      </c>
      <c r="K43" s="15" t="s">
        <v>854</v>
      </c>
      <c r="L43" s="255" t="s">
        <v>757</v>
      </c>
      <c r="N43" s="256">
        <v>60040</v>
      </c>
      <c r="O43" s="256">
        <v>2</v>
      </c>
      <c r="P43" s="256" t="s">
        <v>830</v>
      </c>
      <c r="Q43" s="256">
        <v>4</v>
      </c>
      <c r="R43" s="256" t="s">
        <v>766</v>
      </c>
    </row>
    <row r="44" ht="17.25" customHeight="1" spans="2:18">
      <c r="J44" s="15">
        <v>80041</v>
      </c>
      <c r="K44" s="15" t="s">
        <v>855</v>
      </c>
      <c r="L44" s="255" t="s">
        <v>762</v>
      </c>
      <c r="N44" s="256">
        <v>60041</v>
      </c>
      <c r="O44" s="256">
        <v>2</v>
      </c>
      <c r="P44" s="256" t="s">
        <v>830</v>
      </c>
      <c r="Q44" s="256">
        <v>5</v>
      </c>
      <c r="R44" s="256" t="s">
        <v>766</v>
      </c>
    </row>
    <row r="45" ht="17.25" customHeight="1" spans="2:18">
      <c r="J45" s="15">
        <v>80042</v>
      </c>
      <c r="K45" s="15" t="s">
        <v>856</v>
      </c>
      <c r="L45" s="255" t="s">
        <v>766</v>
      </c>
      <c r="N45" s="256">
        <v>60042</v>
      </c>
      <c r="O45" s="256">
        <v>2</v>
      </c>
      <c r="P45" s="256" t="s">
        <v>830</v>
      </c>
      <c r="Q45" s="256">
        <v>6</v>
      </c>
      <c r="R45" s="256" t="s">
        <v>766</v>
      </c>
    </row>
    <row r="46" ht="17.25" customHeight="1" spans="2:18">
      <c r="J46" s="15">
        <v>80043</v>
      </c>
      <c r="K46" s="15" t="s">
        <v>857</v>
      </c>
      <c r="L46" s="255" t="s">
        <v>757</v>
      </c>
      <c r="N46" s="256">
        <v>60043</v>
      </c>
      <c r="O46" s="256">
        <v>2</v>
      </c>
      <c r="P46" s="256" t="s">
        <v>830</v>
      </c>
      <c r="Q46" s="256">
        <v>1</v>
      </c>
      <c r="R46" s="256" t="s">
        <v>817</v>
      </c>
    </row>
    <row r="47" ht="17.25" customHeight="1" spans="2:18">
      <c r="J47" s="15">
        <v>80044</v>
      </c>
      <c r="K47" s="15" t="s">
        <v>858</v>
      </c>
      <c r="L47" s="255" t="s">
        <v>762</v>
      </c>
      <c r="N47" s="256">
        <v>60044</v>
      </c>
      <c r="O47" s="256">
        <v>2</v>
      </c>
      <c r="P47" s="256" t="s">
        <v>830</v>
      </c>
      <c r="Q47" s="256">
        <v>2</v>
      </c>
      <c r="R47" s="256" t="s">
        <v>817</v>
      </c>
    </row>
    <row r="48" ht="17.25" customHeight="1" spans="2:18">
      <c r="J48" s="257">
        <v>80045</v>
      </c>
      <c r="K48" s="257" t="s">
        <v>859</v>
      </c>
      <c r="L48" s="255" t="s">
        <v>766</v>
      </c>
      <c r="N48" s="256">
        <v>60045</v>
      </c>
      <c r="O48" s="256">
        <v>2</v>
      </c>
      <c r="P48" s="256" t="s">
        <v>830</v>
      </c>
      <c r="Q48" s="256">
        <v>3</v>
      </c>
      <c r="R48" s="256" t="s">
        <v>817</v>
      </c>
    </row>
    <row r="49" ht="17.25" customHeight="1" spans="10:18">
      <c r="J49" s="15">
        <v>80046</v>
      </c>
      <c r="K49" s="15" t="s">
        <v>860</v>
      </c>
      <c r="L49" s="255" t="s">
        <v>757</v>
      </c>
      <c r="N49" s="256">
        <v>60046</v>
      </c>
      <c r="O49" s="256">
        <v>2</v>
      </c>
      <c r="P49" s="256" t="s">
        <v>830</v>
      </c>
      <c r="Q49" s="256">
        <v>4</v>
      </c>
      <c r="R49" s="256" t="s">
        <v>817</v>
      </c>
    </row>
    <row r="50" ht="17.25" customHeight="1" spans="10:18">
      <c r="J50" s="15">
        <v>80047</v>
      </c>
      <c r="K50" s="15" t="s">
        <v>861</v>
      </c>
      <c r="L50" s="255" t="s">
        <v>762</v>
      </c>
      <c r="N50" s="256">
        <v>60047</v>
      </c>
      <c r="O50" s="256">
        <v>2</v>
      </c>
      <c r="P50" s="256" t="s">
        <v>830</v>
      </c>
      <c r="Q50" s="256">
        <v>5</v>
      </c>
      <c r="R50" s="256" t="s">
        <v>817</v>
      </c>
    </row>
    <row r="51" ht="17.25" customHeight="1" spans="10:18">
      <c r="J51" s="15">
        <v>80048</v>
      </c>
      <c r="K51" s="15" t="s">
        <v>862</v>
      </c>
      <c r="L51" s="255" t="s">
        <v>766</v>
      </c>
      <c r="N51" s="256">
        <v>60048</v>
      </c>
      <c r="O51" s="256">
        <v>2</v>
      </c>
      <c r="P51" s="256" t="s">
        <v>830</v>
      </c>
      <c r="Q51" s="256">
        <v>6</v>
      </c>
      <c r="R51" s="256" t="s">
        <v>817</v>
      </c>
    </row>
    <row r="52" ht="17.25" customHeight="1" spans="10:18">
      <c r="J52" s="15">
        <v>80049</v>
      </c>
      <c r="K52" s="15" t="s">
        <v>863</v>
      </c>
      <c r="L52" s="255" t="s">
        <v>757</v>
      </c>
      <c r="N52" s="256">
        <v>60049</v>
      </c>
      <c r="O52" s="256">
        <v>3</v>
      </c>
      <c r="P52" s="256" t="s">
        <v>864</v>
      </c>
      <c r="Q52" s="256">
        <v>1</v>
      </c>
      <c r="R52" s="256" t="s">
        <v>757</v>
      </c>
    </row>
    <row r="53" ht="17.25" customHeight="1" spans="10:18">
      <c r="J53" s="15">
        <v>80050</v>
      </c>
      <c r="K53" s="15" t="s">
        <v>865</v>
      </c>
      <c r="L53" s="255" t="s">
        <v>762</v>
      </c>
      <c r="N53" s="256">
        <v>60050</v>
      </c>
      <c r="O53" s="256">
        <v>3</v>
      </c>
      <c r="P53" s="256" t="s">
        <v>864</v>
      </c>
      <c r="Q53" s="256">
        <v>2</v>
      </c>
      <c r="R53" s="256" t="s">
        <v>757</v>
      </c>
    </row>
    <row r="54" ht="17.25" customHeight="1" spans="10:18">
      <c r="J54" s="15">
        <v>80051</v>
      </c>
      <c r="K54" s="15" t="s">
        <v>866</v>
      </c>
      <c r="L54" s="255" t="s">
        <v>766</v>
      </c>
      <c r="N54" s="256">
        <v>60051</v>
      </c>
      <c r="O54" s="256">
        <v>3</v>
      </c>
      <c r="P54" s="256" t="s">
        <v>864</v>
      </c>
      <c r="Q54" s="256">
        <v>3</v>
      </c>
      <c r="R54" s="256" t="s">
        <v>757</v>
      </c>
    </row>
    <row r="55" ht="17.25" customHeight="1" spans="10:18">
      <c r="J55" s="15">
        <v>80052</v>
      </c>
      <c r="K55" s="15" t="s">
        <v>867</v>
      </c>
      <c r="L55" s="255" t="s">
        <v>757</v>
      </c>
      <c r="N55" s="256">
        <v>60052</v>
      </c>
      <c r="O55" s="256">
        <v>3</v>
      </c>
      <c r="P55" s="256" t="s">
        <v>864</v>
      </c>
      <c r="Q55" s="256">
        <v>4</v>
      </c>
      <c r="R55" s="256" t="s">
        <v>757</v>
      </c>
    </row>
    <row r="56" ht="17.25" customHeight="1" spans="10:18">
      <c r="J56" s="15">
        <v>80053</v>
      </c>
      <c r="K56" s="15" t="s">
        <v>868</v>
      </c>
      <c r="L56" s="255" t="s">
        <v>762</v>
      </c>
      <c r="N56" s="256">
        <v>60053</v>
      </c>
      <c r="O56" s="256">
        <v>3</v>
      </c>
      <c r="P56" s="256" t="s">
        <v>864</v>
      </c>
      <c r="Q56" s="256">
        <v>5</v>
      </c>
      <c r="R56" s="256" t="s">
        <v>757</v>
      </c>
    </row>
    <row r="57" ht="17.25" customHeight="1" spans="10:18">
      <c r="J57" s="15">
        <v>80054</v>
      </c>
      <c r="K57" s="15" t="s">
        <v>869</v>
      </c>
      <c r="L57" s="255" t="s">
        <v>766</v>
      </c>
      <c r="N57" s="256">
        <v>60054</v>
      </c>
      <c r="O57" s="256">
        <v>3</v>
      </c>
      <c r="P57" s="256" t="s">
        <v>864</v>
      </c>
      <c r="Q57" s="256">
        <v>6</v>
      </c>
      <c r="R57" s="256" t="s">
        <v>757</v>
      </c>
    </row>
    <row r="58" ht="17.25" customHeight="1" spans="10:18">
      <c r="J58" s="15">
        <v>80055</v>
      </c>
      <c r="K58" s="15" t="s">
        <v>870</v>
      </c>
      <c r="L58" s="255" t="s">
        <v>757</v>
      </c>
      <c r="N58" s="256">
        <v>60055</v>
      </c>
      <c r="O58" s="256">
        <v>3</v>
      </c>
      <c r="P58" s="256" t="s">
        <v>864</v>
      </c>
      <c r="Q58" s="256">
        <v>1</v>
      </c>
      <c r="R58" s="256" t="s">
        <v>762</v>
      </c>
    </row>
    <row r="59" ht="17.25" customHeight="1" spans="10:18">
      <c r="J59" s="15">
        <v>80056</v>
      </c>
      <c r="K59" s="15" t="s">
        <v>871</v>
      </c>
      <c r="L59" s="255" t="s">
        <v>762</v>
      </c>
      <c r="N59" s="256">
        <v>60056</v>
      </c>
      <c r="O59" s="256">
        <v>3</v>
      </c>
      <c r="P59" s="256" t="s">
        <v>864</v>
      </c>
      <c r="Q59" s="256">
        <v>2</v>
      </c>
      <c r="R59" s="256" t="s">
        <v>762</v>
      </c>
    </row>
    <row r="60" ht="17.25" customHeight="1" spans="10:18">
      <c r="J60" s="15">
        <v>80057</v>
      </c>
      <c r="K60" s="15" t="s">
        <v>872</v>
      </c>
      <c r="L60" s="255" t="s">
        <v>766</v>
      </c>
      <c r="N60" s="256">
        <v>60057</v>
      </c>
      <c r="O60" s="256">
        <v>3</v>
      </c>
      <c r="P60" s="256" t="s">
        <v>864</v>
      </c>
      <c r="Q60" s="256">
        <v>3</v>
      </c>
      <c r="R60" s="256" t="s">
        <v>762</v>
      </c>
    </row>
    <row r="61" ht="17.25" customHeight="1" spans="10:18">
      <c r="J61" s="15">
        <v>80058</v>
      </c>
      <c r="K61" s="15" t="s">
        <v>873</v>
      </c>
      <c r="L61" s="255" t="s">
        <v>757</v>
      </c>
      <c r="N61" s="256">
        <v>60058</v>
      </c>
      <c r="O61" s="256">
        <v>3</v>
      </c>
      <c r="P61" s="256" t="s">
        <v>864</v>
      </c>
      <c r="Q61" s="256">
        <v>4</v>
      </c>
      <c r="R61" s="256" t="s">
        <v>762</v>
      </c>
    </row>
    <row r="62" ht="17.25" customHeight="1" spans="10:18">
      <c r="J62" s="15">
        <v>80059</v>
      </c>
      <c r="K62" s="15" t="s">
        <v>874</v>
      </c>
      <c r="L62" s="255" t="s">
        <v>762</v>
      </c>
      <c r="N62" s="256">
        <v>60059</v>
      </c>
      <c r="O62" s="256">
        <v>3</v>
      </c>
      <c r="P62" s="256" t="s">
        <v>864</v>
      </c>
      <c r="Q62" s="256">
        <v>5</v>
      </c>
      <c r="R62" s="256" t="s">
        <v>762</v>
      </c>
    </row>
    <row r="63" ht="17.25" customHeight="1" spans="10:18">
      <c r="J63" s="15">
        <v>80060</v>
      </c>
      <c r="K63" s="15" t="s">
        <v>875</v>
      </c>
      <c r="L63" s="255" t="s">
        <v>766</v>
      </c>
      <c r="N63" s="256">
        <v>60060</v>
      </c>
      <c r="O63" s="256">
        <v>3</v>
      </c>
      <c r="P63" s="256" t="s">
        <v>864</v>
      </c>
      <c r="Q63" s="256">
        <v>6</v>
      </c>
      <c r="R63" s="256" t="s">
        <v>762</v>
      </c>
    </row>
    <row r="64" ht="17.25" customHeight="1" spans="10:18">
      <c r="J64" s="15">
        <v>80061</v>
      </c>
      <c r="K64" s="15" t="s">
        <v>876</v>
      </c>
      <c r="L64" s="255" t="s">
        <v>757</v>
      </c>
      <c r="N64" s="256">
        <v>60061</v>
      </c>
      <c r="O64" s="256">
        <v>3</v>
      </c>
      <c r="P64" s="256" t="s">
        <v>864</v>
      </c>
      <c r="Q64" s="256">
        <v>1</v>
      </c>
      <c r="R64" s="256" t="s">
        <v>766</v>
      </c>
    </row>
    <row r="65" ht="17.25" customHeight="1" spans="10:18">
      <c r="J65" s="15">
        <v>80062</v>
      </c>
      <c r="K65" s="15" t="s">
        <v>877</v>
      </c>
      <c r="L65" s="255" t="s">
        <v>762</v>
      </c>
      <c r="N65" s="256">
        <v>60062</v>
      </c>
      <c r="O65" s="256">
        <v>3</v>
      </c>
      <c r="P65" s="256" t="s">
        <v>864</v>
      </c>
      <c r="Q65" s="256">
        <v>2</v>
      </c>
      <c r="R65" s="256" t="s">
        <v>766</v>
      </c>
    </row>
    <row r="66" ht="17.25" customHeight="1" spans="10:18">
      <c r="J66" s="257">
        <v>80063</v>
      </c>
      <c r="K66" s="257" t="s">
        <v>878</v>
      </c>
      <c r="L66" s="258" t="s">
        <v>766</v>
      </c>
      <c r="N66" s="256">
        <v>60063</v>
      </c>
      <c r="O66" s="256">
        <v>3</v>
      </c>
      <c r="P66" s="256" t="s">
        <v>864</v>
      </c>
      <c r="Q66" s="256">
        <v>3</v>
      </c>
      <c r="R66" s="256" t="s">
        <v>766</v>
      </c>
    </row>
    <row r="67" ht="17.25" customHeight="1" spans="10:18">
      <c r="J67" s="15">
        <v>80064</v>
      </c>
      <c r="K67" s="15" t="s">
        <v>879</v>
      </c>
      <c r="L67" s="255" t="s">
        <v>757</v>
      </c>
      <c r="N67" s="256">
        <v>60064</v>
      </c>
      <c r="O67" s="256">
        <v>3</v>
      </c>
      <c r="P67" s="256" t="s">
        <v>864</v>
      </c>
      <c r="Q67" s="256">
        <v>4</v>
      </c>
      <c r="R67" s="256" t="s">
        <v>766</v>
      </c>
    </row>
    <row r="68" ht="17.25" customHeight="1" spans="10:18">
      <c r="J68" s="15">
        <v>80065</v>
      </c>
      <c r="K68" s="15" t="s">
        <v>880</v>
      </c>
      <c r="L68" s="255" t="s">
        <v>762</v>
      </c>
      <c r="N68" s="256">
        <v>60065</v>
      </c>
      <c r="O68" s="256">
        <v>3</v>
      </c>
      <c r="P68" s="256" t="s">
        <v>864</v>
      </c>
      <c r="Q68" s="256">
        <v>5</v>
      </c>
      <c r="R68" s="256" t="s">
        <v>766</v>
      </c>
    </row>
    <row r="69" ht="17.25" customHeight="1" spans="10:18">
      <c r="J69" s="15">
        <v>80066</v>
      </c>
      <c r="K69" s="15" t="s">
        <v>881</v>
      </c>
      <c r="L69" s="255" t="s">
        <v>766</v>
      </c>
      <c r="N69" s="256">
        <v>60066</v>
      </c>
      <c r="O69" s="256">
        <v>3</v>
      </c>
      <c r="P69" s="256" t="s">
        <v>864</v>
      </c>
      <c r="Q69" s="256">
        <v>6</v>
      </c>
      <c r="R69" s="256" t="s">
        <v>766</v>
      </c>
    </row>
    <row r="70" ht="17.25" customHeight="1" spans="10:18">
      <c r="J70" s="15">
        <v>80067</v>
      </c>
      <c r="K70" s="15" t="s">
        <v>882</v>
      </c>
      <c r="L70" s="255" t="s">
        <v>757</v>
      </c>
      <c r="N70" s="256">
        <v>60067</v>
      </c>
      <c r="O70" s="256">
        <v>3</v>
      </c>
      <c r="P70" s="256" t="s">
        <v>864</v>
      </c>
      <c r="Q70" s="256">
        <v>1</v>
      </c>
      <c r="R70" s="256" t="s">
        <v>817</v>
      </c>
    </row>
    <row r="71" ht="17.25" customHeight="1" spans="10:18">
      <c r="J71" s="15">
        <v>80068</v>
      </c>
      <c r="K71" s="15" t="s">
        <v>883</v>
      </c>
      <c r="L71" s="255" t="s">
        <v>762</v>
      </c>
      <c r="N71" s="256">
        <v>60068</v>
      </c>
      <c r="O71" s="256">
        <v>3</v>
      </c>
      <c r="P71" s="256" t="s">
        <v>864</v>
      </c>
      <c r="Q71" s="256">
        <v>2</v>
      </c>
      <c r="R71" s="256" t="s">
        <v>817</v>
      </c>
    </row>
    <row r="72" ht="17.25" customHeight="1" spans="10:18">
      <c r="J72" s="15">
        <v>80069</v>
      </c>
      <c r="K72" s="15" t="s">
        <v>884</v>
      </c>
      <c r="L72" s="255" t="s">
        <v>766</v>
      </c>
      <c r="N72" s="256">
        <v>60069</v>
      </c>
      <c r="O72" s="256">
        <v>3</v>
      </c>
      <c r="P72" s="256" t="s">
        <v>864</v>
      </c>
      <c r="Q72" s="256">
        <v>3</v>
      </c>
      <c r="R72" s="256" t="s">
        <v>817</v>
      </c>
    </row>
    <row r="73" ht="17.25" customHeight="1" spans="10:18">
      <c r="J73" s="15">
        <v>80070</v>
      </c>
      <c r="K73" s="15" t="s">
        <v>885</v>
      </c>
      <c r="L73" s="255" t="s">
        <v>757</v>
      </c>
      <c r="N73" s="256">
        <v>60070</v>
      </c>
      <c r="O73" s="256">
        <v>3</v>
      </c>
      <c r="P73" s="256" t="s">
        <v>864</v>
      </c>
      <c r="Q73" s="256">
        <v>4</v>
      </c>
      <c r="R73" s="256" t="s">
        <v>817</v>
      </c>
    </row>
    <row r="74" ht="17.25" customHeight="1" spans="10:18">
      <c r="J74" s="15">
        <v>80071</v>
      </c>
      <c r="K74" s="15" t="s">
        <v>886</v>
      </c>
      <c r="L74" s="255" t="s">
        <v>762</v>
      </c>
      <c r="N74" s="256">
        <v>60071</v>
      </c>
      <c r="O74" s="256">
        <v>3</v>
      </c>
      <c r="P74" s="256" t="s">
        <v>864</v>
      </c>
      <c r="Q74" s="256">
        <v>5</v>
      </c>
      <c r="R74" s="256" t="s">
        <v>817</v>
      </c>
    </row>
    <row r="75" ht="17.25" customHeight="1" spans="10:18">
      <c r="J75" s="15">
        <v>80072</v>
      </c>
      <c r="K75" s="15" t="s">
        <v>887</v>
      </c>
      <c r="L75" s="255" t="s">
        <v>766</v>
      </c>
      <c r="N75" s="256">
        <v>60072</v>
      </c>
      <c r="O75" s="256">
        <v>3</v>
      </c>
      <c r="P75" s="256" t="s">
        <v>864</v>
      </c>
      <c r="Q75" s="256">
        <v>6</v>
      </c>
      <c r="R75" s="256" t="s">
        <v>817</v>
      </c>
    </row>
    <row r="76" ht="17.25" customHeight="1" spans="10:18">
      <c r="J76" s="15">
        <v>80073</v>
      </c>
      <c r="K76" s="15" t="s">
        <v>888</v>
      </c>
      <c r="L76" s="255" t="s">
        <v>757</v>
      </c>
      <c r="N76" s="256">
        <v>60073</v>
      </c>
      <c r="O76" s="256">
        <v>4</v>
      </c>
      <c r="P76" s="256" t="s">
        <v>889</v>
      </c>
      <c r="Q76" s="256">
        <v>1</v>
      </c>
      <c r="R76" s="256" t="s">
        <v>757</v>
      </c>
    </row>
    <row r="77" ht="17.25" customHeight="1" spans="10:18">
      <c r="J77" s="15">
        <v>80074</v>
      </c>
      <c r="K77" s="15" t="s">
        <v>890</v>
      </c>
      <c r="L77" s="255" t="s">
        <v>762</v>
      </c>
      <c r="N77" s="256">
        <v>60074</v>
      </c>
      <c r="O77" s="256">
        <v>4</v>
      </c>
      <c r="P77" s="256" t="s">
        <v>889</v>
      </c>
      <c r="Q77" s="256">
        <v>2</v>
      </c>
      <c r="R77" s="256" t="s">
        <v>757</v>
      </c>
    </row>
    <row r="78" ht="17.25" customHeight="1" spans="10:18">
      <c r="J78" s="15">
        <v>80075</v>
      </c>
      <c r="K78" s="15" t="s">
        <v>891</v>
      </c>
      <c r="L78" s="255" t="s">
        <v>766</v>
      </c>
      <c r="N78" s="256">
        <v>60075</v>
      </c>
      <c r="O78" s="256">
        <v>4</v>
      </c>
      <c r="P78" s="256" t="s">
        <v>889</v>
      </c>
      <c r="Q78" s="256">
        <v>3</v>
      </c>
      <c r="R78" s="256" t="s">
        <v>757</v>
      </c>
    </row>
    <row r="79" ht="17.25" customHeight="1" spans="10:18">
      <c r="J79" s="15">
        <v>80076</v>
      </c>
      <c r="K79" s="15" t="s">
        <v>892</v>
      </c>
      <c r="L79" s="255" t="s">
        <v>757</v>
      </c>
      <c r="N79" s="256">
        <v>60076</v>
      </c>
      <c r="O79" s="256">
        <v>4</v>
      </c>
      <c r="P79" s="256" t="s">
        <v>889</v>
      </c>
      <c r="Q79" s="256">
        <v>4</v>
      </c>
      <c r="R79" s="256" t="s">
        <v>757</v>
      </c>
    </row>
    <row r="80" ht="17.25" customHeight="1" spans="10:18">
      <c r="J80" s="15">
        <v>80077</v>
      </c>
      <c r="K80" s="15" t="s">
        <v>893</v>
      </c>
      <c r="L80" s="255" t="s">
        <v>762</v>
      </c>
      <c r="N80" s="256">
        <v>60077</v>
      </c>
      <c r="O80" s="256">
        <v>4</v>
      </c>
      <c r="P80" s="256" t="s">
        <v>889</v>
      </c>
      <c r="Q80" s="256">
        <v>5</v>
      </c>
      <c r="R80" s="256" t="s">
        <v>757</v>
      </c>
    </row>
    <row r="81" ht="17.25" customHeight="1" spans="10:18">
      <c r="J81" s="15">
        <v>80078</v>
      </c>
      <c r="K81" s="15" t="s">
        <v>894</v>
      </c>
      <c r="L81" s="255" t="s">
        <v>766</v>
      </c>
      <c r="N81" s="256">
        <v>60078</v>
      </c>
      <c r="O81" s="256">
        <v>4</v>
      </c>
      <c r="P81" s="256" t="s">
        <v>889</v>
      </c>
      <c r="Q81" s="256">
        <v>6</v>
      </c>
      <c r="R81" s="256" t="s">
        <v>757</v>
      </c>
    </row>
    <row r="82" ht="17.25" customHeight="1" spans="10:18">
      <c r="J82" s="15">
        <v>80079</v>
      </c>
      <c r="K82" s="15" t="s">
        <v>895</v>
      </c>
      <c r="L82" s="255" t="s">
        <v>757</v>
      </c>
      <c r="N82" s="256">
        <v>60079</v>
      </c>
      <c r="O82" s="256">
        <v>4</v>
      </c>
      <c r="P82" s="256" t="s">
        <v>889</v>
      </c>
      <c r="Q82" s="256">
        <v>1</v>
      </c>
      <c r="R82" s="256" t="s">
        <v>762</v>
      </c>
    </row>
    <row r="83" ht="17.25" customHeight="1" spans="10:18">
      <c r="J83" s="15">
        <v>80080</v>
      </c>
      <c r="K83" s="15" t="s">
        <v>896</v>
      </c>
      <c r="L83" s="255" t="s">
        <v>762</v>
      </c>
      <c r="N83" s="256">
        <v>60080</v>
      </c>
      <c r="O83" s="256">
        <v>4</v>
      </c>
      <c r="P83" s="256" t="s">
        <v>889</v>
      </c>
      <c r="Q83" s="256">
        <v>2</v>
      </c>
      <c r="R83" s="256" t="s">
        <v>762</v>
      </c>
    </row>
    <row r="84" ht="17.25" customHeight="1" spans="10:18">
      <c r="J84" s="257">
        <v>80081</v>
      </c>
      <c r="K84" s="257" t="s">
        <v>897</v>
      </c>
      <c r="L84" s="258" t="s">
        <v>766</v>
      </c>
      <c r="N84" s="256">
        <v>60081</v>
      </c>
      <c r="O84" s="256">
        <v>4</v>
      </c>
      <c r="P84" s="256" t="s">
        <v>889</v>
      </c>
      <c r="Q84" s="256">
        <v>3</v>
      </c>
      <c r="R84" s="256" t="s">
        <v>762</v>
      </c>
    </row>
    <row r="85" ht="17.25" customHeight="1" spans="10:18">
      <c r="J85" s="15">
        <v>80082</v>
      </c>
      <c r="K85" s="15" t="s">
        <v>898</v>
      </c>
      <c r="L85" s="255" t="s">
        <v>757</v>
      </c>
      <c r="N85" s="256">
        <v>60082</v>
      </c>
      <c r="O85" s="256">
        <v>4</v>
      </c>
      <c r="P85" s="256" t="s">
        <v>889</v>
      </c>
      <c r="Q85" s="256">
        <v>4</v>
      </c>
      <c r="R85" s="256" t="s">
        <v>762</v>
      </c>
    </row>
    <row r="86" ht="17.25" customHeight="1" spans="10:18">
      <c r="J86" s="15">
        <v>80083</v>
      </c>
      <c r="K86" s="15" t="s">
        <v>899</v>
      </c>
      <c r="L86" s="255" t="s">
        <v>762</v>
      </c>
      <c r="N86" s="256">
        <v>60083</v>
      </c>
      <c r="O86" s="256">
        <v>4</v>
      </c>
      <c r="P86" s="256" t="s">
        <v>889</v>
      </c>
      <c r="Q86" s="256">
        <v>5</v>
      </c>
      <c r="R86" s="256" t="s">
        <v>762</v>
      </c>
    </row>
    <row r="87" ht="17.25" customHeight="1" spans="10:18">
      <c r="J87" s="15">
        <v>80084</v>
      </c>
      <c r="K87" s="15" t="s">
        <v>900</v>
      </c>
      <c r="L87" s="255" t="s">
        <v>766</v>
      </c>
      <c r="N87" s="256">
        <v>60084</v>
      </c>
      <c r="O87" s="256">
        <v>4</v>
      </c>
      <c r="P87" s="256" t="s">
        <v>889</v>
      </c>
      <c r="Q87" s="256">
        <v>6</v>
      </c>
      <c r="R87" s="256" t="s">
        <v>762</v>
      </c>
    </row>
    <row r="88" ht="17.25" customHeight="1" spans="10:18">
      <c r="J88" s="15">
        <v>80085</v>
      </c>
      <c r="K88" s="15" t="s">
        <v>901</v>
      </c>
      <c r="L88" s="255" t="s">
        <v>757</v>
      </c>
      <c r="N88" s="256">
        <v>60085</v>
      </c>
      <c r="O88" s="256">
        <v>4</v>
      </c>
      <c r="P88" s="256" t="s">
        <v>889</v>
      </c>
      <c r="Q88" s="256">
        <v>1</v>
      </c>
      <c r="R88" s="256" t="s">
        <v>766</v>
      </c>
    </row>
    <row r="89" ht="17.25" customHeight="1" spans="10:18">
      <c r="J89" s="15">
        <v>80086</v>
      </c>
      <c r="K89" s="15" t="s">
        <v>902</v>
      </c>
      <c r="L89" s="255" t="s">
        <v>762</v>
      </c>
      <c r="N89" s="256">
        <v>60086</v>
      </c>
      <c r="O89" s="256">
        <v>4</v>
      </c>
      <c r="P89" s="256" t="s">
        <v>889</v>
      </c>
      <c r="Q89" s="256">
        <v>2</v>
      </c>
      <c r="R89" s="256" t="s">
        <v>766</v>
      </c>
    </row>
    <row r="90" ht="17.25" customHeight="1" spans="10:18">
      <c r="J90" s="15">
        <v>80087</v>
      </c>
      <c r="K90" s="15" t="s">
        <v>903</v>
      </c>
      <c r="L90" s="255" t="s">
        <v>766</v>
      </c>
      <c r="N90" s="256">
        <v>60087</v>
      </c>
      <c r="O90" s="256">
        <v>4</v>
      </c>
      <c r="P90" s="256" t="s">
        <v>889</v>
      </c>
      <c r="Q90" s="256">
        <v>3</v>
      </c>
      <c r="R90" s="256" t="s">
        <v>766</v>
      </c>
    </row>
    <row r="91" ht="17.25" customHeight="1" spans="10:18">
      <c r="J91" s="15">
        <v>80088</v>
      </c>
      <c r="K91" s="15" t="s">
        <v>904</v>
      </c>
      <c r="L91" s="255" t="s">
        <v>757</v>
      </c>
      <c r="N91" s="256">
        <v>60088</v>
      </c>
      <c r="O91" s="256">
        <v>4</v>
      </c>
      <c r="P91" s="256" t="s">
        <v>889</v>
      </c>
      <c r="Q91" s="256">
        <v>4</v>
      </c>
      <c r="R91" s="256" t="s">
        <v>766</v>
      </c>
    </row>
    <row r="92" ht="17.25" customHeight="1" spans="10:18">
      <c r="J92" s="15">
        <v>80089</v>
      </c>
      <c r="K92" s="15" t="s">
        <v>905</v>
      </c>
      <c r="L92" s="255" t="s">
        <v>762</v>
      </c>
      <c r="N92" s="256">
        <v>60089</v>
      </c>
      <c r="O92" s="256">
        <v>4</v>
      </c>
      <c r="P92" s="256" t="s">
        <v>889</v>
      </c>
      <c r="Q92" s="256">
        <v>5</v>
      </c>
      <c r="R92" s="256" t="s">
        <v>766</v>
      </c>
    </row>
    <row r="93" ht="17.25" customHeight="1" spans="10:18">
      <c r="J93" s="15">
        <v>80090</v>
      </c>
      <c r="K93" s="15" t="s">
        <v>906</v>
      </c>
      <c r="L93" s="255" t="s">
        <v>766</v>
      </c>
      <c r="N93" s="256">
        <v>60090</v>
      </c>
      <c r="O93" s="256">
        <v>4</v>
      </c>
      <c r="P93" s="256" t="s">
        <v>889</v>
      </c>
      <c r="Q93" s="256">
        <v>6</v>
      </c>
      <c r="R93" s="256" t="s">
        <v>766</v>
      </c>
    </row>
    <row r="94" ht="17.25" customHeight="1" spans="10:18">
      <c r="J94" s="15">
        <v>80091</v>
      </c>
      <c r="K94" s="15" t="s">
        <v>907</v>
      </c>
      <c r="L94" s="255" t="s">
        <v>757</v>
      </c>
      <c r="N94" s="256">
        <v>60091</v>
      </c>
      <c r="O94" s="256">
        <v>4</v>
      </c>
      <c r="P94" s="256" t="s">
        <v>889</v>
      </c>
      <c r="Q94" s="256">
        <v>1</v>
      </c>
      <c r="R94" s="256" t="s">
        <v>817</v>
      </c>
    </row>
    <row r="95" ht="17.25" customHeight="1" spans="10:18">
      <c r="J95" s="15">
        <v>80092</v>
      </c>
      <c r="K95" s="15" t="s">
        <v>908</v>
      </c>
      <c r="L95" s="255" t="s">
        <v>762</v>
      </c>
      <c r="N95" s="256">
        <v>60092</v>
      </c>
      <c r="O95" s="256">
        <v>4</v>
      </c>
      <c r="P95" s="256" t="s">
        <v>889</v>
      </c>
      <c r="Q95" s="256">
        <v>2</v>
      </c>
      <c r="R95" s="256" t="s">
        <v>817</v>
      </c>
    </row>
    <row r="96" ht="17.25" customHeight="1" spans="10:18">
      <c r="J96" s="15">
        <v>80093</v>
      </c>
      <c r="K96" s="15" t="s">
        <v>909</v>
      </c>
      <c r="L96" s="255" t="s">
        <v>766</v>
      </c>
      <c r="N96" s="256">
        <v>60093</v>
      </c>
      <c r="O96" s="256">
        <v>4</v>
      </c>
      <c r="P96" s="256" t="s">
        <v>889</v>
      </c>
      <c r="Q96" s="256">
        <v>3</v>
      </c>
      <c r="R96" s="256" t="s">
        <v>817</v>
      </c>
    </row>
    <row r="97" ht="17.25" customHeight="1" spans="10:18">
      <c r="J97" s="15">
        <v>80094</v>
      </c>
      <c r="K97" s="15" t="s">
        <v>910</v>
      </c>
      <c r="L97" s="255" t="s">
        <v>757</v>
      </c>
      <c r="N97" s="256">
        <v>60094</v>
      </c>
      <c r="O97" s="256">
        <v>4</v>
      </c>
      <c r="P97" s="256" t="s">
        <v>889</v>
      </c>
      <c r="Q97" s="256">
        <v>4</v>
      </c>
      <c r="R97" s="256" t="s">
        <v>817</v>
      </c>
    </row>
    <row r="98" ht="17.25" customHeight="1" spans="10:18">
      <c r="J98" s="15">
        <v>80095</v>
      </c>
      <c r="K98" s="15" t="s">
        <v>911</v>
      </c>
      <c r="L98" s="255" t="s">
        <v>762</v>
      </c>
      <c r="N98" s="256">
        <v>60095</v>
      </c>
      <c r="O98" s="256">
        <v>4</v>
      </c>
      <c r="P98" s="256" t="s">
        <v>889</v>
      </c>
      <c r="Q98" s="256">
        <v>5</v>
      </c>
      <c r="R98" s="256" t="s">
        <v>817</v>
      </c>
    </row>
    <row r="99" ht="17.25" customHeight="1" spans="10:18">
      <c r="J99" s="15">
        <v>80096</v>
      </c>
      <c r="K99" s="15" t="s">
        <v>912</v>
      </c>
      <c r="L99" s="255" t="s">
        <v>766</v>
      </c>
      <c r="N99" s="256">
        <v>60096</v>
      </c>
      <c r="O99" s="256">
        <v>4</v>
      </c>
      <c r="P99" s="256" t="s">
        <v>889</v>
      </c>
      <c r="Q99" s="256">
        <v>6</v>
      </c>
      <c r="R99" s="256" t="s">
        <v>817</v>
      </c>
    </row>
    <row r="100" ht="17.25" customHeight="1" spans="10:18">
      <c r="J100" s="15">
        <v>80097</v>
      </c>
      <c r="K100" s="15" t="s">
        <v>913</v>
      </c>
      <c r="L100" s="255" t="s">
        <v>757</v>
      </c>
      <c r="N100" s="256">
        <v>60097</v>
      </c>
      <c r="O100" s="256">
        <v>5</v>
      </c>
      <c r="P100" s="256" t="s">
        <v>914</v>
      </c>
      <c r="Q100" s="256">
        <v>1</v>
      </c>
      <c r="R100" s="256" t="s">
        <v>757</v>
      </c>
    </row>
    <row r="101" ht="17.25" customHeight="1" spans="10:18">
      <c r="J101" s="15">
        <v>80098</v>
      </c>
      <c r="K101" s="15" t="s">
        <v>915</v>
      </c>
      <c r="L101" s="255" t="s">
        <v>762</v>
      </c>
      <c r="N101" s="256">
        <v>60098</v>
      </c>
      <c r="O101" s="256">
        <v>5</v>
      </c>
      <c r="P101" s="256" t="s">
        <v>914</v>
      </c>
      <c r="Q101" s="256">
        <v>2</v>
      </c>
      <c r="R101" s="256" t="s">
        <v>757</v>
      </c>
    </row>
    <row r="102" ht="17.25" customHeight="1" spans="10:18">
      <c r="J102" s="257">
        <v>80099</v>
      </c>
      <c r="K102" s="257" t="s">
        <v>916</v>
      </c>
      <c r="L102" s="258" t="s">
        <v>766</v>
      </c>
      <c r="N102" s="256">
        <v>60099</v>
      </c>
      <c r="O102" s="256">
        <v>5</v>
      </c>
      <c r="P102" s="256" t="s">
        <v>914</v>
      </c>
      <c r="Q102" s="256">
        <v>3</v>
      </c>
      <c r="R102" s="256" t="s">
        <v>757</v>
      </c>
    </row>
    <row r="103" ht="17.25" customHeight="1" spans="10:18">
      <c r="J103" s="15">
        <v>80100</v>
      </c>
      <c r="K103" s="15" t="s">
        <v>917</v>
      </c>
      <c r="L103" s="255" t="s">
        <v>757</v>
      </c>
      <c r="N103" s="256">
        <v>60100</v>
      </c>
      <c r="O103" s="256">
        <v>5</v>
      </c>
      <c r="P103" s="256" t="s">
        <v>914</v>
      </c>
      <c r="Q103" s="256">
        <v>4</v>
      </c>
      <c r="R103" s="256" t="s">
        <v>757</v>
      </c>
    </row>
    <row r="104" ht="17.25" customHeight="1" spans="10:18">
      <c r="J104" s="15">
        <v>80101</v>
      </c>
      <c r="K104" s="15" t="s">
        <v>918</v>
      </c>
      <c r="L104" s="255" t="s">
        <v>762</v>
      </c>
      <c r="N104" s="256">
        <v>60101</v>
      </c>
      <c r="O104" s="256">
        <v>5</v>
      </c>
      <c r="P104" s="256" t="s">
        <v>914</v>
      </c>
      <c r="Q104" s="256">
        <v>5</v>
      </c>
      <c r="R104" s="256" t="s">
        <v>757</v>
      </c>
    </row>
    <row r="105" ht="17.25" customHeight="1" spans="10:18">
      <c r="J105" s="15">
        <v>80102</v>
      </c>
      <c r="K105" s="15" t="s">
        <v>919</v>
      </c>
      <c r="L105" s="255" t="s">
        <v>766</v>
      </c>
      <c r="N105" s="256">
        <v>60102</v>
      </c>
      <c r="O105" s="256">
        <v>5</v>
      </c>
      <c r="P105" s="256" t="s">
        <v>914</v>
      </c>
      <c r="Q105" s="256">
        <v>6</v>
      </c>
      <c r="R105" s="256" t="s">
        <v>757</v>
      </c>
    </row>
    <row r="106" ht="17.25" customHeight="1" spans="10:18">
      <c r="J106" s="15">
        <v>80103</v>
      </c>
      <c r="K106" s="15" t="s">
        <v>920</v>
      </c>
      <c r="L106" s="255" t="s">
        <v>757</v>
      </c>
      <c r="N106" s="256">
        <v>60103</v>
      </c>
      <c r="O106" s="256">
        <v>5</v>
      </c>
      <c r="P106" s="256" t="s">
        <v>914</v>
      </c>
      <c r="Q106" s="256">
        <v>1</v>
      </c>
      <c r="R106" s="256" t="s">
        <v>762</v>
      </c>
    </row>
    <row r="107" ht="17.25" customHeight="1" spans="10:18">
      <c r="J107" s="15">
        <v>80104</v>
      </c>
      <c r="K107" s="15" t="s">
        <v>921</v>
      </c>
      <c r="L107" s="255" t="s">
        <v>762</v>
      </c>
      <c r="N107" s="256">
        <v>60104</v>
      </c>
      <c r="O107" s="256">
        <v>5</v>
      </c>
      <c r="P107" s="256" t="s">
        <v>914</v>
      </c>
      <c r="Q107" s="256">
        <v>2</v>
      </c>
      <c r="R107" s="256" t="s">
        <v>762</v>
      </c>
    </row>
    <row r="108" ht="17.25" customHeight="1" spans="10:18">
      <c r="J108" s="15">
        <v>80105</v>
      </c>
      <c r="K108" s="15" t="s">
        <v>922</v>
      </c>
      <c r="L108" s="255" t="s">
        <v>766</v>
      </c>
      <c r="N108" s="256">
        <v>60105</v>
      </c>
      <c r="O108" s="256">
        <v>5</v>
      </c>
      <c r="P108" s="256" t="s">
        <v>914</v>
      </c>
      <c r="Q108" s="256">
        <v>3</v>
      </c>
      <c r="R108" s="256" t="s">
        <v>762</v>
      </c>
    </row>
    <row r="109" ht="17.25" customHeight="1" spans="10:18">
      <c r="J109" s="15">
        <v>80106</v>
      </c>
      <c r="K109" s="15" t="s">
        <v>923</v>
      </c>
      <c r="L109" s="255" t="s">
        <v>757</v>
      </c>
      <c r="N109" s="256">
        <v>60106</v>
      </c>
      <c r="O109" s="256">
        <v>5</v>
      </c>
      <c r="P109" s="256" t="s">
        <v>914</v>
      </c>
      <c r="Q109" s="256">
        <v>4</v>
      </c>
      <c r="R109" s="256" t="s">
        <v>762</v>
      </c>
    </row>
    <row r="110" ht="17.25" customHeight="1" spans="10:18">
      <c r="J110" s="15">
        <v>80107</v>
      </c>
      <c r="K110" s="15" t="s">
        <v>924</v>
      </c>
      <c r="L110" s="255" t="s">
        <v>762</v>
      </c>
      <c r="N110" s="256">
        <v>60107</v>
      </c>
      <c r="O110" s="256">
        <v>5</v>
      </c>
      <c r="P110" s="256" t="s">
        <v>914</v>
      </c>
      <c r="Q110" s="256">
        <v>5</v>
      </c>
      <c r="R110" s="256" t="s">
        <v>762</v>
      </c>
    </row>
    <row r="111" ht="17.25" customHeight="1" spans="10:18">
      <c r="J111" s="15">
        <v>80108</v>
      </c>
      <c r="K111" s="15" t="s">
        <v>925</v>
      </c>
      <c r="L111" s="255" t="s">
        <v>766</v>
      </c>
      <c r="N111" s="256">
        <v>60108</v>
      </c>
      <c r="O111" s="256">
        <v>5</v>
      </c>
      <c r="P111" s="256" t="s">
        <v>914</v>
      </c>
      <c r="Q111" s="256">
        <v>6</v>
      </c>
      <c r="R111" s="256" t="s">
        <v>762</v>
      </c>
    </row>
    <row r="112" ht="17.25" customHeight="1" spans="10:18">
      <c r="J112" s="15">
        <v>80109</v>
      </c>
      <c r="K112" s="15" t="s">
        <v>926</v>
      </c>
      <c r="L112" s="255" t="s">
        <v>757</v>
      </c>
      <c r="N112" s="256">
        <v>60109</v>
      </c>
      <c r="O112" s="256">
        <v>5</v>
      </c>
      <c r="P112" s="256" t="s">
        <v>914</v>
      </c>
      <c r="Q112" s="256">
        <v>1</v>
      </c>
      <c r="R112" s="256" t="s">
        <v>766</v>
      </c>
    </row>
    <row r="113" ht="17.25" customHeight="1" spans="10:18">
      <c r="J113" s="15">
        <v>80110</v>
      </c>
      <c r="K113" s="15" t="s">
        <v>927</v>
      </c>
      <c r="L113" s="255" t="s">
        <v>762</v>
      </c>
      <c r="N113" s="256">
        <v>60110</v>
      </c>
      <c r="O113" s="256">
        <v>5</v>
      </c>
      <c r="P113" s="256" t="s">
        <v>914</v>
      </c>
      <c r="Q113" s="256">
        <v>2</v>
      </c>
      <c r="R113" s="256" t="s">
        <v>766</v>
      </c>
    </row>
    <row r="114" ht="17.25" customHeight="1" spans="10:18">
      <c r="J114" s="15">
        <v>80111</v>
      </c>
      <c r="K114" s="15" t="s">
        <v>928</v>
      </c>
      <c r="L114" s="255" t="s">
        <v>766</v>
      </c>
      <c r="N114" s="256">
        <v>60111</v>
      </c>
      <c r="O114" s="256">
        <v>5</v>
      </c>
      <c r="P114" s="256" t="s">
        <v>914</v>
      </c>
      <c r="Q114" s="256">
        <v>3</v>
      </c>
      <c r="R114" s="256" t="s">
        <v>766</v>
      </c>
    </row>
    <row r="115" ht="17.25" customHeight="1" spans="10:18">
      <c r="J115" s="15">
        <v>80112</v>
      </c>
      <c r="K115" s="15" t="s">
        <v>929</v>
      </c>
      <c r="L115" s="255" t="s">
        <v>757</v>
      </c>
      <c r="N115" s="256">
        <v>60112</v>
      </c>
      <c r="O115" s="256">
        <v>5</v>
      </c>
      <c r="P115" s="256" t="s">
        <v>914</v>
      </c>
      <c r="Q115" s="256">
        <v>4</v>
      </c>
      <c r="R115" s="256" t="s">
        <v>766</v>
      </c>
    </row>
    <row r="116" ht="17.25" customHeight="1" spans="10:18">
      <c r="J116" s="15">
        <v>80113</v>
      </c>
      <c r="K116" s="15" t="s">
        <v>930</v>
      </c>
      <c r="L116" s="255" t="s">
        <v>762</v>
      </c>
      <c r="N116" s="256">
        <v>60113</v>
      </c>
      <c r="O116" s="256">
        <v>5</v>
      </c>
      <c r="P116" s="256" t="s">
        <v>914</v>
      </c>
      <c r="Q116" s="256">
        <v>5</v>
      </c>
      <c r="R116" s="256" t="s">
        <v>766</v>
      </c>
    </row>
    <row r="117" ht="17.25" customHeight="1" spans="10:18">
      <c r="J117" s="15">
        <v>80114</v>
      </c>
      <c r="K117" s="15" t="s">
        <v>931</v>
      </c>
      <c r="L117" s="255" t="s">
        <v>766</v>
      </c>
      <c r="N117" s="256">
        <v>60114</v>
      </c>
      <c r="O117" s="256">
        <v>5</v>
      </c>
      <c r="P117" s="256" t="s">
        <v>914</v>
      </c>
      <c r="Q117" s="256">
        <v>6</v>
      </c>
      <c r="R117" s="256" t="s">
        <v>766</v>
      </c>
    </row>
    <row r="118" ht="17.25" customHeight="1" spans="10:18">
      <c r="J118" s="15">
        <v>80115</v>
      </c>
      <c r="K118" s="15" t="s">
        <v>932</v>
      </c>
      <c r="L118" s="255" t="s">
        <v>757</v>
      </c>
      <c r="N118" s="256">
        <v>60115</v>
      </c>
      <c r="O118" s="256">
        <v>5</v>
      </c>
      <c r="P118" s="256" t="s">
        <v>914</v>
      </c>
      <c r="Q118" s="256">
        <v>1</v>
      </c>
      <c r="R118" s="256" t="s">
        <v>817</v>
      </c>
    </row>
    <row r="119" ht="17.25" customHeight="1" spans="10:18">
      <c r="J119" s="15">
        <v>80116</v>
      </c>
      <c r="K119" s="15" t="s">
        <v>933</v>
      </c>
      <c r="L119" s="255" t="s">
        <v>762</v>
      </c>
      <c r="N119" s="256">
        <v>60116</v>
      </c>
      <c r="O119" s="256">
        <v>5</v>
      </c>
      <c r="P119" s="256" t="s">
        <v>914</v>
      </c>
      <c r="Q119" s="256">
        <v>2</v>
      </c>
      <c r="R119" s="256" t="s">
        <v>817</v>
      </c>
    </row>
    <row r="120" ht="17.25" customHeight="1" spans="10:18">
      <c r="J120" s="257">
        <v>80117</v>
      </c>
      <c r="K120" s="257" t="s">
        <v>934</v>
      </c>
      <c r="L120" s="258" t="s">
        <v>766</v>
      </c>
      <c r="N120" s="256">
        <v>60117</v>
      </c>
      <c r="O120" s="256">
        <v>5</v>
      </c>
      <c r="P120" s="256" t="s">
        <v>914</v>
      </c>
      <c r="Q120" s="256">
        <v>3</v>
      </c>
      <c r="R120" s="256" t="s">
        <v>817</v>
      </c>
    </row>
    <row r="121" ht="17.25" customHeight="1" spans="10:18">
      <c r="J121" s="15">
        <v>80118</v>
      </c>
      <c r="K121" s="15" t="s">
        <v>935</v>
      </c>
      <c r="L121" s="255" t="s">
        <v>757</v>
      </c>
      <c r="N121" s="256">
        <v>60118</v>
      </c>
      <c r="O121" s="256">
        <v>5</v>
      </c>
      <c r="P121" s="256" t="s">
        <v>914</v>
      </c>
      <c r="Q121" s="256">
        <v>4</v>
      </c>
      <c r="R121" s="256" t="s">
        <v>817</v>
      </c>
    </row>
    <row r="122" ht="17.25" customHeight="1" spans="10:18">
      <c r="J122" s="15">
        <v>80119</v>
      </c>
      <c r="K122" s="15" t="s">
        <v>936</v>
      </c>
      <c r="L122" s="255" t="s">
        <v>762</v>
      </c>
      <c r="N122" s="256">
        <v>60119</v>
      </c>
      <c r="O122" s="256">
        <v>5</v>
      </c>
      <c r="P122" s="256" t="s">
        <v>914</v>
      </c>
      <c r="Q122" s="256">
        <v>5</v>
      </c>
      <c r="R122" s="256" t="s">
        <v>817</v>
      </c>
    </row>
    <row r="123" ht="17.25" customHeight="1" spans="10:18">
      <c r="J123" s="15">
        <v>80120</v>
      </c>
      <c r="K123" s="15" t="s">
        <v>937</v>
      </c>
      <c r="L123" s="255" t="s">
        <v>766</v>
      </c>
      <c r="N123" s="256">
        <v>60120</v>
      </c>
      <c r="O123" s="256">
        <v>5</v>
      </c>
      <c r="P123" s="256" t="s">
        <v>914</v>
      </c>
      <c r="Q123" s="256">
        <v>6</v>
      </c>
      <c r="R123" s="256" t="s">
        <v>817</v>
      </c>
    </row>
    <row r="124" ht="17.25" customHeight="1" spans="10:18">
      <c r="J124" s="15">
        <v>80121</v>
      </c>
      <c r="K124" s="15" t="s">
        <v>938</v>
      </c>
      <c r="L124" s="255" t="s">
        <v>757</v>
      </c>
      <c r="N124" s="256">
        <v>60121</v>
      </c>
      <c r="O124" s="256">
        <v>6</v>
      </c>
      <c r="P124" s="256" t="s">
        <v>939</v>
      </c>
      <c r="Q124" s="256">
        <v>1</v>
      </c>
      <c r="R124" s="256" t="s">
        <v>757</v>
      </c>
    </row>
    <row r="125" ht="17.25" customHeight="1" spans="10:18">
      <c r="J125" s="15">
        <v>80122</v>
      </c>
      <c r="K125" s="15" t="s">
        <v>940</v>
      </c>
      <c r="L125" s="255" t="s">
        <v>762</v>
      </c>
      <c r="N125" s="256">
        <v>60122</v>
      </c>
      <c r="O125" s="256">
        <v>6</v>
      </c>
      <c r="P125" s="256" t="s">
        <v>939</v>
      </c>
      <c r="Q125" s="256">
        <v>2</v>
      </c>
      <c r="R125" s="256" t="s">
        <v>757</v>
      </c>
    </row>
    <row r="126" ht="17.25" customHeight="1" spans="10:18">
      <c r="J126" s="15">
        <v>80123</v>
      </c>
      <c r="K126" s="15" t="s">
        <v>941</v>
      </c>
      <c r="L126" s="255" t="s">
        <v>766</v>
      </c>
      <c r="N126" s="256">
        <v>60123</v>
      </c>
      <c r="O126" s="256">
        <v>6</v>
      </c>
      <c r="P126" s="256" t="s">
        <v>939</v>
      </c>
      <c r="Q126" s="256">
        <v>3</v>
      </c>
      <c r="R126" s="256" t="s">
        <v>757</v>
      </c>
    </row>
    <row r="127" ht="17.25" customHeight="1" spans="10:18">
      <c r="J127" s="15">
        <v>80124</v>
      </c>
      <c r="K127" s="15" t="s">
        <v>942</v>
      </c>
      <c r="L127" s="255" t="s">
        <v>757</v>
      </c>
      <c r="N127" s="256">
        <v>60124</v>
      </c>
      <c r="O127" s="256">
        <v>6</v>
      </c>
      <c r="P127" s="256" t="s">
        <v>939</v>
      </c>
      <c r="Q127" s="256">
        <v>4</v>
      </c>
      <c r="R127" s="256" t="s">
        <v>757</v>
      </c>
    </row>
    <row r="128" ht="17.25" customHeight="1" spans="10:18">
      <c r="J128" s="15">
        <v>80125</v>
      </c>
      <c r="K128" s="15" t="s">
        <v>943</v>
      </c>
      <c r="L128" s="255" t="s">
        <v>762</v>
      </c>
      <c r="N128" s="256">
        <v>60125</v>
      </c>
      <c r="O128" s="256">
        <v>6</v>
      </c>
      <c r="P128" s="256" t="s">
        <v>939</v>
      </c>
      <c r="Q128" s="256">
        <v>5</v>
      </c>
      <c r="R128" s="256" t="s">
        <v>757</v>
      </c>
    </row>
    <row r="129" ht="17.25" customHeight="1" spans="10:18">
      <c r="J129" s="15">
        <v>80126</v>
      </c>
      <c r="K129" s="15" t="s">
        <v>944</v>
      </c>
      <c r="L129" s="255" t="s">
        <v>766</v>
      </c>
      <c r="N129" s="256">
        <v>60126</v>
      </c>
      <c r="O129" s="256">
        <v>6</v>
      </c>
      <c r="P129" s="256" t="s">
        <v>939</v>
      </c>
      <c r="Q129" s="256">
        <v>6</v>
      </c>
      <c r="R129" s="256" t="s">
        <v>757</v>
      </c>
    </row>
    <row r="130" ht="17.25" customHeight="1" spans="10:18">
      <c r="J130" s="15">
        <v>80127</v>
      </c>
      <c r="K130" s="15" t="s">
        <v>945</v>
      </c>
      <c r="L130" s="255" t="s">
        <v>757</v>
      </c>
      <c r="N130" s="256">
        <v>60127</v>
      </c>
      <c r="O130" s="256">
        <v>6</v>
      </c>
      <c r="P130" s="256" t="s">
        <v>939</v>
      </c>
      <c r="Q130" s="256">
        <v>1</v>
      </c>
      <c r="R130" s="256" t="s">
        <v>762</v>
      </c>
    </row>
    <row r="131" ht="17.25" customHeight="1" spans="10:18">
      <c r="J131" s="15">
        <v>80128</v>
      </c>
      <c r="K131" s="15" t="s">
        <v>946</v>
      </c>
      <c r="L131" s="255" t="s">
        <v>762</v>
      </c>
      <c r="N131" s="256">
        <v>60128</v>
      </c>
      <c r="O131" s="256">
        <v>6</v>
      </c>
      <c r="P131" s="256" t="s">
        <v>939</v>
      </c>
      <c r="Q131" s="256">
        <v>2</v>
      </c>
      <c r="R131" s="256" t="s">
        <v>762</v>
      </c>
    </row>
    <row r="132" ht="17.25" customHeight="1" spans="10:18">
      <c r="J132" s="15">
        <v>80129</v>
      </c>
      <c r="K132" s="15" t="s">
        <v>947</v>
      </c>
      <c r="L132" s="255" t="s">
        <v>766</v>
      </c>
      <c r="N132" s="256">
        <v>60129</v>
      </c>
      <c r="O132" s="256">
        <v>6</v>
      </c>
      <c r="P132" s="256" t="s">
        <v>939</v>
      </c>
      <c r="Q132" s="256">
        <v>3</v>
      </c>
      <c r="R132" s="256" t="s">
        <v>762</v>
      </c>
    </row>
    <row r="133" ht="17.25" customHeight="1" spans="10:18">
      <c r="J133" s="15">
        <v>80130</v>
      </c>
      <c r="K133" s="15" t="s">
        <v>948</v>
      </c>
      <c r="L133" s="255" t="s">
        <v>757</v>
      </c>
      <c r="N133" s="256">
        <v>60130</v>
      </c>
      <c r="O133" s="256">
        <v>6</v>
      </c>
      <c r="P133" s="256" t="s">
        <v>939</v>
      </c>
      <c r="Q133" s="256">
        <v>4</v>
      </c>
      <c r="R133" s="256" t="s">
        <v>762</v>
      </c>
    </row>
    <row r="134" ht="17.25" customHeight="1" spans="10:18">
      <c r="J134" s="15">
        <v>80131</v>
      </c>
      <c r="K134" s="15" t="s">
        <v>949</v>
      </c>
      <c r="L134" s="255" t="s">
        <v>762</v>
      </c>
      <c r="N134" s="256">
        <v>60131</v>
      </c>
      <c r="O134" s="256">
        <v>6</v>
      </c>
      <c r="P134" s="256" t="s">
        <v>939</v>
      </c>
      <c r="Q134" s="256">
        <v>5</v>
      </c>
      <c r="R134" s="256" t="s">
        <v>762</v>
      </c>
    </row>
    <row r="135" ht="17.25" customHeight="1" spans="10:18">
      <c r="J135" s="15">
        <v>80132</v>
      </c>
      <c r="K135" s="15" t="s">
        <v>950</v>
      </c>
      <c r="L135" s="255" t="s">
        <v>766</v>
      </c>
      <c r="N135" s="256">
        <v>60132</v>
      </c>
      <c r="O135" s="256">
        <v>6</v>
      </c>
      <c r="P135" s="256" t="s">
        <v>939</v>
      </c>
      <c r="Q135" s="256">
        <v>6</v>
      </c>
      <c r="R135" s="256" t="s">
        <v>762</v>
      </c>
    </row>
    <row r="136" ht="17.25" customHeight="1" spans="10:18">
      <c r="J136" s="15">
        <v>80133</v>
      </c>
      <c r="K136" s="15" t="s">
        <v>951</v>
      </c>
      <c r="L136" s="255" t="s">
        <v>757</v>
      </c>
      <c r="N136" s="256">
        <v>60133</v>
      </c>
      <c r="O136" s="256">
        <v>6</v>
      </c>
      <c r="P136" s="256" t="s">
        <v>939</v>
      </c>
      <c r="Q136" s="256">
        <v>1</v>
      </c>
      <c r="R136" s="256" t="s">
        <v>766</v>
      </c>
    </row>
    <row r="137" ht="17.25" customHeight="1" spans="10:18">
      <c r="J137" s="15">
        <v>80134</v>
      </c>
      <c r="K137" s="15" t="s">
        <v>952</v>
      </c>
      <c r="L137" s="255" t="s">
        <v>762</v>
      </c>
      <c r="N137" s="256">
        <v>60134</v>
      </c>
      <c r="O137" s="256">
        <v>6</v>
      </c>
      <c r="P137" s="256" t="s">
        <v>939</v>
      </c>
      <c r="Q137" s="256">
        <v>2</v>
      </c>
      <c r="R137" s="256" t="s">
        <v>766</v>
      </c>
    </row>
    <row r="138" ht="17.25" customHeight="1" spans="10:18">
      <c r="J138" s="257">
        <v>80135</v>
      </c>
      <c r="K138" s="257" t="s">
        <v>953</v>
      </c>
      <c r="L138" s="258" t="s">
        <v>766</v>
      </c>
      <c r="N138" s="256">
        <v>60135</v>
      </c>
      <c r="O138" s="256">
        <v>6</v>
      </c>
      <c r="P138" s="256" t="s">
        <v>939</v>
      </c>
      <c r="Q138" s="256">
        <v>3</v>
      </c>
      <c r="R138" s="256" t="s">
        <v>766</v>
      </c>
    </row>
    <row r="139" ht="17.25" customHeight="1" spans="10:18">
      <c r="J139" s="15">
        <v>80136</v>
      </c>
      <c r="K139" s="15" t="s">
        <v>954</v>
      </c>
      <c r="L139" s="255" t="s">
        <v>757</v>
      </c>
      <c r="N139" s="256">
        <v>60136</v>
      </c>
      <c r="O139" s="256">
        <v>6</v>
      </c>
      <c r="P139" s="256" t="s">
        <v>939</v>
      </c>
      <c r="Q139" s="256">
        <v>4</v>
      </c>
      <c r="R139" s="256" t="s">
        <v>766</v>
      </c>
    </row>
    <row r="140" ht="17.25" customHeight="1" spans="10:18">
      <c r="J140" s="15">
        <v>80137</v>
      </c>
      <c r="K140" s="15" t="s">
        <v>955</v>
      </c>
      <c r="L140" s="255" t="s">
        <v>762</v>
      </c>
      <c r="N140" s="256">
        <v>60137</v>
      </c>
      <c r="O140" s="256">
        <v>6</v>
      </c>
      <c r="P140" s="256" t="s">
        <v>939</v>
      </c>
      <c r="Q140" s="256">
        <v>5</v>
      </c>
      <c r="R140" s="256" t="s">
        <v>766</v>
      </c>
    </row>
    <row r="141" ht="17.25" customHeight="1" spans="10:18">
      <c r="J141" s="15">
        <v>80138</v>
      </c>
      <c r="K141" s="15" t="s">
        <v>956</v>
      </c>
      <c r="L141" s="255" t="s">
        <v>766</v>
      </c>
      <c r="N141" s="256">
        <v>60138</v>
      </c>
      <c r="O141" s="256">
        <v>6</v>
      </c>
      <c r="P141" s="256" t="s">
        <v>939</v>
      </c>
      <c r="Q141" s="256">
        <v>6</v>
      </c>
      <c r="R141" s="256" t="s">
        <v>766</v>
      </c>
    </row>
    <row r="142" ht="17.25" customHeight="1" spans="10:18">
      <c r="J142" s="15">
        <v>80139</v>
      </c>
      <c r="K142" s="15" t="s">
        <v>957</v>
      </c>
      <c r="L142" s="255" t="s">
        <v>757</v>
      </c>
      <c r="N142" s="256">
        <v>60139</v>
      </c>
      <c r="O142" s="256">
        <v>6</v>
      </c>
      <c r="P142" s="256" t="s">
        <v>939</v>
      </c>
      <c r="Q142" s="256">
        <v>1</v>
      </c>
      <c r="R142" s="256" t="s">
        <v>817</v>
      </c>
    </row>
    <row r="143" ht="17.25" customHeight="1" spans="10:18">
      <c r="J143" s="15">
        <v>80140</v>
      </c>
      <c r="K143" s="15" t="s">
        <v>958</v>
      </c>
      <c r="L143" s="255" t="s">
        <v>762</v>
      </c>
      <c r="N143" s="256">
        <v>60140</v>
      </c>
      <c r="O143" s="256">
        <v>6</v>
      </c>
      <c r="P143" s="256" t="s">
        <v>939</v>
      </c>
      <c r="Q143" s="256">
        <v>2</v>
      </c>
      <c r="R143" s="256" t="s">
        <v>817</v>
      </c>
    </row>
    <row r="144" ht="17.25" customHeight="1" spans="10:18">
      <c r="J144" s="15">
        <v>80141</v>
      </c>
      <c r="K144" s="15" t="s">
        <v>959</v>
      </c>
      <c r="L144" s="255" t="s">
        <v>766</v>
      </c>
      <c r="N144" s="256">
        <v>60141</v>
      </c>
      <c r="O144" s="256">
        <v>6</v>
      </c>
      <c r="P144" s="256" t="s">
        <v>939</v>
      </c>
      <c r="Q144" s="256">
        <v>3</v>
      </c>
      <c r="R144" s="256" t="s">
        <v>817</v>
      </c>
    </row>
    <row r="145" ht="17.25" customHeight="1" spans="10:18">
      <c r="J145" s="15">
        <v>80142</v>
      </c>
      <c r="K145" s="15" t="s">
        <v>960</v>
      </c>
      <c r="L145" s="255" t="s">
        <v>757</v>
      </c>
      <c r="N145" s="256">
        <v>60142</v>
      </c>
      <c r="O145" s="256">
        <v>6</v>
      </c>
      <c r="P145" s="256" t="s">
        <v>939</v>
      </c>
      <c r="Q145" s="256">
        <v>4</v>
      </c>
      <c r="R145" s="256" t="s">
        <v>817</v>
      </c>
    </row>
    <row r="146" ht="17.25" customHeight="1" spans="10:18">
      <c r="J146" s="15">
        <v>80143</v>
      </c>
      <c r="K146" s="15" t="s">
        <v>961</v>
      </c>
      <c r="L146" s="255" t="s">
        <v>762</v>
      </c>
      <c r="N146" s="256">
        <v>60143</v>
      </c>
      <c r="O146" s="256">
        <v>6</v>
      </c>
      <c r="P146" s="256" t="s">
        <v>939</v>
      </c>
      <c r="Q146" s="256">
        <v>5</v>
      </c>
      <c r="R146" s="256" t="s">
        <v>817</v>
      </c>
    </row>
    <row r="147" ht="17.25" customHeight="1" spans="10:18">
      <c r="J147" s="15">
        <v>80144</v>
      </c>
      <c r="K147" s="15" t="s">
        <v>962</v>
      </c>
      <c r="L147" s="255" t="s">
        <v>766</v>
      </c>
      <c r="N147" s="256">
        <v>60144</v>
      </c>
      <c r="O147" s="256">
        <v>6</v>
      </c>
      <c r="P147" s="256" t="s">
        <v>939</v>
      </c>
      <c r="Q147" s="256">
        <v>6</v>
      </c>
      <c r="R147" s="256" t="s">
        <v>817</v>
      </c>
    </row>
    <row r="148" ht="17.25" customHeight="1" spans="10:18">
      <c r="J148" s="15">
        <v>80145</v>
      </c>
      <c r="K148" s="15" t="s">
        <v>963</v>
      </c>
      <c r="L148" s="255" t="s">
        <v>757</v>
      </c>
      <c r="N148" s="256">
        <v>60145</v>
      </c>
      <c r="O148" s="256">
        <v>7</v>
      </c>
      <c r="P148" s="256" t="s">
        <v>964</v>
      </c>
      <c r="Q148" s="256">
        <v>1</v>
      </c>
      <c r="R148" s="256" t="s">
        <v>757</v>
      </c>
    </row>
    <row r="149" ht="17.25" customHeight="1" spans="10:18">
      <c r="J149" s="15">
        <v>80146</v>
      </c>
      <c r="K149" s="15" t="s">
        <v>965</v>
      </c>
      <c r="L149" s="255" t="s">
        <v>762</v>
      </c>
      <c r="N149" s="256">
        <v>60146</v>
      </c>
      <c r="O149" s="256">
        <v>7</v>
      </c>
      <c r="P149" s="256" t="s">
        <v>964</v>
      </c>
      <c r="Q149" s="256">
        <v>2</v>
      </c>
      <c r="R149" s="256" t="s">
        <v>757</v>
      </c>
    </row>
    <row r="150" ht="17.25" customHeight="1" spans="10:18">
      <c r="J150" s="15">
        <v>80147</v>
      </c>
      <c r="K150" s="15" t="s">
        <v>966</v>
      </c>
      <c r="L150" s="255" t="s">
        <v>766</v>
      </c>
      <c r="N150" s="256">
        <v>60147</v>
      </c>
      <c r="O150" s="256">
        <v>7</v>
      </c>
      <c r="P150" s="256" t="s">
        <v>964</v>
      </c>
      <c r="Q150" s="256">
        <v>3</v>
      </c>
      <c r="R150" s="256" t="s">
        <v>757</v>
      </c>
    </row>
    <row r="151" ht="17.25" customHeight="1" spans="10:18">
      <c r="J151" s="15">
        <v>80148</v>
      </c>
      <c r="K151" s="15" t="s">
        <v>967</v>
      </c>
      <c r="L151" s="255" t="s">
        <v>757</v>
      </c>
      <c r="N151" s="256">
        <v>60148</v>
      </c>
      <c r="O151" s="256">
        <v>7</v>
      </c>
      <c r="P151" s="256" t="s">
        <v>964</v>
      </c>
      <c r="Q151" s="256">
        <v>4</v>
      </c>
      <c r="R151" s="256" t="s">
        <v>757</v>
      </c>
    </row>
    <row r="152" ht="17.25" customHeight="1" spans="10:18">
      <c r="J152" s="15">
        <v>80149</v>
      </c>
      <c r="K152" s="15" t="s">
        <v>968</v>
      </c>
      <c r="L152" s="255" t="s">
        <v>762</v>
      </c>
      <c r="N152" s="256">
        <v>60149</v>
      </c>
      <c r="O152" s="256">
        <v>7</v>
      </c>
      <c r="P152" s="256" t="s">
        <v>964</v>
      </c>
      <c r="Q152" s="256">
        <v>5</v>
      </c>
      <c r="R152" s="256" t="s">
        <v>757</v>
      </c>
    </row>
    <row r="153" ht="17.25" customHeight="1" spans="10:18">
      <c r="J153" s="15">
        <v>80150</v>
      </c>
      <c r="K153" s="15" t="s">
        <v>969</v>
      </c>
      <c r="L153" s="255" t="s">
        <v>766</v>
      </c>
      <c r="N153" s="256">
        <v>60150</v>
      </c>
      <c r="O153" s="256">
        <v>7</v>
      </c>
      <c r="P153" s="256" t="s">
        <v>964</v>
      </c>
      <c r="Q153" s="256">
        <v>6</v>
      </c>
      <c r="R153" s="256" t="s">
        <v>757</v>
      </c>
    </row>
    <row r="154" ht="17.25" customHeight="1" spans="10:18">
      <c r="J154" s="15">
        <v>80151</v>
      </c>
      <c r="K154" s="15" t="s">
        <v>970</v>
      </c>
      <c r="L154" s="255" t="s">
        <v>757</v>
      </c>
      <c r="N154" s="256">
        <v>60151</v>
      </c>
      <c r="O154" s="256">
        <v>7</v>
      </c>
      <c r="P154" s="256" t="s">
        <v>964</v>
      </c>
      <c r="Q154" s="256">
        <v>1</v>
      </c>
      <c r="R154" s="256" t="s">
        <v>762</v>
      </c>
    </row>
    <row r="155" ht="17.25" customHeight="1" spans="10:18">
      <c r="J155" s="15">
        <v>80152</v>
      </c>
      <c r="K155" s="15" t="s">
        <v>971</v>
      </c>
      <c r="L155" s="255" t="s">
        <v>762</v>
      </c>
      <c r="N155" s="256">
        <v>60152</v>
      </c>
      <c r="O155" s="256">
        <v>7</v>
      </c>
      <c r="P155" s="256" t="s">
        <v>964</v>
      </c>
      <c r="Q155" s="256">
        <v>2</v>
      </c>
      <c r="R155" s="256" t="s">
        <v>762</v>
      </c>
    </row>
    <row r="156" ht="17.25" customHeight="1" spans="10:18">
      <c r="J156" s="257">
        <v>80153</v>
      </c>
      <c r="K156" s="257" t="s">
        <v>972</v>
      </c>
      <c r="L156" s="258" t="s">
        <v>766</v>
      </c>
      <c r="N156" s="256">
        <v>60153</v>
      </c>
      <c r="O156" s="256">
        <v>7</v>
      </c>
      <c r="P156" s="256" t="s">
        <v>964</v>
      </c>
      <c r="Q156" s="256">
        <v>3</v>
      </c>
      <c r="R156" s="256" t="s">
        <v>762</v>
      </c>
    </row>
    <row r="157" ht="17.25" customHeight="1" spans="10:18">
      <c r="J157" s="15">
        <v>80154</v>
      </c>
      <c r="K157" s="15" t="s">
        <v>973</v>
      </c>
      <c r="L157" s="255" t="s">
        <v>817</v>
      </c>
      <c r="N157" s="256">
        <v>60154</v>
      </c>
      <c r="O157" s="256">
        <v>7</v>
      </c>
      <c r="P157" s="256" t="s">
        <v>964</v>
      </c>
      <c r="Q157" s="256">
        <v>4</v>
      </c>
      <c r="R157" s="256" t="s">
        <v>762</v>
      </c>
    </row>
    <row r="158" ht="17.25" customHeight="1" spans="10:18">
      <c r="J158" s="15">
        <v>80155</v>
      </c>
      <c r="K158" s="15" t="s">
        <v>974</v>
      </c>
      <c r="L158" s="255" t="s">
        <v>817</v>
      </c>
      <c r="N158" s="256">
        <v>60155</v>
      </c>
      <c r="O158" s="256">
        <v>7</v>
      </c>
      <c r="P158" s="256" t="s">
        <v>964</v>
      </c>
      <c r="Q158" s="256">
        <v>5</v>
      </c>
      <c r="R158" s="256" t="s">
        <v>762</v>
      </c>
    </row>
    <row r="159" ht="17.25" customHeight="1" spans="10:18">
      <c r="J159" s="257">
        <v>80156</v>
      </c>
      <c r="K159" s="257" t="s">
        <v>975</v>
      </c>
      <c r="L159" s="258" t="s">
        <v>817</v>
      </c>
      <c r="N159" s="256">
        <v>60156</v>
      </c>
      <c r="O159" s="256">
        <v>7</v>
      </c>
      <c r="P159" s="256" t="s">
        <v>964</v>
      </c>
      <c r="Q159" s="256">
        <v>6</v>
      </c>
      <c r="R159" s="256" t="s">
        <v>762</v>
      </c>
    </row>
    <row r="160" ht="17.25" customHeight="1" spans="10:18">
      <c r="J160" s="15">
        <v>80157</v>
      </c>
      <c r="K160" s="15" t="s">
        <v>976</v>
      </c>
      <c r="L160" s="255" t="s">
        <v>817</v>
      </c>
      <c r="N160" s="256">
        <v>60157</v>
      </c>
      <c r="O160" s="256">
        <v>7</v>
      </c>
      <c r="P160" s="256" t="s">
        <v>964</v>
      </c>
      <c r="Q160" s="256">
        <v>1</v>
      </c>
      <c r="R160" s="256" t="s">
        <v>766</v>
      </c>
    </row>
    <row r="161" ht="17.25" customHeight="1" spans="10:18">
      <c r="J161" s="15">
        <v>80158</v>
      </c>
      <c r="K161" s="15" t="s">
        <v>977</v>
      </c>
      <c r="L161" s="255" t="s">
        <v>817</v>
      </c>
      <c r="N161" s="256">
        <v>60158</v>
      </c>
      <c r="O161" s="256">
        <v>7</v>
      </c>
      <c r="P161" s="256" t="s">
        <v>964</v>
      </c>
      <c r="Q161" s="256">
        <v>2</v>
      </c>
      <c r="R161" s="256" t="s">
        <v>766</v>
      </c>
    </row>
    <row r="162" ht="17.25" customHeight="1" spans="10:18">
      <c r="J162" s="257">
        <v>80159</v>
      </c>
      <c r="K162" s="257" t="s">
        <v>978</v>
      </c>
      <c r="L162" s="258" t="s">
        <v>817</v>
      </c>
      <c r="N162" s="256">
        <v>60159</v>
      </c>
      <c r="O162" s="256">
        <v>7</v>
      </c>
      <c r="P162" s="256" t="s">
        <v>964</v>
      </c>
      <c r="Q162" s="256">
        <v>3</v>
      </c>
      <c r="R162" s="256" t="s">
        <v>766</v>
      </c>
    </row>
    <row r="163" ht="17.25" customHeight="1" spans="10:18">
      <c r="J163" s="15">
        <v>80160</v>
      </c>
      <c r="K163" s="15" t="s">
        <v>979</v>
      </c>
      <c r="L163" s="255" t="s">
        <v>817</v>
      </c>
      <c r="N163" s="256">
        <v>60160</v>
      </c>
      <c r="O163" s="256">
        <v>7</v>
      </c>
      <c r="P163" s="256" t="s">
        <v>964</v>
      </c>
      <c r="Q163" s="256">
        <v>4</v>
      </c>
      <c r="R163" s="256" t="s">
        <v>766</v>
      </c>
    </row>
    <row r="164" ht="17.25" customHeight="1" spans="10:18">
      <c r="J164" s="15">
        <v>80161</v>
      </c>
      <c r="K164" s="15" t="s">
        <v>980</v>
      </c>
      <c r="L164" s="255" t="s">
        <v>817</v>
      </c>
      <c r="N164" s="256">
        <v>60161</v>
      </c>
      <c r="O164" s="256">
        <v>7</v>
      </c>
      <c r="P164" s="256" t="s">
        <v>964</v>
      </c>
      <c r="Q164" s="256">
        <v>5</v>
      </c>
      <c r="R164" s="256" t="s">
        <v>766</v>
      </c>
    </row>
    <row r="165" ht="17.25" customHeight="1" spans="10:18">
      <c r="J165" s="257">
        <v>80162</v>
      </c>
      <c r="K165" s="257" t="s">
        <v>981</v>
      </c>
      <c r="L165" s="258" t="s">
        <v>817</v>
      </c>
      <c r="N165" s="256">
        <v>60162</v>
      </c>
      <c r="O165" s="256">
        <v>7</v>
      </c>
      <c r="P165" s="256" t="s">
        <v>964</v>
      </c>
      <c r="Q165" s="256">
        <v>6</v>
      </c>
      <c r="R165" s="256" t="s">
        <v>766</v>
      </c>
    </row>
    <row r="166" ht="17.25" customHeight="1" spans="10:18">
      <c r="J166" s="15">
        <v>80163</v>
      </c>
      <c r="K166" s="15" t="s">
        <v>982</v>
      </c>
      <c r="L166" s="255" t="s">
        <v>817</v>
      </c>
      <c r="N166" s="256">
        <v>60163</v>
      </c>
      <c r="O166" s="256">
        <v>7</v>
      </c>
      <c r="P166" s="256" t="s">
        <v>964</v>
      </c>
      <c r="Q166" s="256">
        <v>1</v>
      </c>
      <c r="R166" s="256" t="s">
        <v>817</v>
      </c>
    </row>
    <row r="167" ht="17.25" customHeight="1" spans="10:18">
      <c r="J167" s="15">
        <v>80164</v>
      </c>
      <c r="K167" s="15" t="s">
        <v>983</v>
      </c>
      <c r="L167" s="255" t="s">
        <v>817</v>
      </c>
      <c r="N167" s="256">
        <v>60164</v>
      </c>
      <c r="O167" s="256">
        <v>7</v>
      </c>
      <c r="P167" s="256" t="s">
        <v>964</v>
      </c>
      <c r="Q167" s="256">
        <v>2</v>
      </c>
      <c r="R167" s="256" t="s">
        <v>817</v>
      </c>
    </row>
    <row r="168" ht="17.25" customHeight="1" spans="10:18">
      <c r="J168" s="15">
        <v>80165</v>
      </c>
      <c r="K168" s="15" t="s">
        <v>984</v>
      </c>
      <c r="L168" s="255" t="s">
        <v>817</v>
      </c>
      <c r="N168" s="256">
        <v>60165</v>
      </c>
      <c r="O168" s="256">
        <v>7</v>
      </c>
      <c r="P168" s="256" t="s">
        <v>964</v>
      </c>
      <c r="Q168" s="256">
        <v>3</v>
      </c>
      <c r="R168" s="256" t="s">
        <v>817</v>
      </c>
    </row>
    <row r="169" ht="17.25" customHeight="1" spans="10:18">
      <c r="J169" s="257">
        <v>80166</v>
      </c>
      <c r="K169" s="257" t="s">
        <v>985</v>
      </c>
      <c r="L169" s="258" t="s">
        <v>817</v>
      </c>
      <c r="N169" s="256">
        <v>60166</v>
      </c>
      <c r="O169" s="256">
        <v>7</v>
      </c>
      <c r="P169" s="256" t="s">
        <v>964</v>
      </c>
      <c r="Q169" s="256">
        <v>4</v>
      </c>
      <c r="R169" s="256" t="s">
        <v>817</v>
      </c>
    </row>
    <row r="170" ht="17.25" customHeight="1" spans="10:18">
      <c r="J170" s="15">
        <v>80167</v>
      </c>
      <c r="K170" s="15" t="s">
        <v>986</v>
      </c>
      <c r="L170" s="255" t="s">
        <v>817</v>
      </c>
      <c r="N170" s="256">
        <v>60167</v>
      </c>
      <c r="O170" s="256">
        <v>7</v>
      </c>
      <c r="P170" s="256" t="s">
        <v>964</v>
      </c>
      <c r="Q170" s="256">
        <v>5</v>
      </c>
      <c r="R170" s="256" t="s">
        <v>817</v>
      </c>
    </row>
    <row r="171" ht="17.25" customHeight="1" spans="10:18">
      <c r="J171" s="15">
        <v>80168</v>
      </c>
      <c r="K171" s="15" t="s">
        <v>987</v>
      </c>
      <c r="L171" s="255" t="s">
        <v>817</v>
      </c>
      <c r="N171" s="256">
        <v>60168</v>
      </c>
      <c r="O171" s="256">
        <v>7</v>
      </c>
      <c r="P171" s="256" t="s">
        <v>964</v>
      </c>
      <c r="Q171" s="256">
        <v>6</v>
      </c>
      <c r="R171" s="256" t="s">
        <v>817</v>
      </c>
    </row>
    <row r="172" ht="17.25" customHeight="1" spans="10:18">
      <c r="J172" s="15">
        <v>80169</v>
      </c>
      <c r="K172" s="15" t="s">
        <v>988</v>
      </c>
      <c r="L172" s="255" t="s">
        <v>817</v>
      </c>
      <c r="N172" s="256">
        <v>60169</v>
      </c>
      <c r="O172" s="256">
        <v>8</v>
      </c>
      <c r="P172" s="256" t="s">
        <v>989</v>
      </c>
      <c r="Q172" s="256">
        <v>1</v>
      </c>
      <c r="R172" s="256" t="s">
        <v>757</v>
      </c>
    </row>
    <row r="173" ht="17.25" customHeight="1" spans="10:18">
      <c r="J173" s="257">
        <v>80170</v>
      </c>
      <c r="K173" s="257" t="s">
        <v>990</v>
      </c>
      <c r="L173" s="258" t="s">
        <v>817</v>
      </c>
      <c r="N173" s="256">
        <v>60170</v>
      </c>
      <c r="O173" s="256">
        <v>8</v>
      </c>
      <c r="P173" s="256" t="s">
        <v>989</v>
      </c>
      <c r="Q173" s="256">
        <v>2</v>
      </c>
      <c r="R173" s="256" t="s">
        <v>757</v>
      </c>
    </row>
    <row r="174" ht="17.25" customHeight="1" spans="10:18">
      <c r="J174" s="15">
        <v>80171</v>
      </c>
      <c r="K174" s="15" t="s">
        <v>991</v>
      </c>
      <c r="L174" s="255" t="s">
        <v>817</v>
      </c>
      <c r="N174" s="256">
        <v>60171</v>
      </c>
      <c r="O174" s="256">
        <v>8</v>
      </c>
      <c r="P174" s="256" t="s">
        <v>989</v>
      </c>
      <c r="Q174" s="256">
        <v>3</v>
      </c>
      <c r="R174" s="256" t="s">
        <v>757</v>
      </c>
    </row>
    <row r="175" ht="17.25" customHeight="1" spans="10:18">
      <c r="J175" s="15">
        <v>80172</v>
      </c>
      <c r="K175" s="15" t="s">
        <v>992</v>
      </c>
      <c r="L175" s="255" t="s">
        <v>817</v>
      </c>
      <c r="N175" s="256">
        <v>60172</v>
      </c>
      <c r="O175" s="256">
        <v>8</v>
      </c>
      <c r="P175" s="256" t="s">
        <v>989</v>
      </c>
      <c r="Q175" s="256">
        <v>4</v>
      </c>
      <c r="R175" s="256" t="s">
        <v>757</v>
      </c>
    </row>
    <row r="176" ht="17.25" customHeight="1" spans="10:18">
      <c r="J176" s="15">
        <v>80173</v>
      </c>
      <c r="K176" s="15" t="s">
        <v>993</v>
      </c>
      <c r="L176" s="255" t="s">
        <v>817</v>
      </c>
      <c r="N176" s="256">
        <v>60173</v>
      </c>
      <c r="O176" s="256">
        <v>8</v>
      </c>
      <c r="P176" s="256" t="s">
        <v>989</v>
      </c>
      <c r="Q176" s="256">
        <v>5</v>
      </c>
      <c r="R176" s="256" t="s">
        <v>757</v>
      </c>
    </row>
    <row r="177" ht="17.25" customHeight="1" spans="10:18">
      <c r="J177" s="257">
        <v>80174</v>
      </c>
      <c r="K177" s="257" t="s">
        <v>994</v>
      </c>
      <c r="L177" s="258" t="s">
        <v>817</v>
      </c>
      <c r="N177" s="256">
        <v>60174</v>
      </c>
      <c r="O177" s="256">
        <v>8</v>
      </c>
      <c r="P177" s="256" t="s">
        <v>989</v>
      </c>
      <c r="Q177" s="256">
        <v>6</v>
      </c>
      <c r="R177" s="256" t="s">
        <v>757</v>
      </c>
    </row>
    <row r="178" ht="17.25" customHeight="1" spans="10:18">
      <c r="J178" s="15">
        <v>80175</v>
      </c>
      <c r="K178" s="15" t="s">
        <v>995</v>
      </c>
      <c r="L178" s="255" t="s">
        <v>817</v>
      </c>
      <c r="N178" s="256">
        <v>60175</v>
      </c>
      <c r="O178" s="256">
        <v>8</v>
      </c>
      <c r="P178" s="256" t="s">
        <v>989</v>
      </c>
      <c r="Q178" s="256">
        <v>1</v>
      </c>
      <c r="R178" s="256" t="s">
        <v>762</v>
      </c>
    </row>
    <row r="179" ht="17.25" customHeight="1" spans="10:18">
      <c r="J179" s="15">
        <v>80176</v>
      </c>
      <c r="K179" s="15" t="s">
        <v>996</v>
      </c>
      <c r="L179" s="255" t="s">
        <v>817</v>
      </c>
      <c r="N179" s="256">
        <v>60176</v>
      </c>
      <c r="O179" s="256">
        <v>8</v>
      </c>
      <c r="P179" s="256" t="s">
        <v>989</v>
      </c>
      <c r="Q179" s="256">
        <v>2</v>
      </c>
      <c r="R179" s="256" t="s">
        <v>762</v>
      </c>
    </row>
    <row r="180" ht="17.25" customHeight="1" spans="10:18">
      <c r="J180" s="15">
        <v>80177</v>
      </c>
      <c r="K180" s="15" t="s">
        <v>997</v>
      </c>
      <c r="L180" s="255" t="s">
        <v>817</v>
      </c>
      <c r="N180" s="256">
        <v>60177</v>
      </c>
      <c r="O180" s="256">
        <v>8</v>
      </c>
      <c r="P180" s="256" t="s">
        <v>989</v>
      </c>
      <c r="Q180" s="256">
        <v>3</v>
      </c>
      <c r="R180" s="256" t="s">
        <v>762</v>
      </c>
    </row>
    <row r="181" ht="17.25" customHeight="1" spans="10:18">
      <c r="J181" s="257">
        <v>80178</v>
      </c>
      <c r="K181" s="257" t="s">
        <v>998</v>
      </c>
      <c r="L181" s="258" t="s">
        <v>817</v>
      </c>
      <c r="N181" s="256">
        <v>60178</v>
      </c>
      <c r="O181" s="256">
        <v>8</v>
      </c>
      <c r="P181" s="256" t="s">
        <v>989</v>
      </c>
      <c r="Q181" s="256">
        <v>4</v>
      </c>
      <c r="R181" s="256" t="s">
        <v>762</v>
      </c>
    </row>
    <row r="182" ht="17.25" customHeight="1" spans="10:18">
      <c r="J182" s="15">
        <v>80179</v>
      </c>
      <c r="K182" s="15" t="s">
        <v>999</v>
      </c>
      <c r="L182" s="255" t="s">
        <v>817</v>
      </c>
      <c r="N182" s="256">
        <v>60179</v>
      </c>
      <c r="O182" s="256">
        <v>8</v>
      </c>
      <c r="P182" s="256" t="s">
        <v>989</v>
      </c>
      <c r="Q182" s="256">
        <v>5</v>
      </c>
      <c r="R182" s="256" t="s">
        <v>762</v>
      </c>
    </row>
    <row r="183" ht="17.25" customHeight="1" spans="10:18">
      <c r="J183" s="15">
        <v>80180</v>
      </c>
      <c r="K183" s="15" t="s">
        <v>1000</v>
      </c>
      <c r="L183" s="255" t="s">
        <v>817</v>
      </c>
      <c r="N183" s="256">
        <v>60180</v>
      </c>
      <c r="O183" s="256">
        <v>8</v>
      </c>
      <c r="P183" s="256" t="s">
        <v>989</v>
      </c>
      <c r="Q183" s="256">
        <v>6</v>
      </c>
      <c r="R183" s="256" t="s">
        <v>762</v>
      </c>
    </row>
    <row r="184" ht="17.25" customHeight="1" spans="10:18">
      <c r="J184" s="15">
        <v>80181</v>
      </c>
      <c r="K184" s="15" t="s">
        <v>1001</v>
      </c>
      <c r="L184" s="255" t="s">
        <v>817</v>
      </c>
      <c r="N184" s="256">
        <v>60181</v>
      </c>
      <c r="O184" s="256">
        <v>8</v>
      </c>
      <c r="P184" s="256" t="s">
        <v>989</v>
      </c>
      <c r="Q184" s="256">
        <v>1</v>
      </c>
      <c r="R184" s="256" t="s">
        <v>766</v>
      </c>
    </row>
    <row r="185" ht="17.25" customHeight="1" spans="10:18">
      <c r="J185" s="257">
        <v>80182</v>
      </c>
      <c r="K185" s="257" t="s">
        <v>1002</v>
      </c>
      <c r="L185" s="258" t="s">
        <v>817</v>
      </c>
      <c r="N185" s="256">
        <v>60182</v>
      </c>
      <c r="O185" s="256">
        <v>8</v>
      </c>
      <c r="P185" s="256" t="s">
        <v>989</v>
      </c>
      <c r="Q185" s="256">
        <v>2</v>
      </c>
      <c r="R185" s="256" t="s">
        <v>766</v>
      </c>
    </row>
    <row r="186" ht="17.25" customHeight="1" spans="10:18">
      <c r="J186" s="15">
        <v>80183</v>
      </c>
      <c r="K186" s="15" t="s">
        <v>1003</v>
      </c>
      <c r="L186" s="255" t="s">
        <v>817</v>
      </c>
      <c r="N186" s="256">
        <v>60183</v>
      </c>
      <c r="O186" s="256">
        <v>8</v>
      </c>
      <c r="P186" s="256" t="s">
        <v>989</v>
      </c>
      <c r="Q186" s="256">
        <v>3</v>
      </c>
      <c r="R186" s="256" t="s">
        <v>766</v>
      </c>
    </row>
    <row r="187" ht="17.25" customHeight="1" spans="10:18">
      <c r="J187" s="15">
        <v>80184</v>
      </c>
      <c r="K187" s="15" t="s">
        <v>1004</v>
      </c>
      <c r="L187" s="255" t="s">
        <v>817</v>
      </c>
      <c r="N187" s="256">
        <v>60184</v>
      </c>
      <c r="O187" s="256">
        <v>8</v>
      </c>
      <c r="P187" s="256" t="s">
        <v>989</v>
      </c>
      <c r="Q187" s="256">
        <v>4</v>
      </c>
      <c r="R187" s="256" t="s">
        <v>766</v>
      </c>
    </row>
    <row r="188" ht="17.25" customHeight="1" spans="10:18">
      <c r="J188" s="15">
        <v>80185</v>
      </c>
      <c r="K188" s="15" t="s">
        <v>1005</v>
      </c>
      <c r="L188" s="255" t="s">
        <v>817</v>
      </c>
      <c r="N188" s="256">
        <v>60185</v>
      </c>
      <c r="O188" s="256">
        <v>8</v>
      </c>
      <c r="P188" s="256" t="s">
        <v>989</v>
      </c>
      <c r="Q188" s="256">
        <v>5</v>
      </c>
      <c r="R188" s="256" t="s">
        <v>766</v>
      </c>
    </row>
    <row r="189" ht="17.25" customHeight="1" spans="10:18">
      <c r="J189" s="257">
        <v>80186</v>
      </c>
      <c r="K189" s="257" t="s">
        <v>1006</v>
      </c>
      <c r="L189" s="258" t="s">
        <v>817</v>
      </c>
      <c r="N189" s="256">
        <v>60186</v>
      </c>
      <c r="O189" s="256">
        <v>8</v>
      </c>
      <c r="P189" s="256" t="s">
        <v>989</v>
      </c>
      <c r="Q189" s="256">
        <v>6</v>
      </c>
      <c r="R189" s="256" t="s">
        <v>766</v>
      </c>
    </row>
    <row r="190" ht="17.25" customHeight="1" spans="10:18">
      <c r="J190" s="15">
        <v>80187</v>
      </c>
      <c r="K190" s="15" t="s">
        <v>1007</v>
      </c>
      <c r="L190" s="255" t="s">
        <v>817</v>
      </c>
      <c r="N190" s="256">
        <v>60187</v>
      </c>
      <c r="O190" s="256">
        <v>8</v>
      </c>
      <c r="P190" s="256" t="s">
        <v>989</v>
      </c>
      <c r="Q190" s="256">
        <v>1</v>
      </c>
      <c r="R190" s="256" t="s">
        <v>817</v>
      </c>
    </row>
    <row r="191" ht="17.25" customHeight="1" spans="10:18">
      <c r="J191" s="15">
        <v>80188</v>
      </c>
      <c r="K191" s="15" t="s">
        <v>1008</v>
      </c>
      <c r="L191" s="255" t="s">
        <v>817</v>
      </c>
      <c r="N191" s="256">
        <v>60188</v>
      </c>
      <c r="O191" s="256">
        <v>8</v>
      </c>
      <c r="P191" s="256" t="s">
        <v>989</v>
      </c>
      <c r="Q191" s="256">
        <v>2</v>
      </c>
      <c r="R191" s="256" t="s">
        <v>817</v>
      </c>
    </row>
    <row r="192" ht="17.25" customHeight="1" spans="10:18">
      <c r="J192" s="15">
        <v>80189</v>
      </c>
      <c r="K192" s="15" t="s">
        <v>1009</v>
      </c>
      <c r="L192" s="255" t="s">
        <v>817</v>
      </c>
      <c r="N192" s="256">
        <v>60189</v>
      </c>
      <c r="O192" s="256">
        <v>8</v>
      </c>
      <c r="P192" s="256" t="s">
        <v>989</v>
      </c>
      <c r="Q192" s="256">
        <v>3</v>
      </c>
      <c r="R192" s="256" t="s">
        <v>817</v>
      </c>
    </row>
    <row r="193" ht="17.25" customHeight="1" spans="10:18">
      <c r="J193" s="15">
        <v>80190</v>
      </c>
      <c r="K193" s="15" t="s">
        <v>1010</v>
      </c>
      <c r="L193" s="255" t="s">
        <v>817</v>
      </c>
      <c r="N193" s="256">
        <v>60190</v>
      </c>
      <c r="O193" s="256">
        <v>8</v>
      </c>
      <c r="P193" s="256" t="s">
        <v>989</v>
      </c>
      <c r="Q193" s="256">
        <v>4</v>
      </c>
      <c r="R193" s="256" t="s">
        <v>817</v>
      </c>
    </row>
    <row r="194" ht="16.5" customHeight="1" spans="10:18">
      <c r="N194" s="256">
        <v>60191</v>
      </c>
      <c r="O194" s="256">
        <v>8</v>
      </c>
      <c r="P194" s="256" t="s">
        <v>989</v>
      </c>
      <c r="Q194" s="256">
        <v>5</v>
      </c>
      <c r="R194" s="256" t="s">
        <v>817</v>
      </c>
    </row>
    <row r="195" ht="16.5" customHeight="1" spans="10:18">
      <c r="N195" s="256">
        <v>60192</v>
      </c>
      <c r="O195" s="256">
        <v>8</v>
      </c>
      <c r="P195" s="256" t="s">
        <v>989</v>
      </c>
      <c r="Q195" s="256">
        <v>6</v>
      </c>
      <c r="R195" s="256" t="s">
        <v>817</v>
      </c>
    </row>
    <row r="196" ht="16.5" customHeight="1" spans="10:18">
      <c r="N196" s="256">
        <v>60193</v>
      </c>
      <c r="O196" s="256">
        <v>9</v>
      </c>
      <c r="P196" s="256" t="s">
        <v>1011</v>
      </c>
      <c r="Q196" s="256">
        <v>1</v>
      </c>
      <c r="R196" s="256" t="s">
        <v>757</v>
      </c>
    </row>
    <row r="197" ht="16.5" customHeight="1" spans="10:18">
      <c r="N197" s="256">
        <v>60194</v>
      </c>
      <c r="O197" s="256">
        <v>9</v>
      </c>
      <c r="P197" s="256" t="s">
        <v>1011</v>
      </c>
      <c r="Q197" s="256">
        <v>2</v>
      </c>
      <c r="R197" s="256" t="s">
        <v>757</v>
      </c>
    </row>
    <row r="198" ht="16.5" customHeight="1" spans="10:18">
      <c r="N198" s="256">
        <v>60195</v>
      </c>
      <c r="O198" s="256">
        <v>9</v>
      </c>
      <c r="P198" s="256" t="s">
        <v>1011</v>
      </c>
      <c r="Q198" s="256">
        <v>3</v>
      </c>
      <c r="R198" s="256" t="s">
        <v>757</v>
      </c>
    </row>
    <row r="199" ht="16.5" customHeight="1" spans="10:18">
      <c r="N199" s="256">
        <v>60196</v>
      </c>
      <c r="O199" s="256">
        <v>9</v>
      </c>
      <c r="P199" s="256" t="s">
        <v>1011</v>
      </c>
      <c r="Q199" s="256">
        <v>4</v>
      </c>
      <c r="R199" s="256" t="s">
        <v>757</v>
      </c>
    </row>
    <row r="200" ht="16.5" customHeight="1" spans="10:18">
      <c r="N200" s="256">
        <v>60197</v>
      </c>
      <c r="O200" s="256">
        <v>9</v>
      </c>
      <c r="P200" s="256" t="s">
        <v>1011</v>
      </c>
      <c r="Q200" s="256">
        <v>5</v>
      </c>
      <c r="R200" s="256" t="s">
        <v>757</v>
      </c>
    </row>
    <row r="201" ht="16.5" customHeight="1" spans="10:18">
      <c r="N201" s="256">
        <v>60198</v>
      </c>
      <c r="O201" s="256">
        <v>9</v>
      </c>
      <c r="P201" s="256" t="s">
        <v>1011</v>
      </c>
      <c r="Q201" s="256">
        <v>6</v>
      </c>
      <c r="R201" s="256" t="s">
        <v>757</v>
      </c>
    </row>
    <row r="202" ht="16.5" customHeight="1" spans="10:18">
      <c r="N202" s="256">
        <v>60199</v>
      </c>
      <c r="O202" s="256">
        <v>9</v>
      </c>
      <c r="P202" s="256" t="s">
        <v>1011</v>
      </c>
      <c r="Q202" s="256">
        <v>1</v>
      </c>
      <c r="R202" s="256" t="s">
        <v>762</v>
      </c>
    </row>
    <row r="203" ht="16.5" customHeight="1" spans="10:18">
      <c r="N203" s="256">
        <v>60200</v>
      </c>
      <c r="O203" s="256">
        <v>9</v>
      </c>
      <c r="P203" s="256" t="s">
        <v>1011</v>
      </c>
      <c r="Q203" s="256">
        <v>2</v>
      </c>
      <c r="R203" s="256" t="s">
        <v>762</v>
      </c>
    </row>
    <row r="204" ht="16.5" customHeight="1" spans="10:18">
      <c r="N204" s="256">
        <v>60201</v>
      </c>
      <c r="O204" s="256">
        <v>9</v>
      </c>
      <c r="P204" s="256" t="s">
        <v>1011</v>
      </c>
      <c r="Q204" s="256">
        <v>3</v>
      </c>
      <c r="R204" s="256" t="s">
        <v>762</v>
      </c>
    </row>
    <row r="205" ht="16.5" customHeight="1" spans="10:18">
      <c r="N205" s="256">
        <v>60202</v>
      </c>
      <c r="O205" s="256">
        <v>9</v>
      </c>
      <c r="P205" s="256" t="s">
        <v>1011</v>
      </c>
      <c r="Q205" s="256">
        <v>4</v>
      </c>
      <c r="R205" s="256" t="s">
        <v>762</v>
      </c>
    </row>
    <row r="206" ht="16.5" customHeight="1" spans="10:18">
      <c r="N206" s="256">
        <v>60203</v>
      </c>
      <c r="O206" s="256">
        <v>9</v>
      </c>
      <c r="P206" s="256" t="s">
        <v>1011</v>
      </c>
      <c r="Q206" s="256">
        <v>5</v>
      </c>
      <c r="R206" s="256" t="s">
        <v>762</v>
      </c>
    </row>
    <row r="207" ht="16.5" customHeight="1" spans="10:18">
      <c r="N207" s="256">
        <v>60204</v>
      </c>
      <c r="O207" s="256">
        <v>9</v>
      </c>
      <c r="P207" s="256" t="s">
        <v>1011</v>
      </c>
      <c r="Q207" s="256">
        <v>6</v>
      </c>
      <c r="R207" s="256" t="s">
        <v>762</v>
      </c>
    </row>
    <row r="208" ht="16.5" customHeight="1" spans="10:18">
      <c r="N208" s="256">
        <v>60205</v>
      </c>
      <c r="O208" s="256">
        <v>9</v>
      </c>
      <c r="P208" s="256" t="s">
        <v>1011</v>
      </c>
      <c r="Q208" s="256">
        <v>1</v>
      </c>
      <c r="R208" s="256" t="s">
        <v>766</v>
      </c>
    </row>
    <row r="209" ht="16.5" customHeight="1" spans="14:18">
      <c r="N209" s="256">
        <v>60206</v>
      </c>
      <c r="O209" s="256">
        <v>9</v>
      </c>
      <c r="P209" s="256" t="s">
        <v>1011</v>
      </c>
      <c r="Q209" s="256">
        <v>2</v>
      </c>
      <c r="R209" s="256" t="s">
        <v>766</v>
      </c>
    </row>
    <row r="210" ht="16.5" customHeight="1" spans="14:18">
      <c r="N210" s="256">
        <v>60207</v>
      </c>
      <c r="O210" s="256">
        <v>9</v>
      </c>
      <c r="P210" s="256" t="s">
        <v>1011</v>
      </c>
      <c r="Q210" s="256">
        <v>3</v>
      </c>
      <c r="R210" s="256" t="s">
        <v>766</v>
      </c>
    </row>
    <row r="211" ht="16.5" customHeight="1" spans="14:18">
      <c r="N211" s="256">
        <v>60208</v>
      </c>
      <c r="O211" s="256">
        <v>9</v>
      </c>
      <c r="P211" s="256" t="s">
        <v>1011</v>
      </c>
      <c r="Q211" s="256">
        <v>4</v>
      </c>
      <c r="R211" s="256" t="s">
        <v>766</v>
      </c>
    </row>
    <row r="212" ht="16.5" customHeight="1" spans="14:18">
      <c r="N212" s="256">
        <v>60209</v>
      </c>
      <c r="O212" s="256">
        <v>9</v>
      </c>
      <c r="P212" s="256" t="s">
        <v>1011</v>
      </c>
      <c r="Q212" s="256">
        <v>5</v>
      </c>
      <c r="R212" s="256" t="s">
        <v>766</v>
      </c>
    </row>
    <row r="213" ht="16.5" customHeight="1" spans="14:18">
      <c r="N213" s="256">
        <v>60210</v>
      </c>
      <c r="O213" s="256">
        <v>9</v>
      </c>
      <c r="P213" s="256" t="s">
        <v>1011</v>
      </c>
      <c r="Q213" s="256">
        <v>6</v>
      </c>
      <c r="R213" s="256" t="s">
        <v>766</v>
      </c>
    </row>
    <row r="214" ht="16.5" customHeight="1" spans="14:18">
      <c r="N214" s="256">
        <v>60211</v>
      </c>
      <c r="O214" s="256">
        <v>9</v>
      </c>
      <c r="P214" s="256" t="s">
        <v>1011</v>
      </c>
      <c r="Q214" s="256">
        <v>1</v>
      </c>
      <c r="R214" s="256" t="s">
        <v>817</v>
      </c>
    </row>
    <row r="215" ht="16.5" customHeight="1" spans="14:18">
      <c r="N215" s="256">
        <v>60212</v>
      </c>
      <c r="O215" s="256">
        <v>9</v>
      </c>
      <c r="P215" s="256" t="s">
        <v>1011</v>
      </c>
      <c r="Q215" s="256">
        <v>2</v>
      </c>
      <c r="R215" s="256" t="s">
        <v>817</v>
      </c>
    </row>
    <row r="216" ht="16.5" customHeight="1" spans="14:18">
      <c r="N216" s="256">
        <v>60213</v>
      </c>
      <c r="O216" s="256">
        <v>9</v>
      </c>
      <c r="P216" s="256" t="s">
        <v>1011</v>
      </c>
      <c r="Q216" s="256">
        <v>3</v>
      </c>
      <c r="R216" s="256" t="s">
        <v>817</v>
      </c>
    </row>
    <row r="217" ht="16.5" customHeight="1" spans="14:18">
      <c r="N217" s="256">
        <v>60214</v>
      </c>
      <c r="O217" s="256">
        <v>9</v>
      </c>
      <c r="P217" s="256" t="s">
        <v>1011</v>
      </c>
      <c r="Q217" s="256">
        <v>4</v>
      </c>
      <c r="R217" s="256" t="s">
        <v>817</v>
      </c>
    </row>
    <row r="218" ht="16.5" customHeight="1" spans="14:18">
      <c r="N218" s="256">
        <v>60215</v>
      </c>
      <c r="O218" s="256">
        <v>9</v>
      </c>
      <c r="P218" s="256" t="s">
        <v>1011</v>
      </c>
      <c r="Q218" s="256">
        <v>5</v>
      </c>
      <c r="R218" s="256" t="s">
        <v>817</v>
      </c>
    </row>
    <row r="219" ht="16.5" customHeight="1" spans="14:18">
      <c r="N219" s="256">
        <v>60216</v>
      </c>
      <c r="O219" s="256">
        <v>9</v>
      </c>
      <c r="P219" s="256" t="s">
        <v>1011</v>
      </c>
      <c r="Q219" s="256">
        <v>6</v>
      </c>
      <c r="R219" s="256" t="s">
        <v>817</v>
      </c>
    </row>
    <row r="220" ht="16.5" customHeight="1" spans="14:18">
      <c r="N220" s="256">
        <v>60217</v>
      </c>
      <c r="O220" s="256">
        <v>10</v>
      </c>
      <c r="P220" s="256" t="s">
        <v>1012</v>
      </c>
      <c r="Q220" s="256">
        <v>1</v>
      </c>
      <c r="R220" s="256" t="s">
        <v>757</v>
      </c>
    </row>
    <row r="221" ht="16.5" customHeight="1" spans="14:18">
      <c r="N221" s="256">
        <v>60218</v>
      </c>
      <c r="O221" s="256">
        <v>10</v>
      </c>
      <c r="P221" s="256" t="s">
        <v>1012</v>
      </c>
      <c r="Q221" s="256">
        <v>2</v>
      </c>
      <c r="R221" s="256" t="s">
        <v>757</v>
      </c>
    </row>
    <row r="222" ht="16.5" customHeight="1" spans="14:18">
      <c r="N222" s="256">
        <v>60219</v>
      </c>
      <c r="O222" s="256">
        <v>10</v>
      </c>
      <c r="P222" s="256" t="s">
        <v>1012</v>
      </c>
      <c r="Q222" s="256">
        <v>3</v>
      </c>
      <c r="R222" s="256" t="s">
        <v>757</v>
      </c>
    </row>
    <row r="223" ht="16.5" customHeight="1" spans="14:18">
      <c r="N223" s="256">
        <v>60220</v>
      </c>
      <c r="O223" s="256">
        <v>10</v>
      </c>
      <c r="P223" s="256" t="s">
        <v>1012</v>
      </c>
      <c r="Q223" s="256">
        <v>4</v>
      </c>
      <c r="R223" s="256" t="s">
        <v>757</v>
      </c>
    </row>
    <row r="224" ht="16.5" customHeight="1" spans="14:18">
      <c r="N224" s="256">
        <v>60221</v>
      </c>
      <c r="O224" s="256">
        <v>10</v>
      </c>
      <c r="P224" s="256" t="s">
        <v>1012</v>
      </c>
      <c r="Q224" s="256">
        <v>5</v>
      </c>
      <c r="R224" s="256" t="s">
        <v>757</v>
      </c>
    </row>
    <row r="225" ht="16.5" customHeight="1" spans="14:18">
      <c r="N225" s="256">
        <v>60222</v>
      </c>
      <c r="O225" s="256">
        <v>10</v>
      </c>
      <c r="P225" s="256" t="s">
        <v>1012</v>
      </c>
      <c r="Q225" s="256">
        <v>6</v>
      </c>
      <c r="R225" s="256" t="s">
        <v>757</v>
      </c>
    </row>
    <row r="226" ht="16.5" customHeight="1" spans="14:18">
      <c r="N226" s="256">
        <v>60223</v>
      </c>
      <c r="O226" s="256">
        <v>10</v>
      </c>
      <c r="P226" s="256" t="s">
        <v>1012</v>
      </c>
      <c r="Q226" s="256">
        <v>1</v>
      </c>
      <c r="R226" s="256" t="s">
        <v>762</v>
      </c>
    </row>
    <row r="227" ht="16.5" customHeight="1" spans="14:18">
      <c r="N227" s="256">
        <v>60224</v>
      </c>
      <c r="O227" s="256">
        <v>10</v>
      </c>
      <c r="P227" s="256" t="s">
        <v>1012</v>
      </c>
      <c r="Q227" s="256">
        <v>2</v>
      </c>
      <c r="R227" s="256" t="s">
        <v>762</v>
      </c>
    </row>
    <row r="228" ht="16.5" customHeight="1" spans="14:18">
      <c r="N228" s="256">
        <v>60225</v>
      </c>
      <c r="O228" s="256">
        <v>10</v>
      </c>
      <c r="P228" s="256" t="s">
        <v>1012</v>
      </c>
      <c r="Q228" s="256">
        <v>3</v>
      </c>
      <c r="R228" s="256" t="s">
        <v>762</v>
      </c>
    </row>
    <row r="229" ht="16.5" customHeight="1" spans="14:18">
      <c r="N229" s="256">
        <v>60226</v>
      </c>
      <c r="O229" s="256">
        <v>10</v>
      </c>
      <c r="P229" s="256" t="s">
        <v>1012</v>
      </c>
      <c r="Q229" s="256">
        <v>4</v>
      </c>
      <c r="R229" s="256" t="s">
        <v>762</v>
      </c>
    </row>
    <row r="230" ht="16.5" customHeight="1" spans="14:18">
      <c r="N230" s="256">
        <v>60227</v>
      </c>
      <c r="O230" s="256">
        <v>10</v>
      </c>
      <c r="P230" s="256" t="s">
        <v>1012</v>
      </c>
      <c r="Q230" s="256">
        <v>5</v>
      </c>
      <c r="R230" s="256" t="s">
        <v>762</v>
      </c>
    </row>
    <row r="231" ht="16.5" customHeight="1" spans="14:18">
      <c r="N231" s="256">
        <v>60228</v>
      </c>
      <c r="O231" s="256">
        <v>10</v>
      </c>
      <c r="P231" s="256" t="s">
        <v>1012</v>
      </c>
      <c r="Q231" s="256">
        <v>6</v>
      </c>
      <c r="R231" s="256" t="s">
        <v>762</v>
      </c>
    </row>
    <row r="232" ht="16.5" customHeight="1" spans="14:18">
      <c r="N232" s="256">
        <v>60229</v>
      </c>
      <c r="O232" s="256">
        <v>10</v>
      </c>
      <c r="P232" s="256" t="s">
        <v>1012</v>
      </c>
      <c r="Q232" s="256">
        <v>1</v>
      </c>
      <c r="R232" s="256" t="s">
        <v>766</v>
      </c>
    </row>
    <row r="233" ht="16.5" customHeight="1" spans="14:18">
      <c r="N233" s="256">
        <v>60230</v>
      </c>
      <c r="O233" s="256">
        <v>10</v>
      </c>
      <c r="P233" s="256" t="s">
        <v>1012</v>
      </c>
      <c r="Q233" s="256">
        <v>2</v>
      </c>
      <c r="R233" s="256" t="s">
        <v>766</v>
      </c>
    </row>
    <row r="234" ht="16.5" customHeight="1" spans="14:18">
      <c r="N234" s="256">
        <v>60231</v>
      </c>
      <c r="O234" s="256">
        <v>10</v>
      </c>
      <c r="P234" s="256" t="s">
        <v>1012</v>
      </c>
      <c r="Q234" s="256">
        <v>3</v>
      </c>
      <c r="R234" s="256" t="s">
        <v>766</v>
      </c>
    </row>
    <row r="235" ht="16.5" customHeight="1" spans="14:18">
      <c r="N235" s="256">
        <v>60232</v>
      </c>
      <c r="O235" s="256">
        <v>10</v>
      </c>
      <c r="P235" s="256" t="s">
        <v>1012</v>
      </c>
      <c r="Q235" s="256">
        <v>4</v>
      </c>
      <c r="R235" s="256" t="s">
        <v>766</v>
      </c>
    </row>
    <row r="236" ht="16.5" customHeight="1" spans="14:18">
      <c r="N236" s="256">
        <v>60233</v>
      </c>
      <c r="O236" s="256">
        <v>10</v>
      </c>
      <c r="P236" s="256" t="s">
        <v>1012</v>
      </c>
      <c r="Q236" s="256">
        <v>5</v>
      </c>
      <c r="R236" s="256" t="s">
        <v>766</v>
      </c>
    </row>
    <row r="237" ht="16.5" customHeight="1" spans="14:18">
      <c r="N237" s="256">
        <v>60234</v>
      </c>
      <c r="O237" s="256">
        <v>10</v>
      </c>
      <c r="P237" s="256" t="s">
        <v>1012</v>
      </c>
      <c r="Q237" s="256">
        <v>6</v>
      </c>
      <c r="R237" s="256" t="s">
        <v>766</v>
      </c>
    </row>
    <row r="238" ht="16.5" customHeight="1" spans="14:18">
      <c r="N238" s="256">
        <v>60235</v>
      </c>
      <c r="O238" s="256">
        <v>10</v>
      </c>
      <c r="P238" s="256" t="s">
        <v>1012</v>
      </c>
      <c r="Q238" s="256">
        <v>1</v>
      </c>
      <c r="R238" s="256" t="s">
        <v>817</v>
      </c>
    </row>
    <row r="239" ht="16.5" customHeight="1" spans="14:18">
      <c r="N239" s="256">
        <v>60236</v>
      </c>
      <c r="O239" s="256">
        <v>10</v>
      </c>
      <c r="P239" s="256" t="s">
        <v>1012</v>
      </c>
      <c r="Q239" s="256">
        <v>2</v>
      </c>
      <c r="R239" s="256" t="s">
        <v>817</v>
      </c>
    </row>
    <row r="240" ht="16.5" customHeight="1" spans="14:18">
      <c r="N240" s="256">
        <v>60237</v>
      </c>
      <c r="O240" s="256">
        <v>10</v>
      </c>
      <c r="P240" s="256" t="s">
        <v>1012</v>
      </c>
      <c r="Q240" s="256">
        <v>3</v>
      </c>
      <c r="R240" s="256" t="s">
        <v>817</v>
      </c>
    </row>
    <row r="241" ht="16.5" customHeight="1" spans="14:18">
      <c r="N241" s="256">
        <v>60238</v>
      </c>
      <c r="O241" s="256">
        <v>10</v>
      </c>
      <c r="P241" s="256" t="s">
        <v>1012</v>
      </c>
      <c r="Q241" s="256">
        <v>4</v>
      </c>
      <c r="R241" s="256" t="s">
        <v>817</v>
      </c>
    </row>
    <row r="242" ht="16.5" customHeight="1" spans="14:18">
      <c r="N242" s="256">
        <v>60239</v>
      </c>
      <c r="O242" s="256">
        <v>10</v>
      </c>
      <c r="P242" s="256" t="s">
        <v>1012</v>
      </c>
      <c r="Q242" s="256">
        <v>5</v>
      </c>
      <c r="R242" s="256" t="s">
        <v>817</v>
      </c>
    </row>
    <row r="243" ht="16.5" customHeight="1" spans="14:18">
      <c r="N243" s="256">
        <v>60240</v>
      </c>
      <c r="O243" s="256">
        <v>10</v>
      </c>
      <c r="P243" s="256" t="s">
        <v>1012</v>
      </c>
      <c r="Q243" s="256">
        <v>6</v>
      </c>
      <c r="R243" s="256" t="s">
        <v>817</v>
      </c>
    </row>
    <row r="244" ht="16.5" customHeight="1" spans="14:18">
      <c r="N244" s="256">
        <v>60241</v>
      </c>
      <c r="O244" s="256">
        <v>11</v>
      </c>
      <c r="P244" s="256" t="s">
        <v>1013</v>
      </c>
      <c r="Q244" s="256">
        <v>1</v>
      </c>
      <c r="R244" s="256" t="s">
        <v>757</v>
      </c>
    </row>
    <row r="245" ht="16.5" customHeight="1" spans="14:18">
      <c r="N245" s="256">
        <v>60242</v>
      </c>
      <c r="O245" s="256">
        <v>11</v>
      </c>
      <c r="P245" s="256" t="s">
        <v>1013</v>
      </c>
      <c r="Q245" s="256">
        <v>2</v>
      </c>
      <c r="R245" s="256" t="s">
        <v>757</v>
      </c>
    </row>
    <row r="246" ht="16.5" customHeight="1" spans="14:18">
      <c r="N246" s="256">
        <v>60243</v>
      </c>
      <c r="O246" s="256">
        <v>11</v>
      </c>
      <c r="P246" s="256" t="s">
        <v>1013</v>
      </c>
      <c r="Q246" s="256">
        <v>3</v>
      </c>
      <c r="R246" s="256" t="s">
        <v>757</v>
      </c>
    </row>
    <row r="247" ht="16.5" customHeight="1" spans="14:18">
      <c r="N247" s="256">
        <v>60244</v>
      </c>
      <c r="O247" s="256">
        <v>11</v>
      </c>
      <c r="P247" s="256" t="s">
        <v>1013</v>
      </c>
      <c r="Q247" s="256">
        <v>4</v>
      </c>
      <c r="R247" s="256" t="s">
        <v>757</v>
      </c>
    </row>
    <row r="248" ht="16.5" customHeight="1" spans="14:18">
      <c r="N248" s="256">
        <v>60245</v>
      </c>
      <c r="O248" s="256">
        <v>11</v>
      </c>
      <c r="P248" s="256" t="s">
        <v>1013</v>
      </c>
      <c r="Q248" s="256">
        <v>5</v>
      </c>
      <c r="R248" s="256" t="s">
        <v>757</v>
      </c>
    </row>
    <row r="249" ht="16.5" customHeight="1" spans="14:18">
      <c r="N249" s="256">
        <v>60246</v>
      </c>
      <c r="O249" s="256">
        <v>11</v>
      </c>
      <c r="P249" s="256" t="s">
        <v>1013</v>
      </c>
      <c r="Q249" s="256">
        <v>6</v>
      </c>
      <c r="R249" s="256" t="s">
        <v>757</v>
      </c>
    </row>
    <row r="250" ht="16.5" customHeight="1" spans="14:18">
      <c r="N250" s="256">
        <v>60247</v>
      </c>
      <c r="O250" s="256">
        <v>11</v>
      </c>
      <c r="P250" s="256" t="s">
        <v>1013</v>
      </c>
      <c r="Q250" s="256">
        <v>1</v>
      </c>
      <c r="R250" s="256" t="s">
        <v>762</v>
      </c>
    </row>
    <row r="251" ht="16.5" customHeight="1" spans="14:18">
      <c r="N251" s="256">
        <v>60248</v>
      </c>
      <c r="O251" s="256">
        <v>11</v>
      </c>
      <c r="P251" s="256" t="s">
        <v>1013</v>
      </c>
      <c r="Q251" s="256">
        <v>2</v>
      </c>
      <c r="R251" s="256" t="s">
        <v>762</v>
      </c>
    </row>
    <row r="252" ht="16.5" customHeight="1" spans="14:18">
      <c r="N252" s="256">
        <v>60249</v>
      </c>
      <c r="O252" s="256">
        <v>11</v>
      </c>
      <c r="P252" s="256" t="s">
        <v>1013</v>
      </c>
      <c r="Q252" s="256">
        <v>3</v>
      </c>
      <c r="R252" s="256" t="s">
        <v>762</v>
      </c>
    </row>
    <row r="253" ht="16.5" customHeight="1" spans="14:18">
      <c r="N253" s="256">
        <v>60250</v>
      </c>
      <c r="O253" s="256">
        <v>11</v>
      </c>
      <c r="P253" s="256" t="s">
        <v>1013</v>
      </c>
      <c r="Q253" s="256">
        <v>4</v>
      </c>
      <c r="R253" s="256" t="s">
        <v>762</v>
      </c>
    </row>
    <row r="254" ht="16.5" customHeight="1" spans="14:18">
      <c r="N254" s="256">
        <v>60251</v>
      </c>
      <c r="O254" s="256">
        <v>11</v>
      </c>
      <c r="P254" s="256" t="s">
        <v>1013</v>
      </c>
      <c r="Q254" s="256">
        <v>5</v>
      </c>
      <c r="R254" s="256" t="s">
        <v>762</v>
      </c>
    </row>
    <row r="255" ht="16.5" customHeight="1" spans="14:18">
      <c r="N255" s="256">
        <v>60252</v>
      </c>
      <c r="O255" s="256">
        <v>11</v>
      </c>
      <c r="P255" s="256" t="s">
        <v>1013</v>
      </c>
      <c r="Q255" s="256">
        <v>6</v>
      </c>
      <c r="R255" s="256" t="s">
        <v>762</v>
      </c>
    </row>
    <row r="256" ht="16.5" customHeight="1" spans="14:18">
      <c r="N256" s="256">
        <v>60253</v>
      </c>
      <c r="O256" s="256">
        <v>11</v>
      </c>
      <c r="P256" s="256" t="s">
        <v>1013</v>
      </c>
      <c r="Q256" s="256">
        <v>1</v>
      </c>
      <c r="R256" s="256" t="s">
        <v>766</v>
      </c>
    </row>
    <row r="257" ht="16.5" customHeight="1" spans="14:18">
      <c r="N257" s="256">
        <v>60254</v>
      </c>
      <c r="O257" s="256">
        <v>11</v>
      </c>
      <c r="P257" s="256" t="s">
        <v>1013</v>
      </c>
      <c r="Q257" s="256">
        <v>2</v>
      </c>
      <c r="R257" s="256" t="s">
        <v>766</v>
      </c>
    </row>
    <row r="258" ht="16.5" customHeight="1" spans="14:18">
      <c r="N258" s="256">
        <v>60255</v>
      </c>
      <c r="O258" s="256">
        <v>11</v>
      </c>
      <c r="P258" s="256" t="s">
        <v>1013</v>
      </c>
      <c r="Q258" s="256">
        <v>3</v>
      </c>
      <c r="R258" s="256" t="s">
        <v>766</v>
      </c>
    </row>
    <row r="259" ht="16.5" customHeight="1" spans="14:18">
      <c r="N259" s="256">
        <v>60256</v>
      </c>
      <c r="O259" s="256">
        <v>11</v>
      </c>
      <c r="P259" s="256" t="s">
        <v>1013</v>
      </c>
      <c r="Q259" s="256">
        <v>4</v>
      </c>
      <c r="R259" s="256" t="s">
        <v>766</v>
      </c>
    </row>
    <row r="260" ht="16.5" customHeight="1" spans="14:18">
      <c r="N260" s="256">
        <v>60257</v>
      </c>
      <c r="O260" s="256">
        <v>11</v>
      </c>
      <c r="P260" s="256" t="s">
        <v>1013</v>
      </c>
      <c r="Q260" s="256">
        <v>5</v>
      </c>
      <c r="R260" s="256" t="s">
        <v>766</v>
      </c>
    </row>
    <row r="261" ht="16.5" customHeight="1" spans="14:18">
      <c r="N261" s="256">
        <v>60258</v>
      </c>
      <c r="O261" s="256">
        <v>11</v>
      </c>
      <c r="P261" s="256" t="s">
        <v>1013</v>
      </c>
      <c r="Q261" s="256">
        <v>6</v>
      </c>
      <c r="R261" s="256" t="s">
        <v>766</v>
      </c>
    </row>
    <row r="262" ht="16.5" customHeight="1" spans="14:18">
      <c r="N262" s="256">
        <v>60259</v>
      </c>
      <c r="O262" s="256">
        <v>11</v>
      </c>
      <c r="P262" s="256" t="s">
        <v>1013</v>
      </c>
      <c r="Q262" s="256">
        <v>1</v>
      </c>
      <c r="R262" s="256" t="s">
        <v>817</v>
      </c>
    </row>
    <row r="263" ht="16.5" customHeight="1" spans="14:18">
      <c r="N263" s="256">
        <v>60260</v>
      </c>
      <c r="O263" s="256">
        <v>11</v>
      </c>
      <c r="P263" s="256" t="s">
        <v>1013</v>
      </c>
      <c r="Q263" s="256">
        <v>2</v>
      </c>
      <c r="R263" s="256" t="s">
        <v>817</v>
      </c>
    </row>
    <row r="264" ht="16.5" customHeight="1" spans="14:18">
      <c r="N264" s="256">
        <v>60261</v>
      </c>
      <c r="O264" s="256">
        <v>11</v>
      </c>
      <c r="P264" s="256" t="s">
        <v>1013</v>
      </c>
      <c r="Q264" s="256">
        <v>3</v>
      </c>
      <c r="R264" s="256" t="s">
        <v>817</v>
      </c>
    </row>
    <row r="265" ht="16.5" customHeight="1" spans="14:18">
      <c r="N265" s="256">
        <v>60262</v>
      </c>
      <c r="O265" s="256">
        <v>11</v>
      </c>
      <c r="P265" s="256" t="s">
        <v>1013</v>
      </c>
      <c r="Q265" s="256">
        <v>4</v>
      </c>
      <c r="R265" s="256" t="s">
        <v>817</v>
      </c>
    </row>
    <row r="266" ht="16.5" customHeight="1" spans="14:18">
      <c r="N266" s="256">
        <v>60263</v>
      </c>
      <c r="O266" s="256">
        <v>11</v>
      </c>
      <c r="P266" s="256" t="s">
        <v>1013</v>
      </c>
      <c r="Q266" s="256">
        <v>5</v>
      </c>
      <c r="R266" s="256" t="s">
        <v>817</v>
      </c>
    </row>
    <row r="267" ht="16.5" customHeight="1" spans="14:18">
      <c r="N267" s="256">
        <v>60264</v>
      </c>
      <c r="O267" s="256">
        <v>11</v>
      </c>
      <c r="P267" s="256" t="s">
        <v>1013</v>
      </c>
      <c r="Q267" s="256">
        <v>6</v>
      </c>
      <c r="R267" s="256" t="s">
        <v>817</v>
      </c>
    </row>
    <row r="268" ht="16.5" customHeight="1" spans="14:18">
      <c r="N268" s="256">
        <v>60265</v>
      </c>
      <c r="O268" s="256">
        <v>12</v>
      </c>
      <c r="P268" s="256" t="s">
        <v>1014</v>
      </c>
      <c r="Q268" s="256">
        <v>1</v>
      </c>
      <c r="R268" s="256" t="s">
        <v>757</v>
      </c>
    </row>
    <row r="269" ht="16.5" customHeight="1" spans="14:18">
      <c r="N269" s="256">
        <v>60266</v>
      </c>
      <c r="O269" s="256">
        <v>12</v>
      </c>
      <c r="P269" s="256" t="s">
        <v>1014</v>
      </c>
      <c r="Q269" s="256">
        <v>2</v>
      </c>
      <c r="R269" s="256" t="s">
        <v>757</v>
      </c>
    </row>
    <row r="270" ht="16.5" customHeight="1" spans="14:18">
      <c r="N270" s="256">
        <v>60267</v>
      </c>
      <c r="O270" s="256">
        <v>12</v>
      </c>
      <c r="P270" s="256" t="s">
        <v>1014</v>
      </c>
      <c r="Q270" s="256">
        <v>3</v>
      </c>
      <c r="R270" s="256" t="s">
        <v>757</v>
      </c>
    </row>
    <row r="271" ht="16.5" customHeight="1" spans="14:18">
      <c r="N271" s="256">
        <v>60268</v>
      </c>
      <c r="O271" s="256">
        <v>12</v>
      </c>
      <c r="P271" s="256" t="s">
        <v>1014</v>
      </c>
      <c r="Q271" s="256">
        <v>4</v>
      </c>
      <c r="R271" s="256" t="s">
        <v>757</v>
      </c>
    </row>
    <row r="272" ht="16.5" customHeight="1" spans="14:18">
      <c r="N272" s="256">
        <v>60269</v>
      </c>
      <c r="O272" s="256">
        <v>12</v>
      </c>
      <c r="P272" s="256" t="s">
        <v>1014</v>
      </c>
      <c r="Q272" s="256">
        <v>5</v>
      </c>
      <c r="R272" s="256" t="s">
        <v>757</v>
      </c>
    </row>
    <row r="273" ht="16.5" customHeight="1" spans="14:18">
      <c r="N273" s="256">
        <v>60270</v>
      </c>
      <c r="O273" s="256">
        <v>12</v>
      </c>
      <c r="P273" s="256" t="s">
        <v>1014</v>
      </c>
      <c r="Q273" s="256">
        <v>6</v>
      </c>
      <c r="R273" s="256" t="s">
        <v>757</v>
      </c>
    </row>
    <row r="274" ht="16.5" customHeight="1" spans="14:18">
      <c r="N274" s="256">
        <v>60271</v>
      </c>
      <c r="O274" s="256">
        <v>12</v>
      </c>
      <c r="P274" s="256" t="s">
        <v>1014</v>
      </c>
      <c r="Q274" s="256">
        <v>1</v>
      </c>
      <c r="R274" s="256" t="s">
        <v>762</v>
      </c>
    </row>
    <row r="275" ht="16.5" customHeight="1" spans="14:18">
      <c r="N275" s="256">
        <v>60272</v>
      </c>
      <c r="O275" s="256">
        <v>12</v>
      </c>
      <c r="P275" s="256" t="s">
        <v>1014</v>
      </c>
      <c r="Q275" s="256">
        <v>2</v>
      </c>
      <c r="R275" s="256" t="s">
        <v>762</v>
      </c>
    </row>
    <row r="276" ht="16.5" customHeight="1" spans="14:18">
      <c r="N276" s="256">
        <v>60273</v>
      </c>
      <c r="O276" s="256">
        <v>12</v>
      </c>
      <c r="P276" s="256" t="s">
        <v>1014</v>
      </c>
      <c r="Q276" s="256">
        <v>3</v>
      </c>
      <c r="R276" s="256" t="s">
        <v>762</v>
      </c>
    </row>
    <row r="277" ht="16.5" customHeight="1" spans="14:18">
      <c r="N277" s="256">
        <v>60274</v>
      </c>
      <c r="O277" s="256">
        <v>12</v>
      </c>
      <c r="P277" s="256" t="s">
        <v>1014</v>
      </c>
      <c r="Q277" s="256">
        <v>4</v>
      </c>
      <c r="R277" s="256" t="s">
        <v>762</v>
      </c>
    </row>
    <row r="278" ht="16.5" customHeight="1" spans="14:18">
      <c r="N278" s="256">
        <v>60275</v>
      </c>
      <c r="O278" s="256">
        <v>12</v>
      </c>
      <c r="P278" s="256" t="s">
        <v>1014</v>
      </c>
      <c r="Q278" s="256">
        <v>5</v>
      </c>
      <c r="R278" s="256" t="s">
        <v>762</v>
      </c>
    </row>
    <row r="279" ht="16.5" customHeight="1" spans="14:18">
      <c r="N279" s="256">
        <v>60276</v>
      </c>
      <c r="O279" s="256">
        <v>12</v>
      </c>
      <c r="P279" s="256" t="s">
        <v>1014</v>
      </c>
      <c r="Q279" s="256">
        <v>6</v>
      </c>
      <c r="R279" s="256" t="s">
        <v>762</v>
      </c>
    </row>
    <row r="280" ht="16.5" customHeight="1" spans="14:18">
      <c r="N280" s="256">
        <v>60277</v>
      </c>
      <c r="O280" s="256">
        <v>12</v>
      </c>
      <c r="P280" s="256" t="s">
        <v>1014</v>
      </c>
      <c r="Q280" s="256">
        <v>1</v>
      </c>
      <c r="R280" s="256" t="s">
        <v>766</v>
      </c>
    </row>
    <row r="281" ht="16.5" customHeight="1" spans="14:18">
      <c r="N281" s="256">
        <v>60278</v>
      </c>
      <c r="O281" s="256">
        <v>12</v>
      </c>
      <c r="P281" s="256" t="s">
        <v>1014</v>
      </c>
      <c r="Q281" s="256">
        <v>2</v>
      </c>
      <c r="R281" s="256" t="s">
        <v>766</v>
      </c>
    </row>
    <row r="282" ht="16.5" customHeight="1" spans="14:18">
      <c r="N282" s="256">
        <v>60279</v>
      </c>
      <c r="O282" s="256">
        <v>12</v>
      </c>
      <c r="P282" s="256" t="s">
        <v>1014</v>
      </c>
      <c r="Q282" s="256">
        <v>3</v>
      </c>
      <c r="R282" s="256" t="s">
        <v>766</v>
      </c>
    </row>
    <row r="283" ht="16.5" customHeight="1" spans="14:18">
      <c r="N283" s="256">
        <v>60280</v>
      </c>
      <c r="O283" s="256">
        <v>12</v>
      </c>
      <c r="P283" s="256" t="s">
        <v>1014</v>
      </c>
      <c r="Q283" s="256">
        <v>4</v>
      </c>
      <c r="R283" s="256" t="s">
        <v>766</v>
      </c>
    </row>
    <row r="284" ht="16.5" customHeight="1" spans="14:18">
      <c r="N284" s="256">
        <v>60281</v>
      </c>
      <c r="O284" s="256">
        <v>12</v>
      </c>
      <c r="P284" s="256" t="s">
        <v>1014</v>
      </c>
      <c r="Q284" s="256">
        <v>5</v>
      </c>
      <c r="R284" s="256" t="s">
        <v>766</v>
      </c>
    </row>
    <row r="285" ht="16.5" customHeight="1" spans="14:18">
      <c r="N285" s="256">
        <v>60282</v>
      </c>
      <c r="O285" s="256">
        <v>12</v>
      </c>
      <c r="P285" s="256" t="s">
        <v>1014</v>
      </c>
      <c r="Q285" s="256">
        <v>6</v>
      </c>
      <c r="R285" s="256" t="s">
        <v>766</v>
      </c>
    </row>
    <row r="286" ht="16.5" customHeight="1" spans="14:18">
      <c r="N286" s="256">
        <v>60283</v>
      </c>
      <c r="O286" s="256">
        <v>12</v>
      </c>
      <c r="P286" s="256" t="s">
        <v>1014</v>
      </c>
      <c r="Q286" s="256">
        <v>1</v>
      </c>
      <c r="R286" s="256" t="s">
        <v>817</v>
      </c>
    </row>
    <row r="287" ht="16.5" customHeight="1" spans="14:18">
      <c r="N287" s="256">
        <v>60284</v>
      </c>
      <c r="O287" s="256">
        <v>12</v>
      </c>
      <c r="P287" s="256" t="s">
        <v>1014</v>
      </c>
      <c r="Q287" s="256">
        <v>2</v>
      </c>
      <c r="R287" s="256" t="s">
        <v>817</v>
      </c>
    </row>
    <row r="288" ht="16.5" customHeight="1" spans="14:18">
      <c r="N288" s="256">
        <v>60285</v>
      </c>
      <c r="O288" s="256">
        <v>12</v>
      </c>
      <c r="P288" s="256" t="s">
        <v>1014</v>
      </c>
      <c r="Q288" s="256">
        <v>3</v>
      </c>
      <c r="R288" s="256" t="s">
        <v>817</v>
      </c>
    </row>
    <row r="289" ht="16.5" customHeight="1" spans="14:18">
      <c r="N289" s="256">
        <v>60286</v>
      </c>
      <c r="O289" s="256">
        <v>12</v>
      </c>
      <c r="P289" s="256" t="s">
        <v>1014</v>
      </c>
      <c r="Q289" s="256">
        <v>4</v>
      </c>
      <c r="R289" s="256" t="s">
        <v>817</v>
      </c>
    </row>
    <row r="290" ht="16.5" customHeight="1" spans="14:18">
      <c r="N290" s="256">
        <v>60287</v>
      </c>
      <c r="O290" s="256">
        <v>12</v>
      </c>
      <c r="P290" s="256" t="s">
        <v>1014</v>
      </c>
      <c r="Q290" s="256">
        <v>5</v>
      </c>
      <c r="R290" s="256" t="s">
        <v>817</v>
      </c>
    </row>
    <row r="291" ht="16.5" customHeight="1" spans="14:18">
      <c r="N291" s="256">
        <v>60288</v>
      </c>
      <c r="O291" s="256">
        <v>12</v>
      </c>
      <c r="P291" s="256" t="s">
        <v>1014</v>
      </c>
      <c r="Q291" s="256">
        <v>6</v>
      </c>
      <c r="R291" s="256" t="s">
        <v>817</v>
      </c>
    </row>
    <row r="292" ht="16.5" customHeight="1" spans="14:18">
      <c r="N292" s="256">
        <v>60289</v>
      </c>
      <c r="O292" s="256">
        <v>13</v>
      </c>
      <c r="P292" s="256" t="s">
        <v>1015</v>
      </c>
      <c r="Q292" s="256">
        <v>1</v>
      </c>
      <c r="R292" s="256" t="s">
        <v>757</v>
      </c>
    </row>
    <row r="293" ht="16.5" customHeight="1" spans="14:18">
      <c r="N293" s="256">
        <v>60290</v>
      </c>
      <c r="O293" s="256">
        <v>13</v>
      </c>
      <c r="P293" s="256" t="s">
        <v>1015</v>
      </c>
      <c r="Q293" s="256">
        <v>2</v>
      </c>
      <c r="R293" s="256" t="s">
        <v>757</v>
      </c>
    </row>
    <row r="294" ht="16.5" customHeight="1" spans="14:18">
      <c r="N294" s="256">
        <v>60291</v>
      </c>
      <c r="O294" s="256">
        <v>13</v>
      </c>
      <c r="P294" s="256" t="s">
        <v>1015</v>
      </c>
      <c r="Q294" s="256">
        <v>3</v>
      </c>
      <c r="R294" s="256" t="s">
        <v>757</v>
      </c>
    </row>
    <row r="295" ht="16.5" customHeight="1" spans="14:18">
      <c r="N295" s="256">
        <v>60292</v>
      </c>
      <c r="O295" s="256">
        <v>13</v>
      </c>
      <c r="P295" s="256" t="s">
        <v>1015</v>
      </c>
      <c r="Q295" s="256">
        <v>4</v>
      </c>
      <c r="R295" s="256" t="s">
        <v>757</v>
      </c>
    </row>
    <row r="296" ht="16.5" customHeight="1" spans="14:18">
      <c r="N296" s="256">
        <v>60293</v>
      </c>
      <c r="O296" s="256">
        <v>13</v>
      </c>
      <c r="P296" s="256" t="s">
        <v>1015</v>
      </c>
      <c r="Q296" s="256">
        <v>5</v>
      </c>
      <c r="R296" s="256" t="s">
        <v>757</v>
      </c>
    </row>
    <row r="297" ht="16.5" customHeight="1" spans="14:18">
      <c r="N297" s="256">
        <v>60294</v>
      </c>
      <c r="O297" s="256">
        <v>13</v>
      </c>
      <c r="P297" s="256" t="s">
        <v>1015</v>
      </c>
      <c r="Q297" s="256">
        <v>6</v>
      </c>
      <c r="R297" s="256" t="s">
        <v>757</v>
      </c>
    </row>
    <row r="298" ht="16.5" customHeight="1" spans="14:18">
      <c r="N298" s="256">
        <v>60295</v>
      </c>
      <c r="O298" s="256">
        <v>13</v>
      </c>
      <c r="P298" s="256" t="s">
        <v>1015</v>
      </c>
      <c r="Q298" s="256">
        <v>1</v>
      </c>
      <c r="R298" s="256" t="s">
        <v>762</v>
      </c>
    </row>
    <row r="299" ht="16.5" customHeight="1" spans="14:18">
      <c r="N299" s="256">
        <v>60296</v>
      </c>
      <c r="O299" s="256">
        <v>13</v>
      </c>
      <c r="P299" s="256" t="s">
        <v>1015</v>
      </c>
      <c r="Q299" s="256">
        <v>2</v>
      </c>
      <c r="R299" s="256" t="s">
        <v>762</v>
      </c>
    </row>
    <row r="300" ht="16.5" customHeight="1" spans="14:18">
      <c r="N300" s="256">
        <v>60297</v>
      </c>
      <c r="O300" s="256">
        <v>13</v>
      </c>
      <c r="P300" s="256" t="s">
        <v>1015</v>
      </c>
      <c r="Q300" s="256">
        <v>3</v>
      </c>
      <c r="R300" s="256" t="s">
        <v>762</v>
      </c>
    </row>
    <row r="301" ht="16.5" customHeight="1" spans="14:18">
      <c r="N301" s="256">
        <v>60298</v>
      </c>
      <c r="O301" s="256">
        <v>13</v>
      </c>
      <c r="P301" s="256" t="s">
        <v>1015</v>
      </c>
      <c r="Q301" s="256">
        <v>4</v>
      </c>
      <c r="R301" s="256" t="s">
        <v>762</v>
      </c>
    </row>
    <row r="302" ht="16.5" customHeight="1" spans="14:18">
      <c r="N302" s="256">
        <v>60299</v>
      </c>
      <c r="O302" s="256">
        <v>13</v>
      </c>
      <c r="P302" s="256" t="s">
        <v>1015</v>
      </c>
      <c r="Q302" s="256">
        <v>5</v>
      </c>
      <c r="R302" s="256" t="s">
        <v>762</v>
      </c>
    </row>
    <row r="303" ht="16.5" customHeight="1" spans="14:18">
      <c r="N303" s="256">
        <v>60300</v>
      </c>
      <c r="O303" s="256">
        <v>13</v>
      </c>
      <c r="P303" s="256" t="s">
        <v>1015</v>
      </c>
      <c r="Q303" s="256">
        <v>6</v>
      </c>
      <c r="R303" s="256" t="s">
        <v>762</v>
      </c>
    </row>
    <row r="304" ht="16.5" customHeight="1" spans="14:18">
      <c r="N304" s="256">
        <v>60301</v>
      </c>
      <c r="O304" s="256">
        <v>13</v>
      </c>
      <c r="P304" s="256" t="s">
        <v>1015</v>
      </c>
      <c r="Q304" s="256">
        <v>1</v>
      </c>
      <c r="R304" s="256" t="s">
        <v>766</v>
      </c>
    </row>
    <row r="305" ht="16.5" customHeight="1" spans="14:18">
      <c r="N305" s="256">
        <v>60302</v>
      </c>
      <c r="O305" s="256">
        <v>13</v>
      </c>
      <c r="P305" s="256" t="s">
        <v>1015</v>
      </c>
      <c r="Q305" s="256">
        <v>2</v>
      </c>
      <c r="R305" s="256" t="s">
        <v>766</v>
      </c>
    </row>
    <row r="306" ht="16.5" customHeight="1" spans="14:18">
      <c r="N306" s="256">
        <v>60303</v>
      </c>
      <c r="O306" s="256">
        <v>13</v>
      </c>
      <c r="P306" s="256" t="s">
        <v>1015</v>
      </c>
      <c r="Q306" s="256">
        <v>3</v>
      </c>
      <c r="R306" s="256" t="s">
        <v>766</v>
      </c>
    </row>
    <row r="307" ht="16.5" customHeight="1" spans="14:18">
      <c r="N307" s="256">
        <v>60304</v>
      </c>
      <c r="O307" s="256">
        <v>13</v>
      </c>
      <c r="P307" s="256" t="s">
        <v>1015</v>
      </c>
      <c r="Q307" s="256">
        <v>4</v>
      </c>
      <c r="R307" s="256" t="s">
        <v>766</v>
      </c>
    </row>
    <row r="308" ht="16.5" customHeight="1" spans="14:18">
      <c r="N308" s="256">
        <v>60305</v>
      </c>
      <c r="O308" s="256">
        <v>13</v>
      </c>
      <c r="P308" s="256" t="s">
        <v>1015</v>
      </c>
      <c r="Q308" s="256">
        <v>5</v>
      </c>
      <c r="R308" s="256" t="s">
        <v>766</v>
      </c>
    </row>
    <row r="309" ht="16.5" customHeight="1" spans="14:18">
      <c r="N309" s="256">
        <v>60306</v>
      </c>
      <c r="O309" s="256">
        <v>13</v>
      </c>
      <c r="P309" s="256" t="s">
        <v>1015</v>
      </c>
      <c r="Q309" s="256">
        <v>6</v>
      </c>
      <c r="R309" s="256" t="s">
        <v>766</v>
      </c>
    </row>
    <row r="310" ht="16.5" customHeight="1" spans="14:18">
      <c r="N310" s="256">
        <v>60307</v>
      </c>
      <c r="O310" s="256">
        <v>13</v>
      </c>
      <c r="P310" s="256" t="s">
        <v>1015</v>
      </c>
      <c r="Q310" s="256">
        <v>1</v>
      </c>
      <c r="R310" s="256" t="s">
        <v>817</v>
      </c>
    </row>
    <row r="311" ht="16.5" customHeight="1" spans="14:18">
      <c r="N311" s="256">
        <v>60308</v>
      </c>
      <c r="O311" s="256">
        <v>13</v>
      </c>
      <c r="P311" s="256" t="s">
        <v>1015</v>
      </c>
      <c r="Q311" s="256">
        <v>2</v>
      </c>
      <c r="R311" s="256" t="s">
        <v>817</v>
      </c>
    </row>
    <row r="312" ht="16.5" customHeight="1" spans="14:18">
      <c r="N312" s="256">
        <v>60309</v>
      </c>
      <c r="O312" s="256">
        <v>13</v>
      </c>
      <c r="P312" s="256" t="s">
        <v>1015</v>
      </c>
      <c r="Q312" s="256">
        <v>3</v>
      </c>
      <c r="R312" s="256" t="s">
        <v>817</v>
      </c>
    </row>
    <row r="313" ht="16.5" customHeight="1" spans="14:18">
      <c r="N313" s="256">
        <v>60310</v>
      </c>
      <c r="O313" s="256">
        <v>13</v>
      </c>
      <c r="P313" s="256" t="s">
        <v>1015</v>
      </c>
      <c r="Q313" s="256">
        <v>4</v>
      </c>
      <c r="R313" s="256" t="s">
        <v>817</v>
      </c>
    </row>
    <row r="314" ht="16.5" customHeight="1" spans="14:18">
      <c r="N314" s="256">
        <v>60311</v>
      </c>
      <c r="O314" s="256">
        <v>13</v>
      </c>
      <c r="P314" s="256" t="s">
        <v>1015</v>
      </c>
      <c r="Q314" s="256">
        <v>5</v>
      </c>
      <c r="R314" s="256" t="s">
        <v>817</v>
      </c>
    </row>
    <row r="315" ht="16.5" customHeight="1" spans="14:18">
      <c r="N315" s="256">
        <v>60312</v>
      </c>
      <c r="O315" s="256">
        <v>13</v>
      </c>
      <c r="P315" s="256" t="s">
        <v>1015</v>
      </c>
      <c r="Q315" s="256">
        <v>6</v>
      </c>
      <c r="R315" s="256" t="s">
        <v>817</v>
      </c>
    </row>
    <row r="316" ht="16.5" customHeight="1" spans="14:18">
      <c r="N316" s="256">
        <v>60313</v>
      </c>
      <c r="O316" s="256">
        <v>14</v>
      </c>
      <c r="P316" s="256" t="s">
        <v>1016</v>
      </c>
      <c r="Q316" s="256">
        <v>1</v>
      </c>
      <c r="R316" s="256" t="s">
        <v>757</v>
      </c>
    </row>
    <row r="317" ht="16.5" customHeight="1" spans="14:18">
      <c r="N317" s="256">
        <v>60314</v>
      </c>
      <c r="O317" s="256">
        <v>14</v>
      </c>
      <c r="P317" s="256" t="s">
        <v>1016</v>
      </c>
      <c r="Q317" s="256">
        <v>2</v>
      </c>
      <c r="R317" s="256" t="s">
        <v>757</v>
      </c>
    </row>
    <row r="318" ht="16.5" customHeight="1" spans="14:18">
      <c r="N318" s="256">
        <v>60315</v>
      </c>
      <c r="O318" s="256">
        <v>14</v>
      </c>
      <c r="P318" s="256" t="s">
        <v>1016</v>
      </c>
      <c r="Q318" s="256">
        <v>3</v>
      </c>
      <c r="R318" s="256" t="s">
        <v>757</v>
      </c>
    </row>
    <row r="319" ht="16.5" customHeight="1" spans="14:18">
      <c r="N319" s="256">
        <v>60316</v>
      </c>
      <c r="O319" s="256">
        <v>14</v>
      </c>
      <c r="P319" s="256" t="s">
        <v>1016</v>
      </c>
      <c r="Q319" s="256">
        <v>4</v>
      </c>
      <c r="R319" s="256" t="s">
        <v>757</v>
      </c>
    </row>
    <row r="320" ht="16.5" customHeight="1" spans="14:18">
      <c r="N320" s="256">
        <v>60317</v>
      </c>
      <c r="O320" s="256">
        <v>14</v>
      </c>
      <c r="P320" s="256" t="s">
        <v>1016</v>
      </c>
      <c r="Q320" s="256">
        <v>5</v>
      </c>
      <c r="R320" s="256" t="s">
        <v>757</v>
      </c>
    </row>
    <row r="321" ht="16.5" customHeight="1" spans="14:18">
      <c r="N321" s="256">
        <v>60318</v>
      </c>
      <c r="O321" s="256">
        <v>14</v>
      </c>
      <c r="P321" s="256" t="s">
        <v>1016</v>
      </c>
      <c r="Q321" s="256">
        <v>6</v>
      </c>
      <c r="R321" s="256" t="s">
        <v>757</v>
      </c>
    </row>
    <row r="322" ht="16.5" customHeight="1" spans="14:18">
      <c r="N322" s="256">
        <v>60319</v>
      </c>
      <c r="O322" s="256">
        <v>14</v>
      </c>
      <c r="P322" s="256" t="s">
        <v>1016</v>
      </c>
      <c r="Q322" s="256">
        <v>1</v>
      </c>
      <c r="R322" s="256" t="s">
        <v>762</v>
      </c>
    </row>
    <row r="323" ht="16.5" customHeight="1" spans="14:18">
      <c r="N323" s="256">
        <v>60320</v>
      </c>
      <c r="O323" s="256">
        <v>14</v>
      </c>
      <c r="P323" s="256" t="s">
        <v>1016</v>
      </c>
      <c r="Q323" s="256">
        <v>2</v>
      </c>
      <c r="R323" s="256" t="s">
        <v>762</v>
      </c>
    </row>
    <row r="324" ht="16.5" customHeight="1" spans="14:18">
      <c r="N324" s="256">
        <v>60321</v>
      </c>
      <c r="O324" s="256">
        <v>14</v>
      </c>
      <c r="P324" s="256" t="s">
        <v>1016</v>
      </c>
      <c r="Q324" s="256">
        <v>3</v>
      </c>
      <c r="R324" s="256" t="s">
        <v>762</v>
      </c>
    </row>
    <row r="325" ht="16.5" customHeight="1" spans="14:18">
      <c r="N325" s="256">
        <v>60322</v>
      </c>
      <c r="O325" s="256">
        <v>14</v>
      </c>
      <c r="P325" s="256" t="s">
        <v>1016</v>
      </c>
      <c r="Q325" s="256">
        <v>4</v>
      </c>
      <c r="R325" s="256" t="s">
        <v>762</v>
      </c>
    </row>
    <row r="326" ht="16.5" customHeight="1" spans="14:18">
      <c r="N326" s="256">
        <v>60323</v>
      </c>
      <c r="O326" s="256">
        <v>14</v>
      </c>
      <c r="P326" s="256" t="s">
        <v>1016</v>
      </c>
      <c r="Q326" s="256">
        <v>5</v>
      </c>
      <c r="R326" s="256" t="s">
        <v>762</v>
      </c>
    </row>
    <row r="327" ht="16.5" customHeight="1" spans="14:18">
      <c r="N327" s="256">
        <v>60324</v>
      </c>
      <c r="O327" s="256">
        <v>14</v>
      </c>
      <c r="P327" s="256" t="s">
        <v>1016</v>
      </c>
      <c r="Q327" s="256">
        <v>6</v>
      </c>
      <c r="R327" s="256" t="s">
        <v>762</v>
      </c>
    </row>
    <row r="328" ht="16.5" customHeight="1" spans="14:18">
      <c r="N328" s="256">
        <v>60325</v>
      </c>
      <c r="O328" s="256">
        <v>14</v>
      </c>
      <c r="P328" s="256" t="s">
        <v>1016</v>
      </c>
      <c r="Q328" s="256">
        <v>1</v>
      </c>
      <c r="R328" s="256" t="s">
        <v>766</v>
      </c>
    </row>
    <row r="329" ht="16.5" customHeight="1" spans="14:18">
      <c r="N329" s="256">
        <v>60326</v>
      </c>
      <c r="O329" s="256">
        <v>14</v>
      </c>
      <c r="P329" s="256" t="s">
        <v>1016</v>
      </c>
      <c r="Q329" s="256">
        <v>2</v>
      </c>
      <c r="R329" s="256" t="s">
        <v>766</v>
      </c>
    </row>
    <row r="330" ht="16.5" customHeight="1" spans="14:18">
      <c r="N330" s="256">
        <v>60327</v>
      </c>
      <c r="O330" s="256">
        <v>14</v>
      </c>
      <c r="P330" s="256" t="s">
        <v>1016</v>
      </c>
      <c r="Q330" s="256">
        <v>3</v>
      </c>
      <c r="R330" s="256" t="s">
        <v>766</v>
      </c>
    </row>
    <row r="331" ht="16.5" customHeight="1" spans="14:18">
      <c r="N331" s="256">
        <v>60328</v>
      </c>
      <c r="O331" s="256">
        <v>14</v>
      </c>
      <c r="P331" s="256" t="s">
        <v>1016</v>
      </c>
      <c r="Q331" s="256">
        <v>4</v>
      </c>
      <c r="R331" s="256" t="s">
        <v>766</v>
      </c>
    </row>
    <row r="332" ht="16.5" customHeight="1" spans="14:18">
      <c r="N332" s="256">
        <v>60329</v>
      </c>
      <c r="O332" s="256">
        <v>14</v>
      </c>
      <c r="P332" s="256" t="s">
        <v>1016</v>
      </c>
      <c r="Q332" s="256">
        <v>5</v>
      </c>
      <c r="R332" s="256" t="s">
        <v>766</v>
      </c>
    </row>
    <row r="333" ht="16.5" customHeight="1" spans="14:18">
      <c r="N333" s="256">
        <v>60330</v>
      </c>
      <c r="O333" s="256">
        <v>14</v>
      </c>
      <c r="P333" s="256" t="s">
        <v>1016</v>
      </c>
      <c r="Q333" s="256">
        <v>6</v>
      </c>
      <c r="R333" s="256" t="s">
        <v>766</v>
      </c>
    </row>
    <row r="334" ht="16.5" customHeight="1" spans="14:18">
      <c r="N334" s="256">
        <v>60331</v>
      </c>
      <c r="O334" s="256">
        <v>14</v>
      </c>
      <c r="P334" s="256" t="s">
        <v>1016</v>
      </c>
      <c r="Q334" s="256">
        <v>1</v>
      </c>
      <c r="R334" s="256" t="s">
        <v>817</v>
      </c>
    </row>
    <row r="335" ht="16.5" customHeight="1" spans="14:18">
      <c r="N335" s="256">
        <v>60332</v>
      </c>
      <c r="O335" s="256">
        <v>14</v>
      </c>
      <c r="P335" s="256" t="s">
        <v>1016</v>
      </c>
      <c r="Q335" s="256">
        <v>2</v>
      </c>
      <c r="R335" s="256" t="s">
        <v>817</v>
      </c>
    </row>
    <row r="336" ht="16.5" customHeight="1" spans="14:18">
      <c r="N336" s="256">
        <v>60333</v>
      </c>
      <c r="O336" s="256">
        <v>14</v>
      </c>
      <c r="P336" s="256" t="s">
        <v>1016</v>
      </c>
      <c r="Q336" s="256">
        <v>3</v>
      </c>
      <c r="R336" s="256" t="s">
        <v>817</v>
      </c>
    </row>
    <row r="337" ht="16.5" customHeight="1" spans="14:18">
      <c r="N337" s="256">
        <v>60334</v>
      </c>
      <c r="O337" s="256">
        <v>14</v>
      </c>
      <c r="P337" s="256" t="s">
        <v>1016</v>
      </c>
      <c r="Q337" s="256">
        <v>4</v>
      </c>
      <c r="R337" s="256" t="s">
        <v>817</v>
      </c>
    </row>
    <row r="338" ht="16.5" customHeight="1" spans="14:18">
      <c r="N338" s="256">
        <v>60335</v>
      </c>
      <c r="O338" s="256">
        <v>14</v>
      </c>
      <c r="P338" s="256" t="s">
        <v>1016</v>
      </c>
      <c r="Q338" s="256">
        <v>5</v>
      </c>
      <c r="R338" s="256" t="s">
        <v>817</v>
      </c>
    </row>
    <row r="339" ht="16.5" customHeight="1" spans="14:18">
      <c r="N339" s="256">
        <v>60336</v>
      </c>
      <c r="O339" s="256">
        <v>14</v>
      </c>
      <c r="P339" s="256" t="s">
        <v>1016</v>
      </c>
      <c r="Q339" s="256">
        <v>6</v>
      </c>
      <c r="R339" s="256" t="s">
        <v>817</v>
      </c>
    </row>
    <row r="340" ht="16.5" customHeight="1" spans="14:18">
      <c r="N340" s="256">
        <v>60337</v>
      </c>
      <c r="O340" s="256">
        <v>15</v>
      </c>
      <c r="P340" s="256" t="s">
        <v>1017</v>
      </c>
      <c r="Q340" s="256">
        <v>1</v>
      </c>
      <c r="R340" s="256" t="s">
        <v>757</v>
      </c>
    </row>
    <row r="341" ht="16.5" customHeight="1" spans="14:18">
      <c r="N341" s="256">
        <v>60338</v>
      </c>
      <c r="O341" s="256">
        <v>15</v>
      </c>
      <c r="P341" s="256" t="s">
        <v>1017</v>
      </c>
      <c r="Q341" s="256">
        <v>2</v>
      </c>
      <c r="R341" s="256" t="s">
        <v>757</v>
      </c>
    </row>
    <row r="342" ht="16.5" customHeight="1" spans="14:18">
      <c r="N342" s="256">
        <v>60339</v>
      </c>
      <c r="O342" s="256">
        <v>15</v>
      </c>
      <c r="P342" s="256" t="s">
        <v>1017</v>
      </c>
      <c r="Q342" s="256">
        <v>3</v>
      </c>
      <c r="R342" s="256" t="s">
        <v>757</v>
      </c>
    </row>
    <row r="343" ht="16.5" customHeight="1" spans="14:18">
      <c r="N343" s="256">
        <v>60340</v>
      </c>
      <c r="O343" s="256">
        <v>15</v>
      </c>
      <c r="P343" s="256" t="s">
        <v>1017</v>
      </c>
      <c r="Q343" s="256">
        <v>4</v>
      </c>
      <c r="R343" s="256" t="s">
        <v>757</v>
      </c>
    </row>
    <row r="344" ht="16.5" customHeight="1" spans="14:18">
      <c r="N344" s="256">
        <v>60341</v>
      </c>
      <c r="O344" s="256">
        <v>15</v>
      </c>
      <c r="P344" s="256" t="s">
        <v>1017</v>
      </c>
      <c r="Q344" s="256">
        <v>5</v>
      </c>
      <c r="R344" s="256" t="s">
        <v>757</v>
      </c>
    </row>
    <row r="345" ht="16.5" customHeight="1" spans="14:18">
      <c r="N345" s="256">
        <v>60342</v>
      </c>
      <c r="O345" s="256">
        <v>15</v>
      </c>
      <c r="P345" s="256" t="s">
        <v>1017</v>
      </c>
      <c r="Q345" s="256">
        <v>6</v>
      </c>
      <c r="R345" s="256" t="s">
        <v>757</v>
      </c>
    </row>
    <row r="346" ht="16.5" customHeight="1" spans="14:18">
      <c r="N346" s="256">
        <v>60343</v>
      </c>
      <c r="O346" s="256">
        <v>15</v>
      </c>
      <c r="P346" s="256" t="s">
        <v>1017</v>
      </c>
      <c r="Q346" s="256">
        <v>1</v>
      </c>
      <c r="R346" s="256" t="s">
        <v>762</v>
      </c>
    </row>
    <row r="347" ht="16.5" customHeight="1" spans="14:18">
      <c r="N347" s="256">
        <v>60344</v>
      </c>
      <c r="O347" s="256">
        <v>15</v>
      </c>
      <c r="P347" s="256" t="s">
        <v>1017</v>
      </c>
      <c r="Q347" s="256">
        <v>2</v>
      </c>
      <c r="R347" s="256" t="s">
        <v>762</v>
      </c>
    </row>
    <row r="348" ht="16.5" customHeight="1" spans="14:18">
      <c r="N348" s="256">
        <v>60345</v>
      </c>
      <c r="O348" s="256">
        <v>15</v>
      </c>
      <c r="P348" s="256" t="s">
        <v>1017</v>
      </c>
      <c r="Q348" s="256">
        <v>3</v>
      </c>
      <c r="R348" s="256" t="s">
        <v>762</v>
      </c>
    </row>
    <row r="349" ht="16.5" customHeight="1" spans="14:18">
      <c r="N349" s="256">
        <v>60346</v>
      </c>
      <c r="O349" s="256">
        <v>15</v>
      </c>
      <c r="P349" s="256" t="s">
        <v>1017</v>
      </c>
      <c r="Q349" s="256">
        <v>4</v>
      </c>
      <c r="R349" s="256" t="s">
        <v>762</v>
      </c>
    </row>
    <row r="350" ht="16.5" customHeight="1" spans="14:18">
      <c r="N350" s="256">
        <v>60347</v>
      </c>
      <c r="O350" s="256">
        <v>15</v>
      </c>
      <c r="P350" s="256" t="s">
        <v>1017</v>
      </c>
      <c r="Q350" s="256">
        <v>5</v>
      </c>
      <c r="R350" s="256" t="s">
        <v>762</v>
      </c>
    </row>
    <row r="351" ht="16.5" customHeight="1" spans="14:18">
      <c r="N351" s="256">
        <v>60348</v>
      </c>
      <c r="O351" s="256">
        <v>15</v>
      </c>
      <c r="P351" s="256" t="s">
        <v>1017</v>
      </c>
      <c r="Q351" s="256">
        <v>6</v>
      </c>
      <c r="R351" s="256" t="s">
        <v>762</v>
      </c>
    </row>
    <row r="352" ht="16.5" customHeight="1" spans="14:18">
      <c r="N352" s="256">
        <v>60349</v>
      </c>
      <c r="O352" s="256">
        <v>15</v>
      </c>
      <c r="P352" s="256" t="s">
        <v>1017</v>
      </c>
      <c r="Q352" s="256">
        <v>1</v>
      </c>
      <c r="R352" s="256" t="s">
        <v>766</v>
      </c>
    </row>
    <row r="353" ht="16.5" customHeight="1" spans="14:18">
      <c r="N353" s="256">
        <v>60350</v>
      </c>
      <c r="O353" s="256">
        <v>15</v>
      </c>
      <c r="P353" s="256" t="s">
        <v>1017</v>
      </c>
      <c r="Q353" s="256">
        <v>2</v>
      </c>
      <c r="R353" s="256" t="s">
        <v>766</v>
      </c>
    </row>
    <row r="354" ht="16.5" customHeight="1" spans="14:18">
      <c r="N354" s="256">
        <v>60351</v>
      </c>
      <c r="O354" s="256">
        <v>15</v>
      </c>
      <c r="P354" s="256" t="s">
        <v>1017</v>
      </c>
      <c r="Q354" s="256">
        <v>3</v>
      </c>
      <c r="R354" s="256" t="s">
        <v>766</v>
      </c>
    </row>
    <row r="355" ht="16.5" customHeight="1" spans="14:18">
      <c r="N355" s="256">
        <v>60352</v>
      </c>
      <c r="O355" s="256">
        <v>15</v>
      </c>
      <c r="P355" s="256" t="s">
        <v>1017</v>
      </c>
      <c r="Q355" s="256">
        <v>4</v>
      </c>
      <c r="R355" s="256" t="s">
        <v>766</v>
      </c>
    </row>
    <row r="356" ht="16.5" customHeight="1" spans="14:18">
      <c r="N356" s="256">
        <v>60353</v>
      </c>
      <c r="O356" s="256">
        <v>15</v>
      </c>
      <c r="P356" s="256" t="s">
        <v>1017</v>
      </c>
      <c r="Q356" s="256">
        <v>5</v>
      </c>
      <c r="R356" s="256" t="s">
        <v>766</v>
      </c>
    </row>
    <row r="357" ht="16.5" customHeight="1" spans="14:18">
      <c r="N357" s="256">
        <v>60354</v>
      </c>
      <c r="O357" s="256">
        <v>15</v>
      </c>
      <c r="P357" s="256" t="s">
        <v>1017</v>
      </c>
      <c r="Q357" s="256">
        <v>6</v>
      </c>
      <c r="R357" s="256" t="s">
        <v>766</v>
      </c>
    </row>
    <row r="358" ht="16.5" customHeight="1" spans="14:18">
      <c r="N358" s="256">
        <v>60355</v>
      </c>
      <c r="O358" s="256">
        <v>15</v>
      </c>
      <c r="P358" s="256" t="s">
        <v>1017</v>
      </c>
      <c r="Q358" s="256">
        <v>1</v>
      </c>
      <c r="R358" s="256" t="s">
        <v>817</v>
      </c>
    </row>
    <row r="359" ht="16.5" customHeight="1" spans="14:18">
      <c r="N359" s="256">
        <v>60356</v>
      </c>
      <c r="O359" s="256">
        <v>15</v>
      </c>
      <c r="P359" s="256" t="s">
        <v>1017</v>
      </c>
      <c r="Q359" s="256">
        <v>2</v>
      </c>
      <c r="R359" s="256" t="s">
        <v>817</v>
      </c>
    </row>
    <row r="360" ht="16.5" customHeight="1" spans="14:18">
      <c r="N360" s="256">
        <v>60357</v>
      </c>
      <c r="O360" s="256">
        <v>15</v>
      </c>
      <c r="P360" s="256" t="s">
        <v>1017</v>
      </c>
      <c r="Q360" s="256">
        <v>3</v>
      </c>
      <c r="R360" s="256" t="s">
        <v>817</v>
      </c>
    </row>
    <row r="361" ht="16.5" customHeight="1" spans="14:18">
      <c r="N361" s="256">
        <v>60358</v>
      </c>
      <c r="O361" s="256">
        <v>15</v>
      </c>
      <c r="P361" s="256" t="s">
        <v>1017</v>
      </c>
      <c r="Q361" s="256">
        <v>4</v>
      </c>
      <c r="R361" s="256" t="s">
        <v>817</v>
      </c>
    </row>
    <row r="362" ht="16.5" customHeight="1" spans="14:18">
      <c r="N362" s="256">
        <v>60359</v>
      </c>
      <c r="O362" s="256">
        <v>15</v>
      </c>
      <c r="P362" s="256" t="s">
        <v>1017</v>
      </c>
      <c r="Q362" s="256">
        <v>5</v>
      </c>
      <c r="R362" s="256" t="s">
        <v>817</v>
      </c>
    </row>
    <row r="363" ht="16.5" customHeight="1" spans="14:18">
      <c r="N363" s="256">
        <v>60360</v>
      </c>
      <c r="O363" s="256">
        <v>15</v>
      </c>
      <c r="P363" s="256" t="s">
        <v>1017</v>
      </c>
      <c r="Q363" s="256">
        <v>6</v>
      </c>
      <c r="R363" s="256" t="s">
        <v>817</v>
      </c>
    </row>
    <row r="364" ht="16.5" customHeight="1" spans="14:18">
      <c r="N364" s="256">
        <v>60361</v>
      </c>
      <c r="O364" s="256">
        <v>16</v>
      </c>
      <c r="P364" s="256" t="s">
        <v>1018</v>
      </c>
      <c r="Q364" s="256">
        <v>1</v>
      </c>
      <c r="R364" s="256" t="s">
        <v>757</v>
      </c>
    </row>
    <row r="365" ht="16.5" customHeight="1" spans="14:18">
      <c r="N365" s="256">
        <v>60362</v>
      </c>
      <c r="O365" s="256">
        <v>16</v>
      </c>
      <c r="P365" s="256" t="s">
        <v>1018</v>
      </c>
      <c r="Q365" s="256">
        <v>2</v>
      </c>
      <c r="R365" s="256" t="s">
        <v>757</v>
      </c>
    </row>
    <row r="366" ht="16.5" customHeight="1" spans="14:18">
      <c r="N366" s="256">
        <v>60363</v>
      </c>
      <c r="O366" s="256">
        <v>16</v>
      </c>
      <c r="P366" s="256" t="s">
        <v>1018</v>
      </c>
      <c r="Q366" s="256">
        <v>3</v>
      </c>
      <c r="R366" s="256" t="s">
        <v>757</v>
      </c>
    </row>
    <row r="367" ht="16.5" customHeight="1" spans="14:18">
      <c r="N367" s="256">
        <v>60364</v>
      </c>
      <c r="O367" s="256">
        <v>16</v>
      </c>
      <c r="P367" s="256" t="s">
        <v>1018</v>
      </c>
      <c r="Q367" s="256">
        <v>4</v>
      </c>
      <c r="R367" s="256" t="s">
        <v>757</v>
      </c>
    </row>
    <row r="368" ht="16.5" customHeight="1" spans="14:18">
      <c r="N368" s="256">
        <v>60365</v>
      </c>
      <c r="O368" s="256">
        <v>16</v>
      </c>
      <c r="P368" s="256" t="s">
        <v>1018</v>
      </c>
      <c r="Q368" s="256">
        <v>5</v>
      </c>
      <c r="R368" s="256" t="s">
        <v>757</v>
      </c>
    </row>
    <row r="369" ht="16.5" customHeight="1" spans="14:18">
      <c r="N369" s="256">
        <v>60366</v>
      </c>
      <c r="O369" s="256">
        <v>16</v>
      </c>
      <c r="P369" s="256" t="s">
        <v>1018</v>
      </c>
      <c r="Q369" s="256">
        <v>6</v>
      </c>
      <c r="R369" s="256" t="s">
        <v>757</v>
      </c>
    </row>
    <row r="370" ht="16.5" customHeight="1" spans="14:18">
      <c r="N370" s="256">
        <v>60367</v>
      </c>
      <c r="O370" s="256">
        <v>16</v>
      </c>
      <c r="P370" s="256" t="s">
        <v>1018</v>
      </c>
      <c r="Q370" s="256">
        <v>1</v>
      </c>
      <c r="R370" s="256" t="s">
        <v>762</v>
      </c>
    </row>
    <row r="371" ht="16.5" customHeight="1" spans="14:18">
      <c r="N371" s="256">
        <v>60368</v>
      </c>
      <c r="O371" s="256">
        <v>16</v>
      </c>
      <c r="P371" s="256" t="s">
        <v>1018</v>
      </c>
      <c r="Q371" s="256">
        <v>2</v>
      </c>
      <c r="R371" s="256" t="s">
        <v>762</v>
      </c>
    </row>
    <row r="372" ht="16.5" customHeight="1" spans="14:18">
      <c r="N372" s="256">
        <v>60369</v>
      </c>
      <c r="O372" s="256">
        <v>16</v>
      </c>
      <c r="P372" s="256" t="s">
        <v>1018</v>
      </c>
      <c r="Q372" s="256">
        <v>3</v>
      </c>
      <c r="R372" s="256" t="s">
        <v>762</v>
      </c>
    </row>
    <row r="373" ht="16.5" customHeight="1" spans="14:18">
      <c r="N373" s="256">
        <v>60370</v>
      </c>
      <c r="O373" s="256">
        <v>16</v>
      </c>
      <c r="P373" s="256" t="s">
        <v>1018</v>
      </c>
      <c r="Q373" s="256">
        <v>4</v>
      </c>
      <c r="R373" s="256" t="s">
        <v>762</v>
      </c>
    </row>
    <row r="374" ht="16.5" customHeight="1" spans="14:18">
      <c r="N374" s="256">
        <v>60371</v>
      </c>
      <c r="O374" s="256">
        <v>16</v>
      </c>
      <c r="P374" s="256" t="s">
        <v>1018</v>
      </c>
      <c r="Q374" s="256">
        <v>5</v>
      </c>
      <c r="R374" s="256" t="s">
        <v>762</v>
      </c>
    </row>
    <row r="375" ht="16.5" customHeight="1" spans="14:18">
      <c r="N375" s="256">
        <v>60372</v>
      </c>
      <c r="O375" s="256">
        <v>16</v>
      </c>
      <c r="P375" s="256" t="s">
        <v>1018</v>
      </c>
      <c r="Q375" s="256">
        <v>6</v>
      </c>
      <c r="R375" s="256" t="s">
        <v>762</v>
      </c>
    </row>
    <row r="376" ht="16.5" customHeight="1" spans="14:18">
      <c r="N376" s="256">
        <v>60373</v>
      </c>
      <c r="O376" s="256">
        <v>16</v>
      </c>
      <c r="P376" s="256" t="s">
        <v>1018</v>
      </c>
      <c r="Q376" s="256">
        <v>1</v>
      </c>
      <c r="R376" s="256" t="s">
        <v>766</v>
      </c>
    </row>
    <row r="377" ht="16.5" customHeight="1" spans="14:18">
      <c r="N377" s="256">
        <v>60374</v>
      </c>
      <c r="O377" s="256">
        <v>16</v>
      </c>
      <c r="P377" s="256" t="s">
        <v>1018</v>
      </c>
      <c r="Q377" s="256">
        <v>2</v>
      </c>
      <c r="R377" s="256" t="s">
        <v>766</v>
      </c>
    </row>
    <row r="378" ht="16.5" customHeight="1" spans="14:18">
      <c r="N378" s="256">
        <v>60375</v>
      </c>
      <c r="O378" s="256">
        <v>16</v>
      </c>
      <c r="P378" s="256" t="s">
        <v>1018</v>
      </c>
      <c r="Q378" s="256">
        <v>3</v>
      </c>
      <c r="R378" s="256" t="s">
        <v>766</v>
      </c>
    </row>
    <row r="379" ht="16.5" customHeight="1" spans="14:18">
      <c r="N379" s="256">
        <v>60376</v>
      </c>
      <c r="O379" s="256">
        <v>16</v>
      </c>
      <c r="P379" s="256" t="s">
        <v>1018</v>
      </c>
      <c r="Q379" s="256">
        <v>4</v>
      </c>
      <c r="R379" s="256" t="s">
        <v>766</v>
      </c>
    </row>
    <row r="380" ht="16.5" customHeight="1" spans="14:18">
      <c r="N380" s="256">
        <v>60377</v>
      </c>
      <c r="O380" s="256">
        <v>16</v>
      </c>
      <c r="P380" s="256" t="s">
        <v>1018</v>
      </c>
      <c r="Q380" s="256">
        <v>5</v>
      </c>
      <c r="R380" s="256" t="s">
        <v>766</v>
      </c>
    </row>
    <row r="381" ht="16.5" customHeight="1" spans="14:18">
      <c r="N381" s="256">
        <v>60378</v>
      </c>
      <c r="O381" s="256">
        <v>16</v>
      </c>
      <c r="P381" s="256" t="s">
        <v>1018</v>
      </c>
      <c r="Q381" s="256">
        <v>6</v>
      </c>
      <c r="R381" s="256" t="s">
        <v>766</v>
      </c>
    </row>
    <row r="382" ht="16.5" customHeight="1" spans="14:18">
      <c r="N382" s="256">
        <v>60379</v>
      </c>
      <c r="O382" s="256">
        <v>16</v>
      </c>
      <c r="P382" s="256" t="s">
        <v>1018</v>
      </c>
      <c r="Q382" s="256">
        <v>1</v>
      </c>
      <c r="R382" s="256" t="s">
        <v>817</v>
      </c>
    </row>
    <row r="383" ht="16.5" customHeight="1" spans="14:18">
      <c r="N383" s="256">
        <v>60380</v>
      </c>
      <c r="O383" s="256">
        <v>16</v>
      </c>
      <c r="P383" s="256" t="s">
        <v>1018</v>
      </c>
      <c r="Q383" s="256">
        <v>2</v>
      </c>
      <c r="R383" s="256" t="s">
        <v>817</v>
      </c>
    </row>
    <row r="384" ht="16.5" customHeight="1" spans="14:18">
      <c r="N384" s="256">
        <v>60381</v>
      </c>
      <c r="O384" s="256">
        <v>16</v>
      </c>
      <c r="P384" s="256" t="s">
        <v>1018</v>
      </c>
      <c r="Q384" s="256">
        <v>3</v>
      </c>
      <c r="R384" s="256" t="s">
        <v>817</v>
      </c>
    </row>
    <row r="385" ht="16.5" customHeight="1" spans="14:18">
      <c r="N385" s="256">
        <v>60382</v>
      </c>
      <c r="O385" s="256">
        <v>16</v>
      </c>
      <c r="P385" s="256" t="s">
        <v>1018</v>
      </c>
      <c r="Q385" s="256">
        <v>4</v>
      </c>
      <c r="R385" s="256" t="s">
        <v>817</v>
      </c>
    </row>
    <row r="386" ht="16.5" customHeight="1" spans="14:18">
      <c r="N386" s="256">
        <v>60383</v>
      </c>
      <c r="O386" s="256">
        <v>16</v>
      </c>
      <c r="P386" s="256" t="s">
        <v>1018</v>
      </c>
      <c r="Q386" s="256">
        <v>5</v>
      </c>
      <c r="R386" s="256" t="s">
        <v>817</v>
      </c>
    </row>
    <row r="387" ht="16.5" customHeight="1" spans="14:18">
      <c r="N387" s="256">
        <v>60384</v>
      </c>
      <c r="O387" s="256">
        <v>16</v>
      </c>
      <c r="P387" s="256" t="s">
        <v>1018</v>
      </c>
      <c r="Q387" s="256">
        <v>6</v>
      </c>
      <c r="R387" s="256" t="s">
        <v>817</v>
      </c>
    </row>
    <row r="388" ht="16.5" customHeight="1" spans="14:18">
      <c r="N388" s="256">
        <v>60385</v>
      </c>
      <c r="O388" s="256">
        <v>17</v>
      </c>
      <c r="P388" s="256" t="s">
        <v>1019</v>
      </c>
      <c r="Q388" s="256">
        <v>1</v>
      </c>
      <c r="R388" s="256" t="s">
        <v>757</v>
      </c>
    </row>
    <row r="389" ht="16.5" customHeight="1" spans="14:18">
      <c r="N389" s="256">
        <v>60386</v>
      </c>
      <c r="O389" s="256">
        <v>17</v>
      </c>
      <c r="P389" s="256" t="s">
        <v>1019</v>
      </c>
      <c r="Q389" s="256">
        <v>2</v>
      </c>
      <c r="R389" s="256" t="s">
        <v>757</v>
      </c>
    </row>
    <row r="390" ht="16.5" customHeight="1" spans="14:18">
      <c r="N390" s="256">
        <v>60387</v>
      </c>
      <c r="O390" s="256">
        <v>17</v>
      </c>
      <c r="P390" s="256" t="s">
        <v>1019</v>
      </c>
      <c r="Q390" s="256">
        <v>3</v>
      </c>
      <c r="R390" s="256" t="s">
        <v>757</v>
      </c>
    </row>
    <row r="391" ht="16.5" customHeight="1" spans="14:18">
      <c r="N391" s="256">
        <v>60388</v>
      </c>
      <c r="O391" s="256">
        <v>17</v>
      </c>
      <c r="P391" s="256" t="s">
        <v>1019</v>
      </c>
      <c r="Q391" s="256">
        <v>4</v>
      </c>
      <c r="R391" s="256" t="s">
        <v>757</v>
      </c>
    </row>
    <row r="392" ht="16.5" customHeight="1" spans="14:18">
      <c r="N392" s="256">
        <v>60389</v>
      </c>
      <c r="O392" s="256">
        <v>17</v>
      </c>
      <c r="P392" s="256" t="s">
        <v>1019</v>
      </c>
      <c r="Q392" s="256">
        <v>5</v>
      </c>
      <c r="R392" s="256" t="s">
        <v>757</v>
      </c>
    </row>
    <row r="393" ht="16.5" customHeight="1" spans="14:18">
      <c r="N393" s="256">
        <v>60390</v>
      </c>
      <c r="O393" s="256">
        <v>17</v>
      </c>
      <c r="P393" s="256" t="s">
        <v>1019</v>
      </c>
      <c r="Q393" s="256">
        <v>6</v>
      </c>
      <c r="R393" s="256" t="s">
        <v>757</v>
      </c>
    </row>
    <row r="394" ht="16.5" customHeight="1" spans="14:18">
      <c r="N394" s="256">
        <v>60391</v>
      </c>
      <c r="O394" s="256">
        <v>17</v>
      </c>
      <c r="P394" s="256" t="s">
        <v>1019</v>
      </c>
      <c r="Q394" s="256">
        <v>1</v>
      </c>
      <c r="R394" s="256" t="s">
        <v>762</v>
      </c>
    </row>
    <row r="395" ht="16.5" customHeight="1" spans="14:18">
      <c r="N395" s="256">
        <v>60392</v>
      </c>
      <c r="O395" s="256">
        <v>17</v>
      </c>
      <c r="P395" s="256" t="s">
        <v>1019</v>
      </c>
      <c r="Q395" s="256">
        <v>2</v>
      </c>
      <c r="R395" s="256" t="s">
        <v>762</v>
      </c>
    </row>
    <row r="396" ht="16.5" customHeight="1" spans="14:18">
      <c r="N396" s="256">
        <v>60393</v>
      </c>
      <c r="O396" s="256">
        <v>17</v>
      </c>
      <c r="P396" s="256" t="s">
        <v>1019</v>
      </c>
      <c r="Q396" s="256">
        <v>3</v>
      </c>
      <c r="R396" s="256" t="s">
        <v>762</v>
      </c>
    </row>
    <row r="397" ht="16.5" customHeight="1" spans="14:18">
      <c r="N397" s="256">
        <v>60394</v>
      </c>
      <c r="O397" s="256">
        <v>17</v>
      </c>
      <c r="P397" s="256" t="s">
        <v>1019</v>
      </c>
      <c r="Q397" s="256">
        <v>4</v>
      </c>
      <c r="R397" s="256" t="s">
        <v>762</v>
      </c>
    </row>
    <row r="398" ht="16.5" customHeight="1" spans="14:18">
      <c r="N398" s="256">
        <v>60395</v>
      </c>
      <c r="O398" s="256">
        <v>17</v>
      </c>
      <c r="P398" s="256" t="s">
        <v>1019</v>
      </c>
      <c r="Q398" s="256">
        <v>5</v>
      </c>
      <c r="R398" s="256" t="s">
        <v>762</v>
      </c>
    </row>
    <row r="399" ht="16.5" customHeight="1" spans="14:18">
      <c r="N399" s="256">
        <v>60396</v>
      </c>
      <c r="O399" s="256">
        <v>17</v>
      </c>
      <c r="P399" s="256" t="s">
        <v>1019</v>
      </c>
      <c r="Q399" s="256">
        <v>6</v>
      </c>
      <c r="R399" s="256" t="s">
        <v>762</v>
      </c>
    </row>
    <row r="400" ht="16.5" customHeight="1" spans="14:18">
      <c r="N400" s="256">
        <v>60397</v>
      </c>
      <c r="O400" s="256">
        <v>17</v>
      </c>
      <c r="P400" s="256" t="s">
        <v>1019</v>
      </c>
      <c r="Q400" s="256">
        <v>1</v>
      </c>
      <c r="R400" s="256" t="s">
        <v>766</v>
      </c>
    </row>
    <row r="401" ht="16.5" customHeight="1" spans="14:18">
      <c r="N401" s="256">
        <v>60398</v>
      </c>
      <c r="O401" s="256">
        <v>17</v>
      </c>
      <c r="P401" s="256" t="s">
        <v>1019</v>
      </c>
      <c r="Q401" s="256">
        <v>2</v>
      </c>
      <c r="R401" s="256" t="s">
        <v>766</v>
      </c>
    </row>
    <row r="402" ht="16.5" customHeight="1" spans="14:18">
      <c r="N402" s="256">
        <v>60399</v>
      </c>
      <c r="O402" s="256">
        <v>17</v>
      </c>
      <c r="P402" s="256" t="s">
        <v>1019</v>
      </c>
      <c r="Q402" s="256">
        <v>3</v>
      </c>
      <c r="R402" s="256" t="s">
        <v>766</v>
      </c>
    </row>
    <row r="403" ht="16.5" customHeight="1" spans="14:18">
      <c r="N403" s="256">
        <v>60400</v>
      </c>
      <c r="O403" s="256">
        <v>17</v>
      </c>
      <c r="P403" s="256" t="s">
        <v>1019</v>
      </c>
      <c r="Q403" s="256">
        <v>4</v>
      </c>
      <c r="R403" s="256" t="s">
        <v>766</v>
      </c>
    </row>
    <row r="404" ht="16.5" customHeight="1" spans="14:18">
      <c r="N404" s="256">
        <v>60401</v>
      </c>
      <c r="O404" s="256">
        <v>17</v>
      </c>
      <c r="P404" s="256" t="s">
        <v>1019</v>
      </c>
      <c r="Q404" s="256">
        <v>5</v>
      </c>
      <c r="R404" s="256" t="s">
        <v>766</v>
      </c>
    </row>
    <row r="405" ht="16.5" customHeight="1" spans="14:18">
      <c r="N405" s="256">
        <v>60402</v>
      </c>
      <c r="O405" s="256">
        <v>17</v>
      </c>
      <c r="P405" s="256" t="s">
        <v>1019</v>
      </c>
      <c r="Q405" s="256">
        <v>6</v>
      </c>
      <c r="R405" s="256" t="s">
        <v>766</v>
      </c>
    </row>
    <row r="406" ht="16.5" customHeight="1" spans="14:18">
      <c r="N406" s="256">
        <v>60403</v>
      </c>
      <c r="O406" s="256">
        <v>17</v>
      </c>
      <c r="P406" s="256" t="s">
        <v>1019</v>
      </c>
      <c r="Q406" s="256">
        <v>1</v>
      </c>
      <c r="R406" s="256" t="s">
        <v>817</v>
      </c>
    </row>
    <row r="407" ht="16.5" customHeight="1" spans="14:18">
      <c r="N407" s="256">
        <v>60404</v>
      </c>
      <c r="O407" s="256">
        <v>17</v>
      </c>
      <c r="P407" s="256" t="s">
        <v>1019</v>
      </c>
      <c r="Q407" s="256">
        <v>2</v>
      </c>
      <c r="R407" s="256" t="s">
        <v>817</v>
      </c>
    </row>
    <row r="408" ht="16.5" customHeight="1" spans="14:18">
      <c r="N408" s="256">
        <v>60405</v>
      </c>
      <c r="O408" s="256">
        <v>17</v>
      </c>
      <c r="P408" s="256" t="s">
        <v>1019</v>
      </c>
      <c r="Q408" s="256">
        <v>3</v>
      </c>
      <c r="R408" s="256" t="s">
        <v>817</v>
      </c>
    </row>
    <row r="409" ht="16.5" customHeight="1" spans="14:18">
      <c r="N409" s="256">
        <v>60406</v>
      </c>
      <c r="O409" s="256">
        <v>17</v>
      </c>
      <c r="P409" s="256" t="s">
        <v>1019</v>
      </c>
      <c r="Q409" s="256">
        <v>4</v>
      </c>
      <c r="R409" s="256" t="s">
        <v>817</v>
      </c>
    </row>
    <row r="410" ht="16.5" customHeight="1" spans="14:18">
      <c r="N410" s="256">
        <v>60407</v>
      </c>
      <c r="O410" s="256">
        <v>17</v>
      </c>
      <c r="P410" s="256" t="s">
        <v>1019</v>
      </c>
      <c r="Q410" s="256">
        <v>5</v>
      </c>
      <c r="R410" s="256" t="s">
        <v>817</v>
      </c>
    </row>
    <row r="411" ht="16.5" customHeight="1" spans="14:18">
      <c r="N411" s="256">
        <v>60408</v>
      </c>
      <c r="O411" s="256">
        <v>17</v>
      </c>
      <c r="P411" s="256" t="s">
        <v>1019</v>
      </c>
      <c r="Q411" s="256">
        <v>6</v>
      </c>
      <c r="R411" s="256" t="s">
        <v>817</v>
      </c>
    </row>
    <row r="412" ht="16.5" customHeight="1" spans="14:18">
      <c r="N412" s="256">
        <v>60409</v>
      </c>
      <c r="O412" s="256">
        <v>18</v>
      </c>
      <c r="P412" s="256" t="s">
        <v>1020</v>
      </c>
      <c r="Q412" s="256">
        <v>1</v>
      </c>
      <c r="R412" s="256" t="s">
        <v>757</v>
      </c>
    </row>
    <row r="413" ht="16.5" customHeight="1" spans="14:18">
      <c r="N413" s="256">
        <v>60410</v>
      </c>
      <c r="O413" s="256">
        <v>18</v>
      </c>
      <c r="P413" s="256" t="s">
        <v>1020</v>
      </c>
      <c r="Q413" s="256">
        <v>2</v>
      </c>
      <c r="R413" s="256" t="s">
        <v>757</v>
      </c>
    </row>
    <row r="414" ht="16.5" customHeight="1" spans="14:18">
      <c r="N414" s="256">
        <v>60411</v>
      </c>
      <c r="O414" s="256">
        <v>18</v>
      </c>
      <c r="P414" s="256" t="s">
        <v>1020</v>
      </c>
      <c r="Q414" s="256">
        <v>3</v>
      </c>
      <c r="R414" s="256" t="s">
        <v>757</v>
      </c>
    </row>
    <row r="415" ht="16.5" customHeight="1" spans="14:18">
      <c r="N415" s="256">
        <v>60412</v>
      </c>
      <c r="O415" s="256">
        <v>18</v>
      </c>
      <c r="P415" s="256" t="s">
        <v>1020</v>
      </c>
      <c r="Q415" s="256">
        <v>4</v>
      </c>
      <c r="R415" s="256" t="s">
        <v>757</v>
      </c>
    </row>
    <row r="416" ht="16.5" customHeight="1" spans="14:18">
      <c r="N416" s="256">
        <v>60413</v>
      </c>
      <c r="O416" s="256">
        <v>18</v>
      </c>
      <c r="P416" s="256" t="s">
        <v>1020</v>
      </c>
      <c r="Q416" s="256">
        <v>5</v>
      </c>
      <c r="R416" s="256" t="s">
        <v>757</v>
      </c>
    </row>
    <row r="417" ht="16.5" customHeight="1" spans="14:18">
      <c r="N417" s="256">
        <v>60414</v>
      </c>
      <c r="O417" s="256">
        <v>18</v>
      </c>
      <c r="P417" s="256" t="s">
        <v>1020</v>
      </c>
      <c r="Q417" s="256">
        <v>6</v>
      </c>
      <c r="R417" s="256" t="s">
        <v>757</v>
      </c>
    </row>
    <row r="418" ht="16.5" customHeight="1" spans="14:18">
      <c r="N418" s="256">
        <v>60415</v>
      </c>
      <c r="O418" s="256">
        <v>18</v>
      </c>
      <c r="P418" s="256" t="s">
        <v>1020</v>
      </c>
      <c r="Q418" s="256">
        <v>1</v>
      </c>
      <c r="R418" s="256" t="s">
        <v>762</v>
      </c>
    </row>
    <row r="419" ht="16.5" customHeight="1" spans="14:18">
      <c r="N419" s="256">
        <v>60416</v>
      </c>
      <c r="O419" s="256">
        <v>18</v>
      </c>
      <c r="P419" s="256" t="s">
        <v>1020</v>
      </c>
      <c r="Q419" s="256">
        <v>2</v>
      </c>
      <c r="R419" s="256" t="s">
        <v>762</v>
      </c>
    </row>
    <row r="420" ht="16.5" customHeight="1" spans="14:18">
      <c r="N420" s="256">
        <v>60417</v>
      </c>
      <c r="O420" s="256">
        <v>18</v>
      </c>
      <c r="P420" s="256" t="s">
        <v>1020</v>
      </c>
      <c r="Q420" s="256">
        <v>3</v>
      </c>
      <c r="R420" s="256" t="s">
        <v>762</v>
      </c>
    </row>
    <row r="421" ht="16.5" customHeight="1" spans="14:18">
      <c r="N421" s="256">
        <v>60418</v>
      </c>
      <c r="O421" s="256">
        <v>18</v>
      </c>
      <c r="P421" s="256" t="s">
        <v>1020</v>
      </c>
      <c r="Q421" s="256">
        <v>4</v>
      </c>
      <c r="R421" s="256" t="s">
        <v>762</v>
      </c>
    </row>
    <row r="422" ht="16.5" customHeight="1" spans="14:18">
      <c r="N422" s="256">
        <v>60419</v>
      </c>
      <c r="O422" s="256">
        <v>18</v>
      </c>
      <c r="P422" s="256" t="s">
        <v>1020</v>
      </c>
      <c r="Q422" s="256">
        <v>5</v>
      </c>
      <c r="R422" s="256" t="s">
        <v>762</v>
      </c>
    </row>
    <row r="423" ht="16.5" customHeight="1" spans="14:18">
      <c r="N423" s="256">
        <v>60420</v>
      </c>
      <c r="O423" s="256">
        <v>18</v>
      </c>
      <c r="P423" s="256" t="s">
        <v>1020</v>
      </c>
      <c r="Q423" s="256">
        <v>6</v>
      </c>
      <c r="R423" s="256" t="s">
        <v>762</v>
      </c>
    </row>
    <row r="424" ht="16.5" customHeight="1" spans="14:18">
      <c r="N424" s="256">
        <v>60421</v>
      </c>
      <c r="O424" s="256">
        <v>18</v>
      </c>
      <c r="P424" s="256" t="s">
        <v>1020</v>
      </c>
      <c r="Q424" s="256">
        <v>1</v>
      </c>
      <c r="R424" s="256" t="s">
        <v>766</v>
      </c>
    </row>
    <row r="425" ht="16.5" customHeight="1" spans="14:18">
      <c r="N425" s="256">
        <v>60422</v>
      </c>
      <c r="O425" s="256">
        <v>18</v>
      </c>
      <c r="P425" s="256" t="s">
        <v>1020</v>
      </c>
      <c r="Q425" s="256">
        <v>2</v>
      </c>
      <c r="R425" s="256" t="s">
        <v>766</v>
      </c>
    </row>
    <row r="426" ht="16.5" customHeight="1" spans="14:18">
      <c r="N426" s="256">
        <v>60423</v>
      </c>
      <c r="O426" s="256">
        <v>18</v>
      </c>
      <c r="P426" s="256" t="s">
        <v>1020</v>
      </c>
      <c r="Q426" s="256">
        <v>3</v>
      </c>
      <c r="R426" s="256" t="s">
        <v>766</v>
      </c>
    </row>
    <row r="427" ht="16.5" customHeight="1" spans="14:18">
      <c r="N427" s="256">
        <v>60424</v>
      </c>
      <c r="O427" s="256">
        <v>18</v>
      </c>
      <c r="P427" s="256" t="s">
        <v>1020</v>
      </c>
      <c r="Q427" s="256">
        <v>4</v>
      </c>
      <c r="R427" s="256" t="s">
        <v>766</v>
      </c>
    </row>
    <row r="428" ht="16.5" customHeight="1" spans="14:18">
      <c r="N428" s="256">
        <v>60425</v>
      </c>
      <c r="O428" s="256">
        <v>18</v>
      </c>
      <c r="P428" s="256" t="s">
        <v>1020</v>
      </c>
      <c r="Q428" s="256">
        <v>5</v>
      </c>
      <c r="R428" s="256" t="s">
        <v>766</v>
      </c>
    </row>
    <row r="429" ht="16.5" customHeight="1" spans="14:18">
      <c r="N429" s="256">
        <v>60426</v>
      </c>
      <c r="O429" s="256">
        <v>18</v>
      </c>
      <c r="P429" s="256" t="s">
        <v>1020</v>
      </c>
      <c r="Q429" s="256">
        <v>6</v>
      </c>
      <c r="R429" s="256" t="s">
        <v>766</v>
      </c>
    </row>
    <row r="430" ht="16.5" customHeight="1" spans="14:18">
      <c r="N430" s="256">
        <v>60427</v>
      </c>
      <c r="O430" s="256">
        <v>18</v>
      </c>
      <c r="P430" s="256" t="s">
        <v>1020</v>
      </c>
      <c r="Q430" s="256">
        <v>1</v>
      </c>
      <c r="R430" s="256" t="s">
        <v>817</v>
      </c>
    </row>
    <row r="431" ht="16.5" customHeight="1" spans="14:18">
      <c r="N431" s="256">
        <v>60428</v>
      </c>
      <c r="O431" s="256">
        <v>18</v>
      </c>
      <c r="P431" s="256" t="s">
        <v>1020</v>
      </c>
      <c r="Q431" s="256">
        <v>2</v>
      </c>
      <c r="R431" s="256" t="s">
        <v>817</v>
      </c>
    </row>
    <row r="432" ht="16.5" customHeight="1" spans="14:18">
      <c r="N432" s="256">
        <v>60429</v>
      </c>
      <c r="O432" s="256">
        <v>18</v>
      </c>
      <c r="P432" s="256" t="s">
        <v>1020</v>
      </c>
      <c r="Q432" s="256">
        <v>3</v>
      </c>
      <c r="R432" s="256" t="s">
        <v>817</v>
      </c>
    </row>
    <row r="433" ht="16.5" customHeight="1" spans="14:18">
      <c r="N433" s="256">
        <v>60430</v>
      </c>
      <c r="O433" s="256">
        <v>18</v>
      </c>
      <c r="P433" s="256" t="s">
        <v>1020</v>
      </c>
      <c r="Q433" s="256">
        <v>4</v>
      </c>
      <c r="R433" s="256" t="s">
        <v>817</v>
      </c>
    </row>
    <row r="434" ht="16.5" customHeight="1" spans="14:18">
      <c r="N434" s="256">
        <v>60431</v>
      </c>
      <c r="O434" s="256">
        <v>18</v>
      </c>
      <c r="P434" s="256" t="s">
        <v>1020</v>
      </c>
      <c r="Q434" s="256">
        <v>5</v>
      </c>
      <c r="R434" s="256" t="s">
        <v>817</v>
      </c>
    </row>
    <row r="435" ht="16.5" customHeight="1" spans="14:18">
      <c r="N435" s="256">
        <v>60432</v>
      </c>
      <c r="O435" s="256">
        <v>18</v>
      </c>
      <c r="P435" s="256" t="s">
        <v>1020</v>
      </c>
      <c r="Q435" s="256">
        <v>6</v>
      </c>
      <c r="R435" s="256" t="s">
        <v>817</v>
      </c>
    </row>
    <row r="436" ht="16.5" customHeight="1" spans="14:18">
      <c r="N436" s="256">
        <v>60433</v>
      </c>
      <c r="O436" s="256">
        <v>19</v>
      </c>
      <c r="P436" s="256" t="s">
        <v>1021</v>
      </c>
      <c r="Q436" s="256">
        <v>1</v>
      </c>
      <c r="R436" s="256" t="s">
        <v>757</v>
      </c>
    </row>
    <row r="437" ht="16.5" customHeight="1" spans="14:18">
      <c r="N437" s="256">
        <v>60434</v>
      </c>
      <c r="O437" s="256">
        <v>19</v>
      </c>
      <c r="P437" s="256" t="s">
        <v>1021</v>
      </c>
      <c r="Q437" s="256">
        <v>2</v>
      </c>
      <c r="R437" s="256" t="s">
        <v>757</v>
      </c>
    </row>
    <row r="438" ht="16.5" customHeight="1" spans="14:18">
      <c r="N438" s="256">
        <v>60435</v>
      </c>
      <c r="O438" s="256">
        <v>19</v>
      </c>
      <c r="P438" s="256" t="s">
        <v>1021</v>
      </c>
      <c r="Q438" s="256">
        <v>3</v>
      </c>
      <c r="R438" s="256" t="s">
        <v>757</v>
      </c>
    </row>
    <row r="439" ht="16.5" customHeight="1" spans="14:18">
      <c r="N439" s="256">
        <v>60436</v>
      </c>
      <c r="O439" s="256">
        <v>19</v>
      </c>
      <c r="P439" s="256" t="s">
        <v>1021</v>
      </c>
      <c r="Q439" s="256">
        <v>4</v>
      </c>
      <c r="R439" s="256" t="s">
        <v>757</v>
      </c>
    </row>
    <row r="440" ht="16.5" customHeight="1" spans="14:18">
      <c r="N440" s="256">
        <v>60437</v>
      </c>
      <c r="O440" s="256">
        <v>19</v>
      </c>
      <c r="P440" s="256" t="s">
        <v>1021</v>
      </c>
      <c r="Q440" s="256">
        <v>5</v>
      </c>
      <c r="R440" s="256" t="s">
        <v>757</v>
      </c>
    </row>
    <row r="441" ht="16.5" customHeight="1" spans="14:18">
      <c r="N441" s="256">
        <v>60438</v>
      </c>
      <c r="O441" s="256">
        <v>19</v>
      </c>
      <c r="P441" s="256" t="s">
        <v>1021</v>
      </c>
      <c r="Q441" s="256">
        <v>6</v>
      </c>
      <c r="R441" s="256" t="s">
        <v>757</v>
      </c>
    </row>
    <row r="442" ht="16.5" customHeight="1" spans="14:18">
      <c r="N442" s="256">
        <v>60439</v>
      </c>
      <c r="O442" s="256">
        <v>19</v>
      </c>
      <c r="P442" s="256" t="s">
        <v>1021</v>
      </c>
      <c r="Q442" s="256">
        <v>1</v>
      </c>
      <c r="R442" s="256" t="s">
        <v>762</v>
      </c>
    </row>
    <row r="443" ht="16.5" customHeight="1" spans="14:18">
      <c r="N443" s="256">
        <v>60440</v>
      </c>
      <c r="O443" s="256">
        <v>19</v>
      </c>
      <c r="P443" s="256" t="s">
        <v>1021</v>
      </c>
      <c r="Q443" s="256">
        <v>2</v>
      </c>
      <c r="R443" s="256" t="s">
        <v>762</v>
      </c>
    </row>
    <row r="444" ht="16.5" customHeight="1" spans="14:18">
      <c r="N444" s="256">
        <v>60441</v>
      </c>
      <c r="O444" s="256">
        <v>19</v>
      </c>
      <c r="P444" s="256" t="s">
        <v>1021</v>
      </c>
      <c r="Q444" s="256">
        <v>3</v>
      </c>
      <c r="R444" s="256" t="s">
        <v>762</v>
      </c>
    </row>
    <row r="445" ht="16.5" customHeight="1" spans="14:18">
      <c r="N445" s="256">
        <v>60442</v>
      </c>
      <c r="O445" s="256">
        <v>19</v>
      </c>
      <c r="P445" s="256" t="s">
        <v>1021</v>
      </c>
      <c r="Q445" s="256">
        <v>4</v>
      </c>
      <c r="R445" s="256" t="s">
        <v>762</v>
      </c>
    </row>
    <row r="446" ht="16.5" customHeight="1" spans="14:18">
      <c r="N446" s="256">
        <v>60443</v>
      </c>
      <c r="O446" s="256">
        <v>19</v>
      </c>
      <c r="P446" s="256" t="s">
        <v>1021</v>
      </c>
      <c r="Q446" s="256">
        <v>5</v>
      </c>
      <c r="R446" s="256" t="s">
        <v>762</v>
      </c>
    </row>
    <row r="447" ht="16.5" customHeight="1" spans="14:18">
      <c r="N447" s="256">
        <v>60444</v>
      </c>
      <c r="O447" s="256">
        <v>19</v>
      </c>
      <c r="P447" s="256" t="s">
        <v>1021</v>
      </c>
      <c r="Q447" s="256">
        <v>6</v>
      </c>
      <c r="R447" s="256" t="s">
        <v>762</v>
      </c>
    </row>
    <row r="448" ht="16.5" customHeight="1" spans="14:18">
      <c r="N448" s="256">
        <v>60445</v>
      </c>
      <c r="O448" s="256">
        <v>19</v>
      </c>
      <c r="P448" s="256" t="s">
        <v>1021</v>
      </c>
      <c r="Q448" s="256">
        <v>1</v>
      </c>
      <c r="R448" s="256" t="s">
        <v>766</v>
      </c>
    </row>
    <row r="449" ht="16.5" customHeight="1" spans="14:18">
      <c r="N449" s="256">
        <v>60446</v>
      </c>
      <c r="O449" s="256">
        <v>19</v>
      </c>
      <c r="P449" s="256" t="s">
        <v>1021</v>
      </c>
      <c r="Q449" s="256">
        <v>2</v>
      </c>
      <c r="R449" s="256" t="s">
        <v>766</v>
      </c>
    </row>
    <row r="450" ht="16.5" customHeight="1" spans="14:18">
      <c r="N450" s="256">
        <v>60447</v>
      </c>
      <c r="O450" s="256">
        <v>19</v>
      </c>
      <c r="P450" s="256" t="s">
        <v>1021</v>
      </c>
      <c r="Q450" s="256">
        <v>3</v>
      </c>
      <c r="R450" s="256" t="s">
        <v>766</v>
      </c>
    </row>
    <row r="451" ht="16.5" customHeight="1" spans="14:18">
      <c r="N451" s="256">
        <v>60448</v>
      </c>
      <c r="O451" s="256">
        <v>19</v>
      </c>
      <c r="P451" s="256" t="s">
        <v>1021</v>
      </c>
      <c r="Q451" s="256">
        <v>4</v>
      </c>
      <c r="R451" s="256" t="s">
        <v>766</v>
      </c>
    </row>
    <row r="452" ht="16.5" customHeight="1" spans="14:18">
      <c r="N452" s="256">
        <v>60449</v>
      </c>
      <c r="O452" s="256">
        <v>19</v>
      </c>
      <c r="P452" s="256" t="s">
        <v>1021</v>
      </c>
      <c r="Q452" s="256">
        <v>5</v>
      </c>
      <c r="R452" s="256" t="s">
        <v>766</v>
      </c>
    </row>
    <row r="453" ht="16.5" customHeight="1" spans="14:18">
      <c r="N453" s="256">
        <v>60450</v>
      </c>
      <c r="O453" s="256">
        <v>19</v>
      </c>
      <c r="P453" s="256" t="s">
        <v>1021</v>
      </c>
      <c r="Q453" s="256">
        <v>6</v>
      </c>
      <c r="R453" s="256" t="s">
        <v>766</v>
      </c>
    </row>
    <row r="454" ht="16.5" customHeight="1" spans="14:18">
      <c r="N454" s="256">
        <v>60451</v>
      </c>
      <c r="O454" s="256">
        <v>19</v>
      </c>
      <c r="P454" s="256" t="s">
        <v>1021</v>
      </c>
      <c r="Q454" s="256">
        <v>1</v>
      </c>
      <c r="R454" s="256" t="s">
        <v>817</v>
      </c>
    </row>
    <row r="455" ht="16.5" customHeight="1" spans="14:18">
      <c r="N455" s="256">
        <v>60452</v>
      </c>
      <c r="O455" s="256">
        <v>19</v>
      </c>
      <c r="P455" s="256" t="s">
        <v>1021</v>
      </c>
      <c r="Q455" s="256">
        <v>2</v>
      </c>
      <c r="R455" s="256" t="s">
        <v>817</v>
      </c>
    </row>
    <row r="456" ht="16.5" customHeight="1" spans="14:18">
      <c r="N456" s="256">
        <v>60453</v>
      </c>
      <c r="O456" s="256">
        <v>19</v>
      </c>
      <c r="P456" s="256" t="s">
        <v>1021</v>
      </c>
      <c r="Q456" s="256">
        <v>3</v>
      </c>
      <c r="R456" s="256" t="s">
        <v>817</v>
      </c>
    </row>
    <row r="457" ht="16.5" customHeight="1" spans="14:18">
      <c r="N457" s="256">
        <v>60454</v>
      </c>
      <c r="O457" s="256">
        <v>19</v>
      </c>
      <c r="P457" s="256" t="s">
        <v>1021</v>
      </c>
      <c r="Q457" s="256">
        <v>4</v>
      </c>
      <c r="R457" s="256" t="s">
        <v>817</v>
      </c>
    </row>
    <row r="458" ht="16.5" customHeight="1" spans="14:18">
      <c r="N458" s="256">
        <v>60455</v>
      </c>
      <c r="O458" s="256">
        <v>19</v>
      </c>
      <c r="P458" s="256" t="s">
        <v>1021</v>
      </c>
      <c r="Q458" s="256">
        <v>5</v>
      </c>
      <c r="R458" s="256" t="s">
        <v>817</v>
      </c>
    </row>
    <row r="459" ht="16.5" customHeight="1" spans="14:18">
      <c r="N459" s="256">
        <v>60456</v>
      </c>
      <c r="O459" s="256">
        <v>19</v>
      </c>
      <c r="P459" s="256" t="s">
        <v>1021</v>
      </c>
      <c r="Q459" s="256">
        <v>6</v>
      </c>
      <c r="R459" s="256" t="s">
        <v>817</v>
      </c>
    </row>
    <row r="460" ht="16.5" customHeight="1" spans="14:18">
      <c r="N460" s="256">
        <v>60457</v>
      </c>
      <c r="O460" s="256">
        <v>20</v>
      </c>
      <c r="P460" s="256" t="s">
        <v>1022</v>
      </c>
      <c r="Q460" s="256">
        <v>1</v>
      </c>
      <c r="R460" s="256" t="s">
        <v>757</v>
      </c>
    </row>
    <row r="461" ht="16.5" customHeight="1" spans="14:18">
      <c r="N461" s="256">
        <v>60458</v>
      </c>
      <c r="O461" s="256">
        <v>20</v>
      </c>
      <c r="P461" s="256" t="s">
        <v>1022</v>
      </c>
      <c r="Q461" s="256">
        <v>2</v>
      </c>
      <c r="R461" s="256" t="s">
        <v>757</v>
      </c>
    </row>
    <row r="462" ht="16.5" customHeight="1" spans="14:18">
      <c r="N462" s="256">
        <v>60459</v>
      </c>
      <c r="O462" s="256">
        <v>20</v>
      </c>
      <c r="P462" s="256" t="s">
        <v>1022</v>
      </c>
      <c r="Q462" s="256">
        <v>3</v>
      </c>
      <c r="R462" s="256" t="s">
        <v>757</v>
      </c>
    </row>
    <row r="463" ht="16.5" customHeight="1" spans="14:18">
      <c r="N463" s="256">
        <v>60460</v>
      </c>
      <c r="O463" s="256">
        <v>20</v>
      </c>
      <c r="P463" s="256" t="s">
        <v>1022</v>
      </c>
      <c r="Q463" s="256">
        <v>4</v>
      </c>
      <c r="R463" s="256" t="s">
        <v>757</v>
      </c>
    </row>
    <row r="464" ht="16.5" customHeight="1" spans="14:18">
      <c r="N464" s="256">
        <v>60461</v>
      </c>
      <c r="O464" s="256">
        <v>20</v>
      </c>
      <c r="P464" s="256" t="s">
        <v>1022</v>
      </c>
      <c r="Q464" s="256">
        <v>5</v>
      </c>
      <c r="R464" s="256" t="s">
        <v>757</v>
      </c>
    </row>
    <row r="465" ht="16.5" customHeight="1" spans="14:18">
      <c r="N465" s="256">
        <v>60462</v>
      </c>
      <c r="O465" s="256">
        <v>20</v>
      </c>
      <c r="P465" s="256" t="s">
        <v>1022</v>
      </c>
      <c r="Q465" s="256">
        <v>6</v>
      </c>
      <c r="R465" s="256" t="s">
        <v>757</v>
      </c>
    </row>
    <row r="466" ht="16.5" customHeight="1" spans="14:18">
      <c r="N466" s="256">
        <v>60463</v>
      </c>
      <c r="O466" s="256">
        <v>20</v>
      </c>
      <c r="P466" s="256" t="s">
        <v>1022</v>
      </c>
      <c r="Q466" s="256">
        <v>1</v>
      </c>
      <c r="R466" s="256" t="s">
        <v>762</v>
      </c>
    </row>
    <row r="467" ht="16.5" customHeight="1" spans="14:18">
      <c r="N467" s="256">
        <v>60464</v>
      </c>
      <c r="O467" s="256">
        <v>20</v>
      </c>
      <c r="P467" s="256" t="s">
        <v>1022</v>
      </c>
      <c r="Q467" s="256">
        <v>2</v>
      </c>
      <c r="R467" s="256" t="s">
        <v>762</v>
      </c>
    </row>
    <row r="468" ht="16.5" customHeight="1" spans="14:18">
      <c r="N468" s="256">
        <v>60465</v>
      </c>
      <c r="O468" s="256">
        <v>20</v>
      </c>
      <c r="P468" s="256" t="s">
        <v>1022</v>
      </c>
      <c r="Q468" s="256">
        <v>3</v>
      </c>
      <c r="R468" s="256" t="s">
        <v>762</v>
      </c>
    </row>
    <row r="469" ht="16.5" customHeight="1" spans="14:18">
      <c r="N469" s="256">
        <v>60466</v>
      </c>
      <c r="O469" s="256">
        <v>20</v>
      </c>
      <c r="P469" s="256" t="s">
        <v>1022</v>
      </c>
      <c r="Q469" s="256">
        <v>4</v>
      </c>
      <c r="R469" s="256" t="s">
        <v>762</v>
      </c>
    </row>
    <row r="470" ht="16.5" customHeight="1" spans="14:18">
      <c r="N470" s="256">
        <v>60467</v>
      </c>
      <c r="O470" s="256">
        <v>20</v>
      </c>
      <c r="P470" s="256" t="s">
        <v>1022</v>
      </c>
      <c r="Q470" s="256">
        <v>5</v>
      </c>
      <c r="R470" s="256" t="s">
        <v>762</v>
      </c>
    </row>
    <row r="471" ht="16.5" customHeight="1" spans="14:18">
      <c r="N471" s="256">
        <v>60468</v>
      </c>
      <c r="O471" s="256">
        <v>20</v>
      </c>
      <c r="P471" s="256" t="s">
        <v>1022</v>
      </c>
      <c r="Q471" s="256">
        <v>6</v>
      </c>
      <c r="R471" s="256" t="s">
        <v>762</v>
      </c>
    </row>
    <row r="472" ht="16.5" customHeight="1" spans="14:18">
      <c r="N472" s="256">
        <v>60469</v>
      </c>
      <c r="O472" s="256">
        <v>20</v>
      </c>
      <c r="P472" s="256" t="s">
        <v>1022</v>
      </c>
      <c r="Q472" s="256">
        <v>1</v>
      </c>
      <c r="R472" s="256" t="s">
        <v>766</v>
      </c>
    </row>
    <row r="473" ht="16.5" customHeight="1" spans="14:18">
      <c r="N473" s="256">
        <v>60470</v>
      </c>
      <c r="O473" s="256">
        <v>20</v>
      </c>
      <c r="P473" s="256" t="s">
        <v>1022</v>
      </c>
      <c r="Q473" s="256">
        <v>2</v>
      </c>
      <c r="R473" s="256" t="s">
        <v>766</v>
      </c>
    </row>
    <row r="474" ht="16.5" customHeight="1" spans="14:18">
      <c r="N474" s="256">
        <v>60471</v>
      </c>
      <c r="O474" s="256">
        <v>20</v>
      </c>
      <c r="P474" s="256" t="s">
        <v>1022</v>
      </c>
      <c r="Q474" s="256">
        <v>3</v>
      </c>
      <c r="R474" s="256" t="s">
        <v>766</v>
      </c>
    </row>
    <row r="475" ht="16.5" customHeight="1" spans="14:18">
      <c r="N475" s="256">
        <v>60472</v>
      </c>
      <c r="O475" s="256">
        <v>20</v>
      </c>
      <c r="P475" s="256" t="s">
        <v>1022</v>
      </c>
      <c r="Q475" s="256">
        <v>4</v>
      </c>
      <c r="R475" s="256" t="s">
        <v>766</v>
      </c>
    </row>
    <row r="476" ht="16.5" customHeight="1" spans="14:18">
      <c r="N476" s="256">
        <v>60473</v>
      </c>
      <c r="O476" s="256">
        <v>20</v>
      </c>
      <c r="P476" s="256" t="s">
        <v>1022</v>
      </c>
      <c r="Q476" s="256">
        <v>5</v>
      </c>
      <c r="R476" s="256" t="s">
        <v>766</v>
      </c>
    </row>
    <row r="477" ht="16.5" customHeight="1" spans="14:18">
      <c r="N477" s="256">
        <v>60474</v>
      </c>
      <c r="O477" s="256">
        <v>20</v>
      </c>
      <c r="P477" s="256" t="s">
        <v>1022</v>
      </c>
      <c r="Q477" s="256">
        <v>6</v>
      </c>
      <c r="R477" s="256" t="s">
        <v>766</v>
      </c>
    </row>
    <row r="478" ht="16.5" customHeight="1" spans="14:18">
      <c r="N478" s="256">
        <v>60475</v>
      </c>
      <c r="O478" s="256">
        <v>20</v>
      </c>
      <c r="P478" s="256" t="s">
        <v>1022</v>
      </c>
      <c r="Q478" s="256">
        <v>1</v>
      </c>
      <c r="R478" s="256" t="s">
        <v>817</v>
      </c>
    </row>
    <row r="479" ht="16.5" customHeight="1" spans="14:18">
      <c r="N479" s="256">
        <v>60476</v>
      </c>
      <c r="O479" s="256">
        <v>20</v>
      </c>
      <c r="P479" s="256" t="s">
        <v>1022</v>
      </c>
      <c r="Q479" s="256">
        <v>2</v>
      </c>
      <c r="R479" s="256" t="s">
        <v>817</v>
      </c>
    </row>
    <row r="480" ht="16.5" customHeight="1" spans="14:18">
      <c r="N480" s="256">
        <v>60477</v>
      </c>
      <c r="O480" s="256">
        <v>20</v>
      </c>
      <c r="P480" s="256" t="s">
        <v>1022</v>
      </c>
      <c r="Q480" s="256">
        <v>3</v>
      </c>
      <c r="R480" s="256" t="s">
        <v>817</v>
      </c>
    </row>
    <row r="481" ht="16.5" customHeight="1" spans="14:18">
      <c r="N481" s="256">
        <v>60478</v>
      </c>
      <c r="O481" s="256">
        <v>20</v>
      </c>
      <c r="P481" s="256" t="s">
        <v>1022</v>
      </c>
      <c r="Q481" s="256">
        <v>4</v>
      </c>
      <c r="R481" s="256" t="s">
        <v>817</v>
      </c>
    </row>
    <row r="482" ht="16.5" customHeight="1" spans="14:18">
      <c r="N482" s="256">
        <v>60479</v>
      </c>
      <c r="O482" s="256">
        <v>20</v>
      </c>
      <c r="P482" s="256" t="s">
        <v>1022</v>
      </c>
      <c r="Q482" s="256">
        <v>5</v>
      </c>
      <c r="R482" s="256" t="s">
        <v>817</v>
      </c>
    </row>
    <row r="483" ht="16.5" customHeight="1" spans="14:18">
      <c r="N483" s="256">
        <v>60480</v>
      </c>
      <c r="O483" s="256">
        <v>20</v>
      </c>
      <c r="P483" s="256" t="s">
        <v>1022</v>
      </c>
      <c r="Q483" s="256">
        <v>6</v>
      </c>
      <c r="R483" s="256" t="s">
        <v>817</v>
      </c>
    </row>
    <row r="484" ht="16.5" customHeight="1" spans="14:18">
      <c r="N484" s="256">
        <v>60481</v>
      </c>
      <c r="O484" s="256">
        <v>21</v>
      </c>
      <c r="P484" s="256" t="s">
        <v>1023</v>
      </c>
      <c r="Q484" s="256">
        <v>1</v>
      </c>
      <c r="R484" s="256" t="s">
        <v>757</v>
      </c>
    </row>
    <row r="485" ht="16.5" customHeight="1" spans="14:18">
      <c r="N485" s="256">
        <v>60482</v>
      </c>
      <c r="O485" s="256">
        <v>21</v>
      </c>
      <c r="P485" s="256" t="s">
        <v>1023</v>
      </c>
      <c r="Q485" s="256">
        <v>2</v>
      </c>
      <c r="R485" s="256" t="s">
        <v>757</v>
      </c>
    </row>
    <row r="486" ht="16.5" customHeight="1" spans="14:18">
      <c r="N486" s="256">
        <v>60483</v>
      </c>
      <c r="O486" s="256">
        <v>21</v>
      </c>
      <c r="P486" s="256" t="s">
        <v>1023</v>
      </c>
      <c r="Q486" s="256">
        <v>3</v>
      </c>
      <c r="R486" s="256" t="s">
        <v>757</v>
      </c>
    </row>
    <row r="487" ht="16.5" customHeight="1" spans="14:18">
      <c r="N487" s="256">
        <v>60484</v>
      </c>
      <c r="O487" s="256">
        <v>21</v>
      </c>
      <c r="P487" s="256" t="s">
        <v>1023</v>
      </c>
      <c r="Q487" s="256">
        <v>4</v>
      </c>
      <c r="R487" s="256" t="s">
        <v>757</v>
      </c>
    </row>
    <row r="488" ht="16.5" customHeight="1" spans="14:18">
      <c r="N488" s="256">
        <v>60485</v>
      </c>
      <c r="O488" s="256">
        <v>21</v>
      </c>
      <c r="P488" s="256" t="s">
        <v>1023</v>
      </c>
      <c r="Q488" s="256">
        <v>5</v>
      </c>
      <c r="R488" s="256" t="s">
        <v>757</v>
      </c>
    </row>
    <row r="489" ht="16.5" customHeight="1" spans="14:18">
      <c r="N489" s="256">
        <v>60486</v>
      </c>
      <c r="O489" s="256">
        <v>21</v>
      </c>
      <c r="P489" s="256" t="s">
        <v>1023</v>
      </c>
      <c r="Q489" s="256">
        <v>6</v>
      </c>
      <c r="R489" s="256" t="s">
        <v>757</v>
      </c>
    </row>
    <row r="490" ht="16.5" customHeight="1" spans="14:18">
      <c r="N490" s="256">
        <v>60487</v>
      </c>
      <c r="O490" s="256">
        <v>21</v>
      </c>
      <c r="P490" s="256" t="s">
        <v>1023</v>
      </c>
      <c r="Q490" s="256">
        <v>1</v>
      </c>
      <c r="R490" s="256" t="s">
        <v>762</v>
      </c>
    </row>
    <row r="491" ht="16.5" customHeight="1" spans="14:18">
      <c r="N491" s="256">
        <v>60488</v>
      </c>
      <c r="O491" s="256">
        <v>21</v>
      </c>
      <c r="P491" s="256" t="s">
        <v>1023</v>
      </c>
      <c r="Q491" s="256">
        <v>2</v>
      </c>
      <c r="R491" s="256" t="s">
        <v>762</v>
      </c>
    </row>
    <row r="492" ht="16.5" customHeight="1" spans="14:18">
      <c r="N492" s="256">
        <v>60489</v>
      </c>
      <c r="O492" s="256">
        <v>21</v>
      </c>
      <c r="P492" s="256" t="s">
        <v>1023</v>
      </c>
      <c r="Q492" s="256">
        <v>3</v>
      </c>
      <c r="R492" s="256" t="s">
        <v>762</v>
      </c>
    </row>
    <row r="493" ht="16.5" customHeight="1" spans="14:18">
      <c r="N493" s="256">
        <v>60490</v>
      </c>
      <c r="O493" s="256">
        <v>21</v>
      </c>
      <c r="P493" s="256" t="s">
        <v>1023</v>
      </c>
      <c r="Q493" s="256">
        <v>4</v>
      </c>
      <c r="R493" s="256" t="s">
        <v>762</v>
      </c>
    </row>
    <row r="494" ht="16.5" customHeight="1" spans="14:18">
      <c r="N494" s="256">
        <v>60491</v>
      </c>
      <c r="O494" s="256">
        <v>21</v>
      </c>
      <c r="P494" s="256" t="s">
        <v>1023</v>
      </c>
      <c r="Q494" s="256">
        <v>5</v>
      </c>
      <c r="R494" s="256" t="s">
        <v>762</v>
      </c>
    </row>
    <row r="495" ht="16.5" customHeight="1" spans="14:18">
      <c r="N495" s="256">
        <v>60492</v>
      </c>
      <c r="O495" s="256">
        <v>21</v>
      </c>
      <c r="P495" s="256" t="s">
        <v>1023</v>
      </c>
      <c r="Q495" s="256">
        <v>6</v>
      </c>
      <c r="R495" s="256" t="s">
        <v>762</v>
      </c>
    </row>
    <row r="496" ht="16.5" customHeight="1" spans="14:18">
      <c r="N496" s="256">
        <v>60493</v>
      </c>
      <c r="O496" s="256">
        <v>21</v>
      </c>
      <c r="P496" s="256" t="s">
        <v>1023</v>
      </c>
      <c r="Q496" s="256">
        <v>1</v>
      </c>
      <c r="R496" s="256" t="s">
        <v>766</v>
      </c>
    </row>
    <row r="497" ht="16.5" customHeight="1" spans="14:18">
      <c r="N497" s="256">
        <v>60494</v>
      </c>
      <c r="O497" s="256">
        <v>21</v>
      </c>
      <c r="P497" s="256" t="s">
        <v>1023</v>
      </c>
      <c r="Q497" s="256">
        <v>2</v>
      </c>
      <c r="R497" s="256" t="s">
        <v>766</v>
      </c>
    </row>
    <row r="498" ht="16.5" customHeight="1" spans="14:18">
      <c r="N498" s="256">
        <v>60495</v>
      </c>
      <c r="O498" s="256">
        <v>21</v>
      </c>
      <c r="P498" s="256" t="s">
        <v>1023</v>
      </c>
      <c r="Q498" s="256">
        <v>3</v>
      </c>
      <c r="R498" s="256" t="s">
        <v>766</v>
      </c>
    </row>
    <row r="499" ht="16.5" customHeight="1" spans="14:18">
      <c r="N499" s="256">
        <v>60496</v>
      </c>
      <c r="O499" s="256">
        <v>21</v>
      </c>
      <c r="P499" s="256" t="s">
        <v>1023</v>
      </c>
      <c r="Q499" s="256">
        <v>4</v>
      </c>
      <c r="R499" s="256" t="s">
        <v>766</v>
      </c>
    </row>
    <row r="500" ht="16.5" customHeight="1" spans="14:18">
      <c r="N500" s="256">
        <v>60497</v>
      </c>
      <c r="O500" s="256">
        <v>21</v>
      </c>
      <c r="P500" s="256" t="s">
        <v>1023</v>
      </c>
      <c r="Q500" s="256">
        <v>5</v>
      </c>
      <c r="R500" s="256" t="s">
        <v>766</v>
      </c>
    </row>
    <row r="501" ht="16.5" customHeight="1" spans="14:18">
      <c r="N501" s="256">
        <v>60498</v>
      </c>
      <c r="O501" s="256">
        <v>21</v>
      </c>
      <c r="P501" s="256" t="s">
        <v>1023</v>
      </c>
      <c r="Q501" s="256">
        <v>6</v>
      </c>
      <c r="R501" s="256" t="s">
        <v>766</v>
      </c>
    </row>
    <row r="502" ht="16.5" customHeight="1" spans="14:18">
      <c r="N502" s="256">
        <v>60499</v>
      </c>
      <c r="O502" s="256">
        <v>21</v>
      </c>
      <c r="P502" s="256" t="s">
        <v>1023</v>
      </c>
      <c r="Q502" s="256">
        <v>1</v>
      </c>
      <c r="R502" s="256" t="s">
        <v>817</v>
      </c>
    </row>
    <row r="503" ht="16.5" customHeight="1" spans="14:18">
      <c r="N503" s="256">
        <v>60500</v>
      </c>
      <c r="O503" s="256">
        <v>21</v>
      </c>
      <c r="P503" s="256" t="s">
        <v>1023</v>
      </c>
      <c r="Q503" s="256">
        <v>2</v>
      </c>
      <c r="R503" s="256" t="s">
        <v>817</v>
      </c>
    </row>
    <row r="504" ht="16.5" customHeight="1" spans="14:18">
      <c r="N504" s="256">
        <v>60501</v>
      </c>
      <c r="O504" s="256">
        <v>21</v>
      </c>
      <c r="P504" s="256" t="s">
        <v>1023</v>
      </c>
      <c r="Q504" s="256">
        <v>3</v>
      </c>
      <c r="R504" s="256" t="s">
        <v>817</v>
      </c>
    </row>
    <row r="505" ht="16.5" customHeight="1" spans="14:18">
      <c r="N505" s="256">
        <v>60502</v>
      </c>
      <c r="O505" s="256">
        <v>21</v>
      </c>
      <c r="P505" s="256" t="s">
        <v>1023</v>
      </c>
      <c r="Q505" s="256">
        <v>4</v>
      </c>
      <c r="R505" s="256" t="s">
        <v>817</v>
      </c>
    </row>
    <row r="506" ht="16.5" customHeight="1" spans="14:18">
      <c r="N506" s="256">
        <v>60503</v>
      </c>
      <c r="O506" s="256">
        <v>21</v>
      </c>
      <c r="P506" s="256" t="s">
        <v>1023</v>
      </c>
      <c r="Q506" s="256">
        <v>5</v>
      </c>
      <c r="R506" s="256" t="s">
        <v>817</v>
      </c>
    </row>
    <row r="507" ht="16.5" customHeight="1" spans="14:18">
      <c r="N507" s="256">
        <v>60504</v>
      </c>
      <c r="O507" s="256">
        <v>21</v>
      </c>
      <c r="P507" s="256" t="s">
        <v>1023</v>
      </c>
      <c r="Q507" s="256">
        <v>6</v>
      </c>
      <c r="R507" s="256" t="s">
        <v>817</v>
      </c>
    </row>
    <row r="508" ht="16.5" customHeight="1" spans="14:18">
      <c r="N508" s="256">
        <v>60505</v>
      </c>
      <c r="O508" s="256">
        <v>22</v>
      </c>
      <c r="P508" s="256" t="s">
        <v>1024</v>
      </c>
      <c r="Q508" s="256">
        <v>1</v>
      </c>
      <c r="R508" s="256" t="s">
        <v>757</v>
      </c>
    </row>
    <row r="509" ht="16.5" customHeight="1" spans="14:18">
      <c r="N509" s="256">
        <v>60506</v>
      </c>
      <c r="O509" s="256">
        <v>22</v>
      </c>
      <c r="P509" s="256" t="s">
        <v>1024</v>
      </c>
      <c r="Q509" s="256">
        <v>2</v>
      </c>
      <c r="R509" s="256" t="s">
        <v>757</v>
      </c>
    </row>
    <row r="510" ht="16.5" customHeight="1" spans="14:18">
      <c r="N510" s="256">
        <v>60507</v>
      </c>
      <c r="O510" s="256">
        <v>22</v>
      </c>
      <c r="P510" s="256" t="s">
        <v>1024</v>
      </c>
      <c r="Q510" s="256">
        <v>3</v>
      </c>
      <c r="R510" s="256" t="s">
        <v>757</v>
      </c>
    </row>
    <row r="511" ht="16.5" customHeight="1" spans="14:18">
      <c r="N511" s="256">
        <v>60508</v>
      </c>
      <c r="O511" s="256">
        <v>22</v>
      </c>
      <c r="P511" s="256" t="s">
        <v>1024</v>
      </c>
      <c r="Q511" s="256">
        <v>4</v>
      </c>
      <c r="R511" s="256" t="s">
        <v>757</v>
      </c>
    </row>
    <row r="512" ht="16.5" customHeight="1" spans="14:18">
      <c r="N512" s="256">
        <v>60509</v>
      </c>
      <c r="O512" s="256">
        <v>22</v>
      </c>
      <c r="P512" s="256" t="s">
        <v>1024</v>
      </c>
      <c r="Q512" s="256">
        <v>5</v>
      </c>
      <c r="R512" s="256" t="s">
        <v>757</v>
      </c>
    </row>
    <row r="513" ht="16.5" customHeight="1" spans="14:18">
      <c r="N513" s="256">
        <v>60510</v>
      </c>
      <c r="O513" s="256">
        <v>22</v>
      </c>
      <c r="P513" s="256" t="s">
        <v>1024</v>
      </c>
      <c r="Q513" s="256">
        <v>6</v>
      </c>
      <c r="R513" s="256" t="s">
        <v>757</v>
      </c>
    </row>
    <row r="514" ht="16.5" customHeight="1" spans="14:18">
      <c r="N514" s="256">
        <v>60511</v>
      </c>
      <c r="O514" s="256">
        <v>22</v>
      </c>
      <c r="P514" s="256" t="s">
        <v>1024</v>
      </c>
      <c r="Q514" s="256">
        <v>1</v>
      </c>
      <c r="R514" s="256" t="s">
        <v>762</v>
      </c>
    </row>
    <row r="515" ht="16.5" customHeight="1" spans="14:18">
      <c r="N515" s="256">
        <v>60512</v>
      </c>
      <c r="O515" s="256">
        <v>22</v>
      </c>
      <c r="P515" s="256" t="s">
        <v>1024</v>
      </c>
      <c r="Q515" s="256">
        <v>2</v>
      </c>
      <c r="R515" s="256" t="s">
        <v>762</v>
      </c>
    </row>
    <row r="516" ht="16.5" customHeight="1" spans="14:18">
      <c r="N516" s="256">
        <v>60513</v>
      </c>
      <c r="O516" s="256">
        <v>22</v>
      </c>
      <c r="P516" s="256" t="s">
        <v>1024</v>
      </c>
      <c r="Q516" s="256">
        <v>3</v>
      </c>
      <c r="R516" s="256" t="s">
        <v>762</v>
      </c>
    </row>
    <row r="517" ht="16.5" customHeight="1" spans="14:18">
      <c r="N517" s="256">
        <v>60514</v>
      </c>
      <c r="O517" s="256">
        <v>22</v>
      </c>
      <c r="P517" s="256" t="s">
        <v>1024</v>
      </c>
      <c r="Q517" s="256">
        <v>4</v>
      </c>
      <c r="R517" s="256" t="s">
        <v>762</v>
      </c>
    </row>
    <row r="518" ht="16.5" customHeight="1" spans="14:18">
      <c r="N518" s="256">
        <v>60515</v>
      </c>
      <c r="O518" s="256">
        <v>22</v>
      </c>
      <c r="P518" s="256" t="s">
        <v>1024</v>
      </c>
      <c r="Q518" s="256">
        <v>5</v>
      </c>
      <c r="R518" s="256" t="s">
        <v>762</v>
      </c>
    </row>
    <row r="519" ht="16.5" customHeight="1" spans="14:18">
      <c r="N519" s="256">
        <v>60516</v>
      </c>
      <c r="O519" s="256">
        <v>22</v>
      </c>
      <c r="P519" s="256" t="s">
        <v>1024</v>
      </c>
      <c r="Q519" s="256">
        <v>6</v>
      </c>
      <c r="R519" s="256" t="s">
        <v>762</v>
      </c>
    </row>
    <row r="520" ht="16.5" customHeight="1" spans="14:18">
      <c r="N520" s="256">
        <v>60517</v>
      </c>
      <c r="O520" s="256">
        <v>22</v>
      </c>
      <c r="P520" s="256" t="s">
        <v>1024</v>
      </c>
      <c r="Q520" s="256">
        <v>1</v>
      </c>
      <c r="R520" s="256" t="s">
        <v>766</v>
      </c>
    </row>
    <row r="521" ht="16.5" customHeight="1" spans="14:18">
      <c r="N521" s="256">
        <v>60518</v>
      </c>
      <c r="O521" s="256">
        <v>22</v>
      </c>
      <c r="P521" s="256" t="s">
        <v>1024</v>
      </c>
      <c r="Q521" s="256">
        <v>2</v>
      </c>
      <c r="R521" s="256" t="s">
        <v>766</v>
      </c>
    </row>
    <row r="522" ht="16.5" customHeight="1" spans="14:18">
      <c r="N522" s="256">
        <v>60519</v>
      </c>
      <c r="O522" s="256">
        <v>22</v>
      </c>
      <c r="P522" s="256" t="s">
        <v>1024</v>
      </c>
      <c r="Q522" s="256">
        <v>3</v>
      </c>
      <c r="R522" s="256" t="s">
        <v>766</v>
      </c>
    </row>
    <row r="523" ht="16.5" customHeight="1" spans="14:18">
      <c r="N523" s="256">
        <v>60520</v>
      </c>
      <c r="O523" s="256">
        <v>22</v>
      </c>
      <c r="P523" s="256" t="s">
        <v>1024</v>
      </c>
      <c r="Q523" s="256">
        <v>4</v>
      </c>
      <c r="R523" s="256" t="s">
        <v>766</v>
      </c>
    </row>
    <row r="524" ht="16.5" customHeight="1" spans="14:18">
      <c r="N524" s="256">
        <v>60521</v>
      </c>
      <c r="O524" s="256">
        <v>22</v>
      </c>
      <c r="P524" s="256" t="s">
        <v>1024</v>
      </c>
      <c r="Q524" s="256">
        <v>5</v>
      </c>
      <c r="R524" s="256" t="s">
        <v>766</v>
      </c>
    </row>
    <row r="525" ht="16.5" customHeight="1" spans="14:18">
      <c r="N525" s="256">
        <v>60522</v>
      </c>
      <c r="O525" s="256">
        <v>22</v>
      </c>
      <c r="P525" s="256" t="s">
        <v>1024</v>
      </c>
      <c r="Q525" s="256">
        <v>6</v>
      </c>
      <c r="R525" s="256" t="s">
        <v>766</v>
      </c>
    </row>
    <row r="526" ht="16.5" customHeight="1" spans="14:18">
      <c r="N526" s="256">
        <v>60523</v>
      </c>
      <c r="O526" s="256">
        <v>22</v>
      </c>
      <c r="P526" s="256" t="s">
        <v>1024</v>
      </c>
      <c r="Q526" s="256">
        <v>1</v>
      </c>
      <c r="R526" s="256" t="s">
        <v>817</v>
      </c>
    </row>
    <row r="527" ht="16.5" customHeight="1" spans="14:18">
      <c r="N527" s="256">
        <v>60524</v>
      </c>
      <c r="O527" s="256">
        <v>22</v>
      </c>
      <c r="P527" s="256" t="s">
        <v>1024</v>
      </c>
      <c r="Q527" s="256">
        <v>2</v>
      </c>
      <c r="R527" s="256" t="s">
        <v>817</v>
      </c>
    </row>
    <row r="528" ht="16.5" customHeight="1" spans="14:18">
      <c r="N528" s="256">
        <v>60525</v>
      </c>
      <c r="O528" s="256">
        <v>22</v>
      </c>
      <c r="P528" s="256" t="s">
        <v>1024</v>
      </c>
      <c r="Q528" s="256">
        <v>3</v>
      </c>
      <c r="R528" s="256" t="s">
        <v>817</v>
      </c>
    </row>
    <row r="529" ht="16.5" customHeight="1" spans="14:18">
      <c r="N529" s="256">
        <v>60526</v>
      </c>
      <c r="O529" s="256">
        <v>22</v>
      </c>
      <c r="P529" s="256" t="s">
        <v>1024</v>
      </c>
      <c r="Q529" s="256">
        <v>4</v>
      </c>
      <c r="R529" s="256" t="s">
        <v>817</v>
      </c>
    </row>
    <row r="530" ht="16.5" customHeight="1" spans="14:18">
      <c r="N530" s="256">
        <v>60527</v>
      </c>
      <c r="O530" s="256">
        <v>22</v>
      </c>
      <c r="P530" s="256" t="s">
        <v>1024</v>
      </c>
      <c r="Q530" s="256">
        <v>5</v>
      </c>
      <c r="R530" s="256" t="s">
        <v>817</v>
      </c>
    </row>
    <row r="531" ht="16.5" customHeight="1" spans="14:18">
      <c r="N531" s="256">
        <v>60528</v>
      </c>
      <c r="O531" s="256">
        <v>22</v>
      </c>
      <c r="P531" s="256" t="s">
        <v>1024</v>
      </c>
      <c r="Q531" s="256">
        <v>6</v>
      </c>
      <c r="R531" s="256" t="s">
        <v>817</v>
      </c>
    </row>
    <row r="532" ht="16.5" customHeight="1" spans="14:18">
      <c r="N532" s="256">
        <v>60529</v>
      </c>
      <c r="O532" s="256">
        <v>23</v>
      </c>
      <c r="P532" s="256" t="s">
        <v>1025</v>
      </c>
      <c r="Q532" s="256">
        <v>1</v>
      </c>
      <c r="R532" s="256" t="s">
        <v>757</v>
      </c>
    </row>
    <row r="533" ht="16.5" customHeight="1" spans="14:18">
      <c r="N533" s="256">
        <v>60530</v>
      </c>
      <c r="O533" s="256">
        <v>23</v>
      </c>
      <c r="P533" s="256" t="s">
        <v>1025</v>
      </c>
      <c r="Q533" s="256">
        <v>2</v>
      </c>
      <c r="R533" s="256" t="s">
        <v>757</v>
      </c>
    </row>
    <row r="534" ht="16.5" customHeight="1" spans="14:18">
      <c r="N534" s="256">
        <v>60531</v>
      </c>
      <c r="O534" s="256">
        <v>23</v>
      </c>
      <c r="P534" s="256" t="s">
        <v>1025</v>
      </c>
      <c r="Q534" s="256">
        <v>3</v>
      </c>
      <c r="R534" s="256" t="s">
        <v>757</v>
      </c>
    </row>
    <row r="535" ht="16.5" customHeight="1" spans="14:18">
      <c r="N535" s="256">
        <v>60532</v>
      </c>
      <c r="O535" s="256">
        <v>23</v>
      </c>
      <c r="P535" s="256" t="s">
        <v>1025</v>
      </c>
      <c r="Q535" s="256">
        <v>4</v>
      </c>
      <c r="R535" s="256" t="s">
        <v>757</v>
      </c>
    </row>
    <row r="536" ht="16.5" customHeight="1" spans="14:18">
      <c r="N536" s="256">
        <v>60533</v>
      </c>
      <c r="O536" s="256">
        <v>23</v>
      </c>
      <c r="P536" s="256" t="s">
        <v>1025</v>
      </c>
      <c r="Q536" s="256">
        <v>5</v>
      </c>
      <c r="R536" s="256" t="s">
        <v>757</v>
      </c>
    </row>
    <row r="537" ht="16.5" customHeight="1" spans="14:18">
      <c r="N537" s="256">
        <v>60534</v>
      </c>
      <c r="O537" s="256">
        <v>23</v>
      </c>
      <c r="P537" s="256" t="s">
        <v>1025</v>
      </c>
      <c r="Q537" s="256">
        <v>6</v>
      </c>
      <c r="R537" s="256" t="s">
        <v>757</v>
      </c>
    </row>
    <row r="538" ht="16.5" customHeight="1" spans="14:18">
      <c r="N538" s="256">
        <v>60535</v>
      </c>
      <c r="O538" s="256">
        <v>23</v>
      </c>
      <c r="P538" s="256" t="s">
        <v>1025</v>
      </c>
      <c r="Q538" s="256">
        <v>1</v>
      </c>
      <c r="R538" s="256" t="s">
        <v>762</v>
      </c>
    </row>
    <row r="539" ht="16.5" customHeight="1" spans="14:18">
      <c r="N539" s="256">
        <v>60536</v>
      </c>
      <c r="O539" s="256">
        <v>23</v>
      </c>
      <c r="P539" s="256" t="s">
        <v>1025</v>
      </c>
      <c r="Q539" s="256">
        <v>2</v>
      </c>
      <c r="R539" s="256" t="s">
        <v>762</v>
      </c>
    </row>
    <row r="540" ht="16.5" customHeight="1" spans="14:18">
      <c r="N540" s="256">
        <v>60537</v>
      </c>
      <c r="O540" s="256">
        <v>23</v>
      </c>
      <c r="P540" s="256" t="s">
        <v>1025</v>
      </c>
      <c r="Q540" s="256">
        <v>3</v>
      </c>
      <c r="R540" s="256" t="s">
        <v>762</v>
      </c>
    </row>
    <row r="541" ht="16.5" customHeight="1" spans="14:18">
      <c r="N541" s="256">
        <v>60538</v>
      </c>
      <c r="O541" s="256">
        <v>23</v>
      </c>
      <c r="P541" s="256" t="s">
        <v>1025</v>
      </c>
      <c r="Q541" s="256">
        <v>4</v>
      </c>
      <c r="R541" s="256" t="s">
        <v>762</v>
      </c>
    </row>
    <row r="542" ht="16.5" customHeight="1" spans="14:18">
      <c r="N542" s="256">
        <v>60539</v>
      </c>
      <c r="O542" s="256">
        <v>23</v>
      </c>
      <c r="P542" s="256" t="s">
        <v>1025</v>
      </c>
      <c r="Q542" s="256">
        <v>5</v>
      </c>
      <c r="R542" s="256" t="s">
        <v>762</v>
      </c>
    </row>
    <row r="543" ht="16.5" customHeight="1" spans="14:18">
      <c r="N543" s="256">
        <v>60540</v>
      </c>
      <c r="O543" s="256">
        <v>23</v>
      </c>
      <c r="P543" s="256" t="s">
        <v>1025</v>
      </c>
      <c r="Q543" s="256">
        <v>6</v>
      </c>
      <c r="R543" s="256" t="s">
        <v>762</v>
      </c>
    </row>
    <row r="544" ht="16.5" customHeight="1" spans="14:18">
      <c r="N544" s="256">
        <v>60541</v>
      </c>
      <c r="O544" s="256">
        <v>23</v>
      </c>
      <c r="P544" s="256" t="s">
        <v>1025</v>
      </c>
      <c r="Q544" s="256">
        <v>1</v>
      </c>
      <c r="R544" s="256" t="s">
        <v>766</v>
      </c>
    </row>
    <row r="545" ht="16.5" customHeight="1" spans="14:18">
      <c r="N545" s="256">
        <v>60542</v>
      </c>
      <c r="O545" s="256">
        <v>23</v>
      </c>
      <c r="P545" s="256" t="s">
        <v>1025</v>
      </c>
      <c r="Q545" s="256">
        <v>2</v>
      </c>
      <c r="R545" s="256" t="s">
        <v>766</v>
      </c>
    </row>
    <row r="546" ht="16.5" customHeight="1" spans="14:18">
      <c r="N546" s="256">
        <v>60543</v>
      </c>
      <c r="O546" s="256">
        <v>23</v>
      </c>
      <c r="P546" s="256" t="s">
        <v>1025</v>
      </c>
      <c r="Q546" s="256">
        <v>3</v>
      </c>
      <c r="R546" s="256" t="s">
        <v>766</v>
      </c>
    </row>
    <row r="547" ht="16.5" customHeight="1" spans="14:18">
      <c r="N547" s="256">
        <v>60544</v>
      </c>
      <c r="O547" s="256">
        <v>23</v>
      </c>
      <c r="P547" s="256" t="s">
        <v>1025</v>
      </c>
      <c r="Q547" s="256">
        <v>4</v>
      </c>
      <c r="R547" s="256" t="s">
        <v>766</v>
      </c>
    </row>
    <row r="548" ht="16.5" customHeight="1" spans="14:18">
      <c r="N548" s="256">
        <v>60545</v>
      </c>
      <c r="O548" s="256">
        <v>23</v>
      </c>
      <c r="P548" s="256" t="s">
        <v>1025</v>
      </c>
      <c r="Q548" s="256">
        <v>5</v>
      </c>
      <c r="R548" s="256" t="s">
        <v>766</v>
      </c>
    </row>
    <row r="549" ht="16.5" customHeight="1" spans="14:18">
      <c r="N549" s="256">
        <v>60546</v>
      </c>
      <c r="O549" s="256">
        <v>23</v>
      </c>
      <c r="P549" s="256" t="s">
        <v>1025</v>
      </c>
      <c r="Q549" s="256">
        <v>6</v>
      </c>
      <c r="R549" s="256" t="s">
        <v>766</v>
      </c>
    </row>
    <row r="550" ht="16.5" customHeight="1" spans="14:18">
      <c r="N550" s="256">
        <v>60547</v>
      </c>
      <c r="O550" s="256">
        <v>23</v>
      </c>
      <c r="P550" s="256" t="s">
        <v>1025</v>
      </c>
      <c r="Q550" s="256">
        <v>1</v>
      </c>
      <c r="R550" s="256" t="s">
        <v>817</v>
      </c>
    </row>
    <row r="551" ht="16.5" customHeight="1" spans="14:18">
      <c r="N551" s="256">
        <v>60548</v>
      </c>
      <c r="O551" s="256">
        <v>23</v>
      </c>
      <c r="P551" s="256" t="s">
        <v>1025</v>
      </c>
      <c r="Q551" s="256">
        <v>2</v>
      </c>
      <c r="R551" s="256" t="s">
        <v>817</v>
      </c>
    </row>
    <row r="552" ht="16.5" customHeight="1" spans="14:18">
      <c r="N552" s="256">
        <v>60549</v>
      </c>
      <c r="O552" s="256">
        <v>23</v>
      </c>
      <c r="P552" s="256" t="s">
        <v>1025</v>
      </c>
      <c r="Q552" s="256">
        <v>3</v>
      </c>
      <c r="R552" s="256" t="s">
        <v>817</v>
      </c>
    </row>
    <row r="553" ht="16.5" customHeight="1" spans="14:18">
      <c r="N553" s="256">
        <v>60550</v>
      </c>
      <c r="O553" s="256">
        <v>23</v>
      </c>
      <c r="P553" s="256" t="s">
        <v>1025</v>
      </c>
      <c r="Q553" s="256">
        <v>4</v>
      </c>
      <c r="R553" s="256" t="s">
        <v>817</v>
      </c>
    </row>
    <row r="554" ht="16.5" customHeight="1" spans="14:18">
      <c r="N554" s="256">
        <v>60551</v>
      </c>
      <c r="O554" s="256">
        <v>23</v>
      </c>
      <c r="P554" s="256" t="s">
        <v>1025</v>
      </c>
      <c r="Q554" s="256">
        <v>5</v>
      </c>
      <c r="R554" s="256" t="s">
        <v>817</v>
      </c>
    </row>
    <row r="555" ht="16.5" customHeight="1" spans="14:18">
      <c r="N555" s="256">
        <v>60552</v>
      </c>
      <c r="O555" s="256">
        <v>23</v>
      </c>
      <c r="P555" s="256" t="s">
        <v>1025</v>
      </c>
      <c r="Q555" s="256">
        <v>6</v>
      </c>
      <c r="R555" s="256" t="s">
        <v>817</v>
      </c>
    </row>
    <row r="556" ht="16.5" customHeight="1" spans="14:18">
      <c r="N556" s="256">
        <v>60553</v>
      </c>
      <c r="O556" s="256">
        <v>24</v>
      </c>
      <c r="P556" s="256" t="s">
        <v>1026</v>
      </c>
      <c r="Q556" s="256">
        <v>1</v>
      </c>
      <c r="R556" s="256" t="s">
        <v>757</v>
      </c>
    </row>
    <row r="557" ht="16.5" customHeight="1" spans="14:18">
      <c r="N557" s="256">
        <v>60554</v>
      </c>
      <c r="O557" s="256">
        <v>24</v>
      </c>
      <c r="P557" s="256" t="s">
        <v>1026</v>
      </c>
      <c r="Q557" s="256">
        <v>2</v>
      </c>
      <c r="R557" s="256" t="s">
        <v>757</v>
      </c>
    </row>
    <row r="558" ht="16.5" customHeight="1" spans="14:18">
      <c r="N558" s="256">
        <v>60555</v>
      </c>
      <c r="O558" s="256">
        <v>24</v>
      </c>
      <c r="P558" s="256" t="s">
        <v>1026</v>
      </c>
      <c r="Q558" s="256">
        <v>3</v>
      </c>
      <c r="R558" s="256" t="s">
        <v>757</v>
      </c>
    </row>
    <row r="559" ht="16.5" customHeight="1" spans="14:18">
      <c r="N559" s="256">
        <v>60556</v>
      </c>
      <c r="O559" s="256">
        <v>24</v>
      </c>
      <c r="P559" s="256" t="s">
        <v>1026</v>
      </c>
      <c r="Q559" s="256">
        <v>4</v>
      </c>
      <c r="R559" s="256" t="s">
        <v>757</v>
      </c>
    </row>
    <row r="560" ht="16.5" customHeight="1" spans="14:18">
      <c r="N560" s="256">
        <v>60557</v>
      </c>
      <c r="O560" s="256">
        <v>24</v>
      </c>
      <c r="P560" s="256" t="s">
        <v>1026</v>
      </c>
      <c r="Q560" s="256">
        <v>5</v>
      </c>
      <c r="R560" s="256" t="s">
        <v>757</v>
      </c>
    </row>
    <row r="561" ht="16.5" customHeight="1" spans="14:18">
      <c r="N561" s="256">
        <v>60558</v>
      </c>
      <c r="O561" s="256">
        <v>24</v>
      </c>
      <c r="P561" s="256" t="s">
        <v>1026</v>
      </c>
      <c r="Q561" s="256">
        <v>6</v>
      </c>
      <c r="R561" s="256" t="s">
        <v>757</v>
      </c>
    </row>
    <row r="562" ht="16.5" customHeight="1" spans="14:18">
      <c r="N562" s="256">
        <v>60559</v>
      </c>
      <c r="O562" s="256">
        <v>24</v>
      </c>
      <c r="P562" s="256" t="s">
        <v>1026</v>
      </c>
      <c r="Q562" s="256">
        <v>1</v>
      </c>
      <c r="R562" s="256" t="s">
        <v>762</v>
      </c>
    </row>
    <row r="563" ht="16.5" customHeight="1" spans="14:18">
      <c r="N563" s="256">
        <v>60560</v>
      </c>
      <c r="O563" s="256">
        <v>24</v>
      </c>
      <c r="P563" s="256" t="s">
        <v>1026</v>
      </c>
      <c r="Q563" s="256">
        <v>2</v>
      </c>
      <c r="R563" s="256" t="s">
        <v>762</v>
      </c>
    </row>
    <row r="564" ht="16.5" customHeight="1" spans="14:18">
      <c r="N564" s="256">
        <v>60561</v>
      </c>
      <c r="O564" s="256">
        <v>24</v>
      </c>
      <c r="P564" s="256" t="s">
        <v>1026</v>
      </c>
      <c r="Q564" s="256">
        <v>3</v>
      </c>
      <c r="R564" s="256" t="s">
        <v>762</v>
      </c>
    </row>
    <row r="565" ht="16.5" customHeight="1" spans="14:18">
      <c r="N565" s="256">
        <v>60562</v>
      </c>
      <c r="O565" s="256">
        <v>24</v>
      </c>
      <c r="P565" s="256" t="s">
        <v>1026</v>
      </c>
      <c r="Q565" s="256">
        <v>4</v>
      </c>
      <c r="R565" s="256" t="s">
        <v>762</v>
      </c>
    </row>
    <row r="566" ht="16.5" customHeight="1" spans="14:18">
      <c r="N566" s="256">
        <v>60563</v>
      </c>
      <c r="O566" s="256">
        <v>24</v>
      </c>
      <c r="P566" s="256" t="s">
        <v>1026</v>
      </c>
      <c r="Q566" s="256">
        <v>5</v>
      </c>
      <c r="R566" s="256" t="s">
        <v>762</v>
      </c>
    </row>
    <row r="567" ht="16.5" customHeight="1" spans="14:18">
      <c r="N567" s="256">
        <v>60564</v>
      </c>
      <c r="O567" s="256">
        <v>24</v>
      </c>
      <c r="P567" s="256" t="s">
        <v>1026</v>
      </c>
      <c r="Q567" s="256">
        <v>6</v>
      </c>
      <c r="R567" s="256" t="s">
        <v>762</v>
      </c>
    </row>
    <row r="568" ht="16.5" customHeight="1" spans="14:18">
      <c r="N568" s="256">
        <v>60565</v>
      </c>
      <c r="O568" s="256">
        <v>24</v>
      </c>
      <c r="P568" s="256" t="s">
        <v>1026</v>
      </c>
      <c r="Q568" s="256">
        <v>1</v>
      </c>
      <c r="R568" s="256" t="s">
        <v>766</v>
      </c>
    </row>
    <row r="569" ht="16.5" customHeight="1" spans="14:18">
      <c r="N569" s="256">
        <v>60566</v>
      </c>
      <c r="O569" s="256">
        <v>24</v>
      </c>
      <c r="P569" s="256" t="s">
        <v>1026</v>
      </c>
      <c r="Q569" s="256">
        <v>2</v>
      </c>
      <c r="R569" s="256" t="s">
        <v>766</v>
      </c>
    </row>
    <row r="570" ht="16.5" customHeight="1" spans="14:18">
      <c r="N570" s="256">
        <v>60567</v>
      </c>
      <c r="O570" s="256">
        <v>24</v>
      </c>
      <c r="P570" s="256" t="s">
        <v>1026</v>
      </c>
      <c r="Q570" s="256">
        <v>3</v>
      </c>
      <c r="R570" s="256" t="s">
        <v>766</v>
      </c>
    </row>
    <row r="571" ht="16.5" customHeight="1" spans="14:18">
      <c r="N571" s="256">
        <v>60568</v>
      </c>
      <c r="O571" s="256">
        <v>24</v>
      </c>
      <c r="P571" s="256" t="s">
        <v>1026</v>
      </c>
      <c r="Q571" s="256">
        <v>4</v>
      </c>
      <c r="R571" s="256" t="s">
        <v>766</v>
      </c>
    </row>
    <row r="572" ht="16.5" customHeight="1" spans="14:18">
      <c r="N572" s="256">
        <v>60569</v>
      </c>
      <c r="O572" s="256">
        <v>24</v>
      </c>
      <c r="P572" s="256" t="s">
        <v>1026</v>
      </c>
      <c r="Q572" s="256">
        <v>5</v>
      </c>
      <c r="R572" s="256" t="s">
        <v>766</v>
      </c>
    </row>
    <row r="573" ht="16.5" customHeight="1" spans="14:18">
      <c r="N573" s="256">
        <v>60570</v>
      </c>
      <c r="O573" s="256">
        <v>24</v>
      </c>
      <c r="P573" s="256" t="s">
        <v>1026</v>
      </c>
      <c r="Q573" s="256">
        <v>6</v>
      </c>
      <c r="R573" s="256" t="s">
        <v>766</v>
      </c>
    </row>
    <row r="574" ht="16.5" customHeight="1" spans="14:18">
      <c r="N574" s="256">
        <v>60571</v>
      </c>
      <c r="O574" s="256">
        <v>24</v>
      </c>
      <c r="P574" s="256" t="s">
        <v>1026</v>
      </c>
      <c r="Q574" s="256">
        <v>1</v>
      </c>
      <c r="R574" s="256" t="s">
        <v>817</v>
      </c>
    </row>
    <row r="575" ht="16.5" customHeight="1" spans="14:18">
      <c r="N575" s="256">
        <v>60572</v>
      </c>
      <c r="O575" s="256">
        <v>24</v>
      </c>
      <c r="P575" s="256" t="s">
        <v>1026</v>
      </c>
      <c r="Q575" s="256">
        <v>2</v>
      </c>
      <c r="R575" s="256" t="s">
        <v>817</v>
      </c>
    </row>
    <row r="576" ht="16.5" customHeight="1" spans="14:18">
      <c r="N576" s="256">
        <v>60573</v>
      </c>
      <c r="O576" s="256">
        <v>24</v>
      </c>
      <c r="P576" s="256" t="s">
        <v>1026</v>
      </c>
      <c r="Q576" s="256">
        <v>3</v>
      </c>
      <c r="R576" s="256" t="s">
        <v>817</v>
      </c>
    </row>
    <row r="577" ht="16.5" customHeight="1" spans="14:18">
      <c r="N577" s="256">
        <v>60574</v>
      </c>
      <c r="O577" s="256">
        <v>24</v>
      </c>
      <c r="P577" s="256" t="s">
        <v>1026</v>
      </c>
      <c r="Q577" s="256">
        <v>4</v>
      </c>
      <c r="R577" s="256" t="s">
        <v>817</v>
      </c>
    </row>
    <row r="578" ht="16.5" customHeight="1" spans="14:18">
      <c r="N578" s="256">
        <v>60575</v>
      </c>
      <c r="O578" s="256">
        <v>24</v>
      </c>
      <c r="P578" s="256" t="s">
        <v>1026</v>
      </c>
      <c r="Q578" s="256">
        <v>5</v>
      </c>
      <c r="R578" s="256" t="s">
        <v>817</v>
      </c>
    </row>
    <row r="579" ht="16.5" customHeight="1" spans="14:18">
      <c r="N579" s="256">
        <v>60576</v>
      </c>
      <c r="O579" s="256">
        <v>24</v>
      </c>
      <c r="P579" s="256" t="s">
        <v>1026</v>
      </c>
      <c r="Q579" s="256">
        <v>6</v>
      </c>
      <c r="R579" s="256" t="s">
        <v>817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4"/>
  <sheetViews>
    <sheetView workbookViewId="0">
      <selection activeCell="D13" sqref="D13"/>
    </sheetView>
  </sheetViews>
  <sheetFormatPr defaultColWidth="9" defaultRowHeight="16.5"/>
  <cols>
    <col min="1" max="1" width="9" style="3" customWidth="1"/>
    <col min="2" max="2" width="12.75" style="3" customWidth="1"/>
    <col min="3" max="3" width="10.375" style="3" customWidth="1"/>
    <col min="4" max="4" width="12.875" style="3" customWidth="1"/>
    <col min="5" max="5" width="17.125" style="3" customWidth="1"/>
    <col min="6" max="7" width="14.125" style="3" customWidth="1"/>
    <col min="8" max="16384" width="9" style="3" customWidth="1"/>
  </cols>
  <sheetData>
    <row r="2" spans="2:13">
      <c r="B2" s="253" t="s">
        <v>1027</v>
      </c>
      <c r="C2" s="253" t="s">
        <v>1028</v>
      </c>
      <c r="D2" s="253" t="s">
        <v>1029</v>
      </c>
    </row>
    <row r="3" spans="2:13">
      <c r="B3" s="3" t="s">
        <v>1030</v>
      </c>
      <c r="C3" s="3">
        <f>角色升级!L5</f>
        <v>961250</v>
      </c>
      <c r="D3" s="3">
        <f>角色升级!M4</f>
        <v>1922.5</v>
      </c>
      <c r="F3" s="3">
        <v>1</v>
      </c>
      <c r="G3" s="3" t="s">
        <v>1031</v>
      </c>
      <c r="H3" s="3" t="s">
        <v>1032</v>
      </c>
      <c r="I3" s="3">
        <v>4000</v>
      </c>
      <c r="J3" s="3" t="s">
        <v>601</v>
      </c>
      <c r="K3" s="3" t="s">
        <v>1032</v>
      </c>
      <c r="L3" s="3">
        <v>4</v>
      </c>
      <c r="M3" s="3" t="s">
        <v>5</v>
      </c>
    </row>
    <row r="4" spans="2:13">
      <c r="B4" s="3" t="s">
        <v>1033</v>
      </c>
      <c r="C4" s="3">
        <f>角色升阶!H8</f>
        <v>440000</v>
      </c>
      <c r="D4" s="3">
        <f>角色升阶!F8</f>
        <v>672</v>
      </c>
    </row>
    <row r="5" spans="2:13">
      <c r="B5" s="3" t="s">
        <v>1034</v>
      </c>
      <c r="C5" s="3">
        <v>0</v>
      </c>
    </row>
    <row r="6" spans="2:13">
      <c r="B6" s="3" t="s">
        <v>666</v>
      </c>
      <c r="C6" s="3">
        <f>专武!N3</f>
        <v>263450</v>
      </c>
      <c r="D6" s="3">
        <f>专武!O2+专武!P11</f>
        <v>1989.25</v>
      </c>
    </row>
    <row r="7" spans="2:13">
      <c r="B7" s="3" t="s">
        <v>1035</v>
      </c>
      <c r="C7" s="3">
        <f>角色星盘!M28</f>
        <v>1655000</v>
      </c>
      <c r="D7" s="3">
        <f>角色星盘!O28</f>
        <v>5270</v>
      </c>
    </row>
    <row r="8" spans="2:13">
      <c r="B8" s="3" t="s">
        <v>699</v>
      </c>
      <c r="C8" s="3">
        <f>旅券!P5</f>
        <v>2400000</v>
      </c>
      <c r="D8" s="3">
        <f>旅券!Q4</f>
        <v>2400</v>
      </c>
    </row>
    <row r="9" spans="2:13">
      <c r="C9" s="3">
        <f>SUM(C3:C8)</f>
        <v>5719700</v>
      </c>
    </row>
    <row r="10" spans="2:13">
      <c r="B10" s="3" t="s">
        <v>1036</v>
      </c>
      <c r="C10" s="3">
        <f>C9*道具定价!F11</f>
        <v>5719.7</v>
      </c>
      <c r="D10" s="3">
        <f>SUM(D3:D8)</f>
        <v>12253.75</v>
      </c>
      <c r="E10" s="3">
        <f>D10+C10</f>
        <v>17973.45</v>
      </c>
      <c r="F10" s="3">
        <f>E10/4</f>
        <v>4493.3625</v>
      </c>
      <c r="G10" s="3">
        <f>F10/240</f>
        <v>18.72234375</v>
      </c>
    </row>
    <row r="11" spans="2:13">
      <c r="G11" s="3">
        <f>D10/240/4</f>
        <v>12.7643229166667</v>
      </c>
    </row>
    <row r="13" spans="2:13">
      <c r="B13" s="3" t="s">
        <v>705</v>
      </c>
      <c r="C13" s="3">
        <f>映射装备!M24</f>
        <v>4212808</v>
      </c>
      <c r="D13" s="3">
        <f>映射装备!M23*道具定价!F144</f>
        <v>42128.08</v>
      </c>
    </row>
    <row r="14" spans="2:13">
      <c r="B14" s="3" t="s">
        <v>1037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5011"/>
  <sheetViews>
    <sheetView workbookViewId="0">
      <selection activeCell="H19" sqref="H19"/>
    </sheetView>
  </sheetViews>
  <sheetFormatPr defaultColWidth="9" defaultRowHeight="16.5"/>
  <cols>
    <col min="1" max="1" width="9" style="3" customWidth="1"/>
    <col min="2" max="2" width="12.125" style="3" customWidth="1"/>
    <col min="3" max="6" width="12.875" style="3" customWidth="1"/>
    <col min="7" max="7" width="9" style="3" customWidth="1"/>
    <col min="8" max="9" width="14.125" style="3" customWidth="1"/>
    <col min="10" max="10" width="9" style="3" customWidth="1"/>
    <col min="11" max="11" width="14.125" style="3" customWidth="1"/>
    <col min="12" max="12" width="11.625" style="3" customWidth="1"/>
    <col min="13" max="13" width="14.125" style="3" customWidth="1"/>
    <col min="14" max="16384" width="9" style="3" customWidth="1"/>
  </cols>
  <sheetData>
    <row r="2" spans="2:15">
      <c r="B2" s="77" t="s">
        <v>1038</v>
      </c>
      <c r="C2" s="179">
        <v>60</v>
      </c>
      <c r="K2" s="77"/>
    </row>
    <row r="3" spans="2:15">
      <c r="K3" s="77"/>
    </row>
    <row r="4" spans="2:15">
      <c r="B4" s="77"/>
      <c r="C4" s="77"/>
      <c r="D4" s="77"/>
      <c r="E4" s="77"/>
      <c r="F4" s="77"/>
      <c r="G4" s="77"/>
      <c r="J4" s="77" t="s">
        <v>1039</v>
      </c>
      <c r="K4" s="77"/>
      <c r="L4" s="3">
        <f>MAX(E7:E76)</f>
        <v>1922500</v>
      </c>
      <c r="M4" s="3">
        <f>L4*道具定价!F25</f>
        <v>1922.5</v>
      </c>
      <c r="O4" s="3">
        <v>500</v>
      </c>
    </row>
    <row r="5" spans="2:15">
      <c r="J5" s="77" t="s">
        <v>1040</v>
      </c>
      <c r="K5" s="77"/>
      <c r="L5" s="3">
        <f>MAX(G7:G76)</f>
        <v>961250</v>
      </c>
      <c r="O5" s="3">
        <v>1000</v>
      </c>
    </row>
    <row r="6" spans="2:15">
      <c r="B6" s="19" t="s">
        <v>1041</v>
      </c>
      <c r="C6" s="19" t="s">
        <v>1042</v>
      </c>
      <c r="D6" s="19" t="s">
        <v>1043</v>
      </c>
      <c r="E6" s="19" t="s">
        <v>1044</v>
      </c>
      <c r="F6" s="19" t="s">
        <v>1045</v>
      </c>
      <c r="G6" s="19" t="s">
        <v>1046</v>
      </c>
      <c r="H6" s="19" t="s">
        <v>1047</v>
      </c>
      <c r="J6" s="77" t="s">
        <v>1048</v>
      </c>
      <c r="K6" s="77"/>
      <c r="L6" s="3">
        <f>L4*道具定价!F25+L5*道具定价!F11</f>
        <v>2883.75</v>
      </c>
      <c r="O6" s="3">
        <v>2000</v>
      </c>
    </row>
    <row r="7" spans="2:15">
      <c r="B7" s="3">
        <f t="array" ref="B7:B66">_xlfn.SEQUENCE(C2,1,1,1)</f>
        <v>1</v>
      </c>
      <c r="D7" s="179">
        <v>100</v>
      </c>
      <c r="E7" s="3">
        <f>SUM($D$7:D7)</f>
        <v>100</v>
      </c>
      <c r="F7" s="3">
        <f t="shared" ref="F7:F66" si="0">ROUND(D7*0.5,0)</f>
        <v>50</v>
      </c>
      <c r="G7" s="3">
        <f>SUM($F$7:F7)</f>
        <v>50</v>
      </c>
      <c r="H7" s="16"/>
      <c r="J7" s="3">
        <v>100</v>
      </c>
      <c r="K7" s="77"/>
      <c r="O7" s="3">
        <v>5000</v>
      </c>
    </row>
    <row r="8" spans="2:15">
      <c r="B8" s="3">
        <v>2</v>
      </c>
      <c r="C8" s="3">
        <v>50</v>
      </c>
      <c r="D8" s="16">
        <f t="shared" ref="D8:D66" si="1">D7+C8</f>
        <v>150</v>
      </c>
      <c r="E8" s="3">
        <f>SUM($D$7:D8)</f>
        <v>250</v>
      </c>
      <c r="F8" s="3">
        <f t="shared" si="0"/>
        <v>75</v>
      </c>
      <c r="G8" s="3">
        <f>SUM($F$7:F8)</f>
        <v>125</v>
      </c>
      <c r="H8" s="16"/>
      <c r="K8" s="77"/>
    </row>
    <row r="9" spans="2:15">
      <c r="B9" s="3">
        <v>3</v>
      </c>
      <c r="C9" s="3">
        <v>50</v>
      </c>
      <c r="D9" s="16">
        <f t="shared" si="1"/>
        <v>200</v>
      </c>
      <c r="E9" s="3">
        <f>SUM($D$7:D9)</f>
        <v>450</v>
      </c>
      <c r="F9" s="3">
        <f t="shared" si="0"/>
        <v>100</v>
      </c>
      <c r="G9" s="3">
        <f>SUM($F$7:F9)</f>
        <v>225</v>
      </c>
      <c r="H9" s="16"/>
      <c r="K9" s="77"/>
    </row>
    <row r="10" spans="2:15">
      <c r="B10" s="3">
        <v>4</v>
      </c>
      <c r="C10" s="3">
        <v>50</v>
      </c>
      <c r="D10" s="16">
        <f t="shared" si="1"/>
        <v>250</v>
      </c>
      <c r="E10" s="3">
        <f>SUM($D$7:D10)</f>
        <v>700</v>
      </c>
      <c r="F10" s="3">
        <f t="shared" si="0"/>
        <v>125</v>
      </c>
      <c r="G10" s="3">
        <f>SUM($F$7:F10)</f>
        <v>350</v>
      </c>
      <c r="H10" s="16"/>
      <c r="J10" s="16"/>
      <c r="K10" s="77"/>
    </row>
    <row r="11" spans="2:15">
      <c r="B11" s="3">
        <v>5</v>
      </c>
      <c r="C11" s="3">
        <v>50</v>
      </c>
      <c r="D11" s="16">
        <f t="shared" si="1"/>
        <v>300</v>
      </c>
      <c r="E11" s="3">
        <f>SUM($D$7:D11)</f>
        <v>1000</v>
      </c>
      <c r="F11" s="3">
        <f t="shared" si="0"/>
        <v>150</v>
      </c>
      <c r="G11" s="3">
        <f>SUM($F$7:F11)</f>
        <v>500</v>
      </c>
      <c r="H11" s="16"/>
    </row>
    <row r="12" spans="2:15">
      <c r="B12" s="3">
        <v>6</v>
      </c>
      <c r="C12" s="3">
        <v>100</v>
      </c>
      <c r="D12" s="16">
        <f t="shared" si="1"/>
        <v>400</v>
      </c>
      <c r="E12" s="3">
        <f>SUM($D$7:D12)</f>
        <v>1400</v>
      </c>
      <c r="F12" s="3">
        <f t="shared" si="0"/>
        <v>200</v>
      </c>
      <c r="G12" s="3">
        <f>SUM($F$7:F12)</f>
        <v>700</v>
      </c>
      <c r="H12" s="16"/>
      <c r="J12" s="16"/>
      <c r="M12" s="252"/>
    </row>
    <row r="13" spans="2:15">
      <c r="B13" s="3">
        <v>7</v>
      </c>
      <c r="C13" s="3">
        <v>100</v>
      </c>
      <c r="D13" s="16">
        <f t="shared" si="1"/>
        <v>500</v>
      </c>
      <c r="E13" s="3">
        <f>SUM($D$7:D13)</f>
        <v>1900</v>
      </c>
      <c r="F13" s="3">
        <f t="shared" si="0"/>
        <v>250</v>
      </c>
      <c r="G13" s="3">
        <f>SUM($F$7:F13)</f>
        <v>950</v>
      </c>
      <c r="H13" s="16"/>
      <c r="J13" s="16"/>
      <c r="M13" s="252"/>
    </row>
    <row r="14" spans="2:15">
      <c r="B14" s="3">
        <v>8</v>
      </c>
      <c r="C14" s="3">
        <v>100</v>
      </c>
      <c r="D14" s="16">
        <f t="shared" si="1"/>
        <v>600</v>
      </c>
      <c r="E14" s="3">
        <f>SUM($D$7:D14)</f>
        <v>2500</v>
      </c>
      <c r="F14" s="3">
        <f t="shared" si="0"/>
        <v>300</v>
      </c>
      <c r="G14" s="3">
        <f>SUM($F$7:F14)</f>
        <v>1250</v>
      </c>
      <c r="H14" s="16"/>
      <c r="J14" s="16"/>
      <c r="M14" s="252"/>
    </row>
    <row r="15" spans="2:15">
      <c r="B15" s="3">
        <v>9</v>
      </c>
      <c r="C15" s="3">
        <v>100</v>
      </c>
      <c r="D15" s="16">
        <f t="shared" si="1"/>
        <v>700</v>
      </c>
      <c r="E15" s="3">
        <f>SUM($D$7:D15)</f>
        <v>3200</v>
      </c>
      <c r="F15" s="3">
        <f t="shared" si="0"/>
        <v>350</v>
      </c>
      <c r="G15" s="3">
        <f>SUM($F$7:F15)</f>
        <v>1600</v>
      </c>
      <c r="H15" s="16"/>
      <c r="J15" s="16"/>
      <c r="M15" s="252"/>
    </row>
    <row r="16" spans="2:15">
      <c r="B16" s="3">
        <v>10</v>
      </c>
      <c r="C16" s="3">
        <v>100</v>
      </c>
      <c r="D16" s="16">
        <f t="shared" si="1"/>
        <v>800</v>
      </c>
      <c r="E16" s="3">
        <f>SUM($D$7:D16)</f>
        <v>4000</v>
      </c>
      <c r="F16" s="3">
        <f t="shared" si="0"/>
        <v>400</v>
      </c>
      <c r="G16" s="3">
        <f>SUM($F$7:F16)</f>
        <v>2000</v>
      </c>
      <c r="H16" s="16"/>
      <c r="J16" s="16"/>
      <c r="M16" s="252"/>
    </row>
    <row r="17" spans="2:13">
      <c r="B17" s="3">
        <v>11</v>
      </c>
      <c r="C17" s="3">
        <v>200</v>
      </c>
      <c r="D17" s="16">
        <f t="shared" si="1"/>
        <v>1000</v>
      </c>
      <c r="E17" s="3">
        <f>SUM($D$7:D17)</f>
        <v>5000</v>
      </c>
      <c r="F17" s="3">
        <f t="shared" si="0"/>
        <v>500</v>
      </c>
      <c r="G17" s="3">
        <f>SUM($F$7:F17)</f>
        <v>2500</v>
      </c>
      <c r="H17" s="16"/>
      <c r="J17" s="16"/>
      <c r="M17" s="252"/>
    </row>
    <row r="18" spans="2:13">
      <c r="B18" s="3">
        <v>12</v>
      </c>
      <c r="C18" s="3">
        <v>200</v>
      </c>
      <c r="D18" s="16">
        <f t="shared" si="1"/>
        <v>1200</v>
      </c>
      <c r="E18" s="3">
        <f>SUM($D$7:D18)</f>
        <v>6200</v>
      </c>
      <c r="F18" s="3">
        <f t="shared" si="0"/>
        <v>600</v>
      </c>
      <c r="G18" s="3">
        <f>SUM($F$7:F18)</f>
        <v>3100</v>
      </c>
      <c r="H18" s="16"/>
      <c r="J18" s="16"/>
      <c r="M18" s="252"/>
    </row>
    <row r="19" spans="2:13">
      <c r="B19" s="3">
        <v>13</v>
      </c>
      <c r="C19" s="3">
        <v>200</v>
      </c>
      <c r="D19" s="16">
        <f t="shared" si="1"/>
        <v>1400</v>
      </c>
      <c r="E19" s="3">
        <f>SUM($D$7:D19)</f>
        <v>7600</v>
      </c>
      <c r="F19" s="3">
        <f t="shared" si="0"/>
        <v>700</v>
      </c>
      <c r="G19" s="3">
        <f>SUM($F$7:F19)</f>
        <v>3800</v>
      </c>
      <c r="H19" s="16"/>
      <c r="J19" s="16"/>
      <c r="M19" s="252"/>
    </row>
    <row r="20" spans="2:13">
      <c r="B20" s="3">
        <v>14</v>
      </c>
      <c r="C20" s="3">
        <v>200</v>
      </c>
      <c r="D20" s="16">
        <f t="shared" si="1"/>
        <v>1600</v>
      </c>
      <c r="E20" s="3">
        <f>SUM($D$7:D20)</f>
        <v>9200</v>
      </c>
      <c r="F20" s="3">
        <f t="shared" si="0"/>
        <v>800</v>
      </c>
      <c r="G20" s="3">
        <f>SUM($F$7:F20)</f>
        <v>4600</v>
      </c>
      <c r="H20" s="16"/>
      <c r="J20" s="16"/>
      <c r="M20" s="252"/>
    </row>
    <row r="21" spans="2:13">
      <c r="B21" s="3">
        <v>15</v>
      </c>
      <c r="C21" s="3">
        <v>200</v>
      </c>
      <c r="D21" s="16">
        <f t="shared" si="1"/>
        <v>1800</v>
      </c>
      <c r="E21" s="3">
        <f>SUM($D$7:D21)</f>
        <v>11000</v>
      </c>
      <c r="F21" s="3">
        <f t="shared" si="0"/>
        <v>900</v>
      </c>
      <c r="G21" s="3">
        <f>SUM($F$7:F21)</f>
        <v>5500</v>
      </c>
      <c r="H21" s="16"/>
      <c r="J21" s="16"/>
      <c r="M21" s="252"/>
    </row>
    <row r="22" spans="2:13">
      <c r="B22" s="3">
        <v>16</v>
      </c>
      <c r="C22" s="3">
        <v>300</v>
      </c>
      <c r="D22" s="16">
        <f t="shared" si="1"/>
        <v>2100</v>
      </c>
      <c r="E22" s="3">
        <f>SUM($D$7:D22)</f>
        <v>13100</v>
      </c>
      <c r="F22" s="3">
        <f t="shared" si="0"/>
        <v>1050</v>
      </c>
      <c r="G22" s="3">
        <f>SUM($F$7:F22)</f>
        <v>6550</v>
      </c>
      <c r="H22" s="16"/>
      <c r="J22" s="16"/>
      <c r="M22" s="252"/>
    </row>
    <row r="23" spans="2:13">
      <c r="B23" s="3">
        <v>17</v>
      </c>
      <c r="C23" s="3">
        <v>300</v>
      </c>
      <c r="D23" s="16">
        <f t="shared" si="1"/>
        <v>2400</v>
      </c>
      <c r="E23" s="3">
        <f>SUM($D$7:D23)</f>
        <v>15500</v>
      </c>
      <c r="F23" s="3">
        <f t="shared" si="0"/>
        <v>1200</v>
      </c>
      <c r="G23" s="3">
        <f>SUM($F$7:F23)</f>
        <v>7750</v>
      </c>
      <c r="H23" s="16"/>
      <c r="J23" s="16"/>
      <c r="M23" s="252"/>
    </row>
    <row r="24" spans="2:13">
      <c r="B24" s="3">
        <v>18</v>
      </c>
      <c r="C24" s="3">
        <v>300</v>
      </c>
      <c r="D24" s="16">
        <f t="shared" si="1"/>
        <v>2700</v>
      </c>
      <c r="E24" s="3">
        <f>SUM($D$7:D24)</f>
        <v>18200</v>
      </c>
      <c r="F24" s="3">
        <f t="shared" si="0"/>
        <v>1350</v>
      </c>
      <c r="G24" s="3">
        <f>SUM($F$7:F24)</f>
        <v>9100</v>
      </c>
      <c r="H24" s="16"/>
      <c r="J24" s="16"/>
      <c r="M24" s="252"/>
    </row>
    <row r="25" spans="2:13">
      <c r="B25" s="3">
        <v>19</v>
      </c>
      <c r="C25" s="3">
        <v>300</v>
      </c>
      <c r="D25" s="16">
        <f t="shared" si="1"/>
        <v>3000</v>
      </c>
      <c r="E25" s="3">
        <f>SUM($D$7:D25)</f>
        <v>21200</v>
      </c>
      <c r="F25" s="3">
        <f t="shared" si="0"/>
        <v>1500</v>
      </c>
      <c r="G25" s="3">
        <f>SUM($F$7:F25)</f>
        <v>10600</v>
      </c>
      <c r="H25" s="16"/>
      <c r="J25" s="16"/>
      <c r="M25" s="252"/>
    </row>
    <row r="26" spans="2:13">
      <c r="B26" s="3">
        <v>20</v>
      </c>
      <c r="C26" s="3">
        <v>300</v>
      </c>
      <c r="D26" s="16">
        <f t="shared" si="1"/>
        <v>3300</v>
      </c>
      <c r="E26" s="3">
        <f>SUM($D$7:D26)</f>
        <v>24500</v>
      </c>
      <c r="F26" s="3">
        <f t="shared" si="0"/>
        <v>1650</v>
      </c>
      <c r="G26" s="3">
        <f>SUM($F$7:F26)</f>
        <v>12250</v>
      </c>
      <c r="H26" s="16"/>
      <c r="J26" s="16"/>
      <c r="M26" s="252"/>
    </row>
    <row r="27" spans="2:13">
      <c r="B27" s="3">
        <v>21</v>
      </c>
      <c r="C27" s="3">
        <v>500</v>
      </c>
      <c r="D27" s="16">
        <f t="shared" si="1"/>
        <v>3800</v>
      </c>
      <c r="E27" s="3">
        <f>SUM($D$7:D27)</f>
        <v>28300</v>
      </c>
      <c r="F27" s="3">
        <f t="shared" si="0"/>
        <v>1900</v>
      </c>
      <c r="G27" s="3">
        <f>SUM($F$7:F27)</f>
        <v>14150</v>
      </c>
      <c r="H27" s="16"/>
      <c r="J27" s="16"/>
      <c r="M27" s="252"/>
    </row>
    <row r="28" spans="2:13">
      <c r="B28" s="3">
        <v>22</v>
      </c>
      <c r="C28" s="3">
        <v>500</v>
      </c>
      <c r="D28" s="16">
        <f t="shared" si="1"/>
        <v>4300</v>
      </c>
      <c r="E28" s="3">
        <f>SUM($D$7:D28)</f>
        <v>32600</v>
      </c>
      <c r="F28" s="3">
        <f t="shared" si="0"/>
        <v>2150</v>
      </c>
      <c r="G28" s="3">
        <f>SUM($F$7:F28)</f>
        <v>16300</v>
      </c>
      <c r="H28" s="16"/>
      <c r="J28" s="16"/>
      <c r="M28" s="252"/>
    </row>
    <row r="29" spans="2:13">
      <c r="B29" s="3">
        <v>23</v>
      </c>
      <c r="C29" s="3">
        <v>500</v>
      </c>
      <c r="D29" s="16">
        <f t="shared" si="1"/>
        <v>4800</v>
      </c>
      <c r="E29" s="3">
        <f>SUM($D$7:D29)</f>
        <v>37400</v>
      </c>
      <c r="F29" s="3">
        <f t="shared" si="0"/>
        <v>2400</v>
      </c>
      <c r="G29" s="3">
        <f>SUM($F$7:F29)</f>
        <v>18700</v>
      </c>
      <c r="H29" s="16"/>
      <c r="J29" s="16"/>
      <c r="M29" s="252"/>
    </row>
    <row r="30" spans="2:13">
      <c r="B30" s="3">
        <v>24</v>
      </c>
      <c r="C30" s="3">
        <v>500</v>
      </c>
      <c r="D30" s="16">
        <f t="shared" si="1"/>
        <v>5300</v>
      </c>
      <c r="E30" s="3">
        <f>SUM($D$7:D30)</f>
        <v>42700</v>
      </c>
      <c r="F30" s="3">
        <f t="shared" si="0"/>
        <v>2650</v>
      </c>
      <c r="G30" s="3">
        <f>SUM($F$7:F30)</f>
        <v>21350</v>
      </c>
      <c r="H30" s="16"/>
      <c r="J30" s="16"/>
      <c r="M30" s="252"/>
    </row>
    <row r="31" spans="2:13">
      <c r="B31" s="3">
        <v>25</v>
      </c>
      <c r="C31" s="3">
        <v>500</v>
      </c>
      <c r="D31" s="16">
        <f t="shared" si="1"/>
        <v>5800</v>
      </c>
      <c r="E31" s="3">
        <f>SUM($D$7:D31)</f>
        <v>48500</v>
      </c>
      <c r="F31" s="3">
        <f t="shared" si="0"/>
        <v>2900</v>
      </c>
      <c r="G31" s="3">
        <f>SUM($F$7:F31)</f>
        <v>24250</v>
      </c>
      <c r="H31" s="16"/>
      <c r="J31" s="16"/>
      <c r="M31" s="252"/>
    </row>
    <row r="32" spans="2:13">
      <c r="B32" s="3">
        <v>26</v>
      </c>
      <c r="C32" s="3">
        <v>800</v>
      </c>
      <c r="D32" s="16">
        <f t="shared" si="1"/>
        <v>6600</v>
      </c>
      <c r="E32" s="3">
        <f>SUM($D$7:D32)</f>
        <v>55100</v>
      </c>
      <c r="F32" s="3">
        <f t="shared" si="0"/>
        <v>3300</v>
      </c>
      <c r="G32" s="3">
        <f>SUM($F$7:F32)</f>
        <v>27550</v>
      </c>
      <c r="H32" s="16"/>
      <c r="J32" s="16"/>
      <c r="M32" s="252"/>
    </row>
    <row r="33" spans="2:13">
      <c r="B33" s="3">
        <v>27</v>
      </c>
      <c r="C33" s="3">
        <v>800</v>
      </c>
      <c r="D33" s="16">
        <f t="shared" si="1"/>
        <v>7400</v>
      </c>
      <c r="E33" s="3">
        <f>SUM($D$7:D33)</f>
        <v>62500</v>
      </c>
      <c r="F33" s="3">
        <f t="shared" si="0"/>
        <v>3700</v>
      </c>
      <c r="G33" s="3">
        <f>SUM($F$7:F33)</f>
        <v>31250</v>
      </c>
      <c r="H33" s="16"/>
      <c r="J33" s="16"/>
      <c r="M33" s="252"/>
    </row>
    <row r="34" spans="2:13">
      <c r="B34" s="3">
        <v>28</v>
      </c>
      <c r="C34" s="3">
        <v>800</v>
      </c>
      <c r="D34" s="16">
        <f t="shared" si="1"/>
        <v>8200</v>
      </c>
      <c r="E34" s="3">
        <f>SUM($D$7:D34)</f>
        <v>70700</v>
      </c>
      <c r="F34" s="3">
        <f t="shared" si="0"/>
        <v>4100</v>
      </c>
      <c r="G34" s="3">
        <f>SUM($F$7:F34)</f>
        <v>35350</v>
      </c>
      <c r="H34" s="16"/>
      <c r="J34" s="16"/>
      <c r="M34" s="252"/>
    </row>
    <row r="35" spans="2:13">
      <c r="B35" s="3">
        <v>29</v>
      </c>
      <c r="C35" s="3">
        <v>800</v>
      </c>
      <c r="D35" s="16">
        <f t="shared" si="1"/>
        <v>9000</v>
      </c>
      <c r="E35" s="3">
        <f>SUM($D$7:D35)</f>
        <v>79700</v>
      </c>
      <c r="F35" s="3">
        <f t="shared" si="0"/>
        <v>4500</v>
      </c>
      <c r="G35" s="3">
        <f>SUM($F$7:F35)</f>
        <v>39850</v>
      </c>
      <c r="H35" s="16"/>
      <c r="J35" s="16"/>
      <c r="M35" s="252"/>
    </row>
    <row r="36" spans="2:13">
      <c r="B36" s="3">
        <v>30</v>
      </c>
      <c r="C36" s="3">
        <v>800</v>
      </c>
      <c r="D36" s="16">
        <f t="shared" si="1"/>
        <v>9800</v>
      </c>
      <c r="E36" s="3">
        <f>SUM($D$7:D36)</f>
        <v>89500</v>
      </c>
      <c r="F36" s="3">
        <f t="shared" si="0"/>
        <v>4900</v>
      </c>
      <c r="G36" s="3">
        <f>SUM($F$7:F36)</f>
        <v>44750</v>
      </c>
      <c r="H36" s="16"/>
      <c r="J36" s="16"/>
      <c r="M36" s="252"/>
    </row>
    <row r="37" spans="2:13">
      <c r="B37" s="3">
        <v>31</v>
      </c>
      <c r="C37" s="3">
        <v>1000</v>
      </c>
      <c r="D37" s="16">
        <f t="shared" si="1"/>
        <v>10800</v>
      </c>
      <c r="E37" s="3">
        <f>SUM($D$7:D37)</f>
        <v>100300</v>
      </c>
      <c r="F37" s="3">
        <f t="shared" si="0"/>
        <v>5400</v>
      </c>
      <c r="G37" s="3">
        <f>SUM($F$7:F37)</f>
        <v>50150</v>
      </c>
      <c r="H37" s="16"/>
      <c r="J37" s="16"/>
      <c r="M37" s="252"/>
    </row>
    <row r="38" spans="2:13">
      <c r="B38" s="3">
        <v>32</v>
      </c>
      <c r="C38" s="3">
        <v>1200</v>
      </c>
      <c r="D38" s="16">
        <f t="shared" si="1"/>
        <v>12000</v>
      </c>
      <c r="E38" s="3">
        <f>SUM($D$7:D38)</f>
        <v>112300</v>
      </c>
      <c r="F38" s="3">
        <f t="shared" si="0"/>
        <v>6000</v>
      </c>
      <c r="G38" s="3">
        <f>SUM($F$7:F38)</f>
        <v>56150</v>
      </c>
      <c r="H38" s="16"/>
      <c r="J38" s="16"/>
      <c r="M38" s="252"/>
    </row>
    <row r="39" spans="2:13">
      <c r="B39" s="3">
        <v>33</v>
      </c>
      <c r="C39" s="3">
        <v>1400</v>
      </c>
      <c r="D39" s="16">
        <f t="shared" si="1"/>
        <v>13400</v>
      </c>
      <c r="E39" s="3">
        <f>SUM($D$7:D39)</f>
        <v>125700</v>
      </c>
      <c r="F39" s="3">
        <f t="shared" si="0"/>
        <v>6700</v>
      </c>
      <c r="G39" s="3">
        <f>SUM($F$7:F39)</f>
        <v>62850</v>
      </c>
      <c r="H39" s="16"/>
      <c r="J39" s="16"/>
      <c r="M39" s="252"/>
    </row>
    <row r="40" spans="2:13">
      <c r="B40" s="3">
        <v>34</v>
      </c>
      <c r="C40" s="3">
        <v>1600</v>
      </c>
      <c r="D40" s="16">
        <f t="shared" si="1"/>
        <v>15000</v>
      </c>
      <c r="E40" s="3">
        <f>SUM($D$7:D40)</f>
        <v>140700</v>
      </c>
      <c r="F40" s="3">
        <f t="shared" si="0"/>
        <v>7500</v>
      </c>
      <c r="G40" s="3">
        <f>SUM($F$7:F40)</f>
        <v>70350</v>
      </c>
      <c r="H40" s="16"/>
      <c r="J40" s="16"/>
      <c r="M40" s="252"/>
    </row>
    <row r="41" spans="2:13">
      <c r="B41" s="3">
        <v>35</v>
      </c>
      <c r="C41" s="3">
        <v>1800</v>
      </c>
      <c r="D41" s="16">
        <f t="shared" si="1"/>
        <v>16800</v>
      </c>
      <c r="E41" s="3">
        <f>SUM($D$7:D41)</f>
        <v>157500</v>
      </c>
      <c r="F41" s="3">
        <f t="shared" si="0"/>
        <v>8400</v>
      </c>
      <c r="G41" s="3">
        <f>SUM($F$7:F41)</f>
        <v>78750</v>
      </c>
      <c r="H41" s="16"/>
      <c r="J41" s="16"/>
      <c r="M41" s="252"/>
    </row>
    <row r="42" spans="2:13">
      <c r="B42" s="3">
        <v>36</v>
      </c>
      <c r="C42" s="3">
        <v>2000</v>
      </c>
      <c r="D42" s="16">
        <f t="shared" si="1"/>
        <v>18800</v>
      </c>
      <c r="E42" s="3">
        <f>SUM($D$7:D42)</f>
        <v>176300</v>
      </c>
      <c r="F42" s="3">
        <f t="shared" si="0"/>
        <v>9400</v>
      </c>
      <c r="G42" s="3">
        <f>SUM($F$7:F42)</f>
        <v>88150</v>
      </c>
      <c r="H42" s="16"/>
      <c r="J42" s="16"/>
      <c r="M42" s="252"/>
    </row>
    <row r="43" spans="2:13">
      <c r="B43" s="3">
        <v>37</v>
      </c>
      <c r="C43" s="3">
        <v>2000</v>
      </c>
      <c r="D43" s="16">
        <f t="shared" si="1"/>
        <v>20800</v>
      </c>
      <c r="E43" s="3">
        <f>SUM($D$7:D43)</f>
        <v>197100</v>
      </c>
      <c r="F43" s="3">
        <f t="shared" si="0"/>
        <v>10400</v>
      </c>
      <c r="G43" s="3">
        <f>SUM($F$7:F43)</f>
        <v>98550</v>
      </c>
      <c r="H43" s="16"/>
      <c r="J43" s="16"/>
      <c r="M43" s="252"/>
    </row>
    <row r="44" spans="2:13">
      <c r="B44" s="3">
        <v>38</v>
      </c>
      <c r="C44" s="3">
        <v>2000</v>
      </c>
      <c r="D44" s="16">
        <f t="shared" si="1"/>
        <v>22800</v>
      </c>
      <c r="E44" s="3">
        <f>SUM($D$7:D44)</f>
        <v>219900</v>
      </c>
      <c r="F44" s="3">
        <f t="shared" si="0"/>
        <v>11400</v>
      </c>
      <c r="G44" s="3">
        <f>SUM($F$7:F44)</f>
        <v>109950</v>
      </c>
      <c r="H44" s="16"/>
      <c r="J44" s="16"/>
      <c r="M44" s="252"/>
    </row>
    <row r="45" spans="2:13">
      <c r="B45" s="3">
        <v>39</v>
      </c>
      <c r="C45" s="3">
        <v>2000</v>
      </c>
      <c r="D45" s="16">
        <f t="shared" si="1"/>
        <v>24800</v>
      </c>
      <c r="E45" s="3">
        <f>SUM($D$7:D45)</f>
        <v>244700</v>
      </c>
      <c r="F45" s="3">
        <f t="shared" si="0"/>
        <v>12400</v>
      </c>
      <c r="G45" s="3">
        <f>SUM($F$7:F45)</f>
        <v>122350</v>
      </c>
      <c r="H45" s="16"/>
      <c r="J45" s="16"/>
      <c r="M45" s="252"/>
    </row>
    <row r="46" spans="2:13">
      <c r="B46" s="3">
        <v>40</v>
      </c>
      <c r="C46" s="3">
        <v>2000</v>
      </c>
      <c r="D46" s="16">
        <f t="shared" si="1"/>
        <v>26800</v>
      </c>
      <c r="E46" s="3">
        <f>SUM($D$7:D46)</f>
        <v>271500</v>
      </c>
      <c r="F46" s="3">
        <f t="shared" si="0"/>
        <v>13400</v>
      </c>
      <c r="G46" s="3">
        <f>SUM($F$7:F46)</f>
        <v>135750</v>
      </c>
      <c r="H46" s="16"/>
      <c r="J46" s="16"/>
      <c r="M46" s="252"/>
    </row>
    <row r="47" spans="2:13">
      <c r="B47" s="3">
        <v>41</v>
      </c>
      <c r="C47" s="3">
        <v>3000</v>
      </c>
      <c r="D47" s="16">
        <f t="shared" si="1"/>
        <v>29800</v>
      </c>
      <c r="E47" s="3">
        <f>SUM($D$7:D47)</f>
        <v>301300</v>
      </c>
      <c r="F47" s="3">
        <f t="shared" si="0"/>
        <v>14900</v>
      </c>
      <c r="G47" s="3">
        <f>SUM($F$7:F47)</f>
        <v>150650</v>
      </c>
      <c r="H47" s="16"/>
      <c r="J47" s="16"/>
      <c r="M47" s="252"/>
    </row>
    <row r="48" spans="2:13">
      <c r="B48" s="3">
        <v>42</v>
      </c>
      <c r="C48" s="3">
        <v>3000</v>
      </c>
      <c r="D48" s="16">
        <f t="shared" si="1"/>
        <v>32800</v>
      </c>
      <c r="E48" s="3">
        <f>SUM($D$7:D48)</f>
        <v>334100</v>
      </c>
      <c r="F48" s="3">
        <f t="shared" si="0"/>
        <v>16400</v>
      </c>
      <c r="G48" s="3">
        <f>SUM($F$7:F48)</f>
        <v>167050</v>
      </c>
      <c r="H48" s="16"/>
      <c r="J48" s="16"/>
      <c r="M48" s="252"/>
    </row>
    <row r="49" spans="2:13">
      <c r="B49" s="3">
        <v>43</v>
      </c>
      <c r="C49" s="3">
        <v>3000</v>
      </c>
      <c r="D49" s="16">
        <f t="shared" si="1"/>
        <v>35800</v>
      </c>
      <c r="E49" s="3">
        <f>SUM($D$7:D49)</f>
        <v>369900</v>
      </c>
      <c r="F49" s="3">
        <f t="shared" si="0"/>
        <v>17900</v>
      </c>
      <c r="G49" s="3">
        <f>SUM($F$7:F49)</f>
        <v>184950</v>
      </c>
      <c r="H49" s="16"/>
      <c r="J49" s="16"/>
      <c r="M49" s="252"/>
    </row>
    <row r="50" spans="2:13">
      <c r="B50" s="3">
        <v>44</v>
      </c>
      <c r="C50" s="3">
        <v>3000</v>
      </c>
      <c r="D50" s="16">
        <f t="shared" si="1"/>
        <v>38800</v>
      </c>
      <c r="E50" s="3">
        <f>SUM($D$7:D50)</f>
        <v>408700</v>
      </c>
      <c r="F50" s="3">
        <f t="shared" si="0"/>
        <v>19400</v>
      </c>
      <c r="G50" s="3">
        <f>SUM($F$7:F50)</f>
        <v>204350</v>
      </c>
      <c r="H50" s="16"/>
      <c r="J50" s="16"/>
      <c r="M50" s="252"/>
    </row>
    <row r="51" spans="2:13">
      <c r="B51" s="3">
        <v>45</v>
      </c>
      <c r="C51" s="3">
        <v>3000</v>
      </c>
      <c r="D51" s="16">
        <f t="shared" si="1"/>
        <v>41800</v>
      </c>
      <c r="E51" s="3">
        <f>SUM($D$7:D51)</f>
        <v>450500</v>
      </c>
      <c r="F51" s="3">
        <f t="shared" si="0"/>
        <v>20900</v>
      </c>
      <c r="G51" s="3">
        <f>SUM($F$7:F51)</f>
        <v>225250</v>
      </c>
      <c r="H51" s="16"/>
      <c r="J51" s="16"/>
      <c r="M51" s="252"/>
    </row>
    <row r="52" spans="2:13">
      <c r="B52" s="3">
        <v>46</v>
      </c>
      <c r="C52" s="3">
        <v>6000</v>
      </c>
      <c r="D52" s="16">
        <f t="shared" si="1"/>
        <v>47800</v>
      </c>
      <c r="E52" s="3">
        <f>SUM($D$7:D52)</f>
        <v>498300</v>
      </c>
      <c r="F52" s="3">
        <f t="shared" si="0"/>
        <v>23900</v>
      </c>
      <c r="G52" s="3">
        <f>SUM($F$7:F52)</f>
        <v>249150</v>
      </c>
      <c r="H52" s="16"/>
      <c r="J52" s="16"/>
      <c r="M52" s="252"/>
    </row>
    <row r="53" spans="2:13">
      <c r="B53" s="3">
        <v>47</v>
      </c>
      <c r="C53" s="3">
        <v>6000</v>
      </c>
      <c r="D53" s="16">
        <f t="shared" si="1"/>
        <v>53800</v>
      </c>
      <c r="E53" s="3">
        <f>SUM($D$7:D53)</f>
        <v>552100</v>
      </c>
      <c r="F53" s="3">
        <f t="shared" si="0"/>
        <v>26900</v>
      </c>
      <c r="G53" s="3">
        <f>SUM($F$7:F53)</f>
        <v>276050</v>
      </c>
      <c r="H53" s="16"/>
      <c r="J53" s="16"/>
      <c r="M53" s="252"/>
    </row>
    <row r="54" spans="2:13">
      <c r="B54" s="3">
        <v>48</v>
      </c>
      <c r="C54" s="3">
        <v>6000</v>
      </c>
      <c r="D54" s="16">
        <f t="shared" si="1"/>
        <v>59800</v>
      </c>
      <c r="E54" s="3">
        <f>SUM($D$7:D54)</f>
        <v>611900</v>
      </c>
      <c r="F54" s="3">
        <f t="shared" si="0"/>
        <v>29900</v>
      </c>
      <c r="G54" s="3">
        <f>SUM($F$7:F54)</f>
        <v>305950</v>
      </c>
      <c r="H54" s="16"/>
      <c r="J54" s="16"/>
      <c r="M54" s="252"/>
    </row>
    <row r="55" spans="2:13">
      <c r="B55" s="3">
        <v>49</v>
      </c>
      <c r="C55" s="3">
        <v>6000</v>
      </c>
      <c r="D55" s="16">
        <f t="shared" si="1"/>
        <v>65800</v>
      </c>
      <c r="E55" s="3">
        <f>SUM($D$7:D55)</f>
        <v>677700</v>
      </c>
      <c r="F55" s="3">
        <f t="shared" si="0"/>
        <v>32900</v>
      </c>
      <c r="G55" s="3">
        <f>SUM($F$7:F55)</f>
        <v>338850</v>
      </c>
      <c r="H55" s="16"/>
      <c r="J55" s="16"/>
      <c r="M55" s="252"/>
    </row>
    <row r="56" spans="2:13">
      <c r="B56" s="3">
        <v>50</v>
      </c>
      <c r="C56" s="3">
        <v>6000</v>
      </c>
      <c r="D56" s="16">
        <f t="shared" si="1"/>
        <v>71800</v>
      </c>
      <c r="E56" s="3">
        <f>SUM($D$7:D56)</f>
        <v>749500</v>
      </c>
      <c r="F56" s="3">
        <f t="shared" si="0"/>
        <v>35900</v>
      </c>
      <c r="G56" s="3">
        <f>SUM($F$7:F56)</f>
        <v>374750</v>
      </c>
      <c r="H56" s="16"/>
      <c r="J56" s="16"/>
      <c r="M56" s="252"/>
    </row>
    <row r="57" spans="2:13">
      <c r="B57" s="3">
        <v>51</v>
      </c>
      <c r="C57" s="3">
        <v>8000</v>
      </c>
      <c r="D57" s="16">
        <f t="shared" si="1"/>
        <v>79800</v>
      </c>
      <c r="E57" s="3">
        <f>SUM($D$7:D57)</f>
        <v>829300</v>
      </c>
      <c r="F57" s="3">
        <f t="shared" si="0"/>
        <v>39900</v>
      </c>
      <c r="G57" s="3">
        <f>SUM($F$7:F57)</f>
        <v>414650</v>
      </c>
      <c r="H57" s="16"/>
      <c r="J57" s="16"/>
      <c r="M57" s="252"/>
    </row>
    <row r="58" spans="2:13">
      <c r="B58" s="3">
        <v>52</v>
      </c>
      <c r="C58" s="3">
        <v>8000</v>
      </c>
      <c r="D58" s="16">
        <f t="shared" si="1"/>
        <v>87800</v>
      </c>
      <c r="E58" s="3">
        <f>SUM($D$7:D58)</f>
        <v>917100</v>
      </c>
      <c r="F58" s="3">
        <f t="shared" si="0"/>
        <v>43900</v>
      </c>
      <c r="G58" s="3">
        <f>SUM($F$7:F58)</f>
        <v>458550</v>
      </c>
      <c r="H58" s="16"/>
      <c r="J58" s="16"/>
      <c r="M58" s="252"/>
    </row>
    <row r="59" spans="2:13">
      <c r="B59" s="3">
        <v>53</v>
      </c>
      <c r="C59" s="3">
        <v>8000</v>
      </c>
      <c r="D59" s="16">
        <f t="shared" si="1"/>
        <v>95800</v>
      </c>
      <c r="E59" s="3">
        <f>SUM($D$7:D59)</f>
        <v>1012900</v>
      </c>
      <c r="F59" s="3">
        <f t="shared" si="0"/>
        <v>47900</v>
      </c>
      <c r="G59" s="3">
        <f>SUM($F$7:F59)</f>
        <v>506450</v>
      </c>
      <c r="H59" s="16"/>
      <c r="J59" s="16"/>
      <c r="M59" s="252"/>
    </row>
    <row r="60" spans="2:13">
      <c r="B60" s="3">
        <v>54</v>
      </c>
      <c r="C60" s="3">
        <v>8000</v>
      </c>
      <c r="D60" s="16">
        <f t="shared" si="1"/>
        <v>103800</v>
      </c>
      <c r="E60" s="3">
        <f>SUM($D$7:D60)</f>
        <v>1116700</v>
      </c>
      <c r="F60" s="3">
        <f t="shared" si="0"/>
        <v>51900</v>
      </c>
      <c r="G60" s="3">
        <f>SUM($F$7:F60)</f>
        <v>558350</v>
      </c>
      <c r="H60" s="16"/>
      <c r="J60" s="16"/>
      <c r="M60" s="252"/>
    </row>
    <row r="61" spans="2:13">
      <c r="B61" s="3">
        <v>55</v>
      </c>
      <c r="C61" s="3">
        <v>8000</v>
      </c>
      <c r="D61" s="16">
        <f t="shared" si="1"/>
        <v>111800</v>
      </c>
      <c r="E61" s="3">
        <f>SUM($D$7:D61)</f>
        <v>1228500</v>
      </c>
      <c r="F61" s="3">
        <f t="shared" si="0"/>
        <v>55900</v>
      </c>
      <c r="G61" s="3">
        <f>SUM($F$7:F61)</f>
        <v>614250</v>
      </c>
      <c r="H61" s="16"/>
      <c r="J61" s="16"/>
      <c r="M61" s="252"/>
    </row>
    <row r="62" spans="2:13">
      <c r="B62" s="3">
        <v>56</v>
      </c>
      <c r="C62" s="3">
        <v>9000</v>
      </c>
      <c r="D62" s="16">
        <f t="shared" si="1"/>
        <v>120800</v>
      </c>
      <c r="E62" s="3">
        <f>SUM($D$7:D62)</f>
        <v>1349300</v>
      </c>
      <c r="F62" s="3">
        <f t="shared" si="0"/>
        <v>60400</v>
      </c>
      <c r="G62" s="3">
        <f>SUM($F$7:F62)</f>
        <v>674650</v>
      </c>
      <c r="H62" s="16"/>
      <c r="J62" s="16"/>
      <c r="M62" s="252"/>
    </row>
    <row r="63" spans="2:13">
      <c r="B63" s="3">
        <v>57</v>
      </c>
      <c r="C63" s="3">
        <v>9000</v>
      </c>
      <c r="D63" s="16">
        <f t="shared" si="1"/>
        <v>129800</v>
      </c>
      <c r="E63" s="3">
        <f>SUM($D$7:D63)</f>
        <v>1479100</v>
      </c>
      <c r="F63" s="3">
        <f t="shared" si="0"/>
        <v>64900</v>
      </c>
      <c r="G63" s="3">
        <f>SUM($F$7:F63)</f>
        <v>739550</v>
      </c>
      <c r="H63" s="16"/>
      <c r="J63" s="16"/>
      <c r="M63" s="252"/>
    </row>
    <row r="64" spans="2:13">
      <c r="B64" s="3">
        <v>58</v>
      </c>
      <c r="C64" s="3">
        <v>9000</v>
      </c>
      <c r="D64" s="16">
        <f t="shared" si="1"/>
        <v>138800</v>
      </c>
      <c r="E64" s="3">
        <f>SUM($D$7:D64)</f>
        <v>1617900</v>
      </c>
      <c r="F64" s="3">
        <f t="shared" si="0"/>
        <v>69400</v>
      </c>
      <c r="G64" s="3">
        <f>SUM($F$7:F64)</f>
        <v>808950</v>
      </c>
      <c r="H64" s="16"/>
      <c r="J64" s="16"/>
      <c r="M64" s="252"/>
    </row>
    <row r="65" spans="2:13">
      <c r="B65" s="3">
        <v>59</v>
      </c>
      <c r="C65" s="3">
        <v>9000</v>
      </c>
      <c r="D65" s="16">
        <f t="shared" si="1"/>
        <v>147800</v>
      </c>
      <c r="E65" s="3">
        <f>SUM($D$7:D65)</f>
        <v>1765700</v>
      </c>
      <c r="F65" s="3">
        <f t="shared" si="0"/>
        <v>73900</v>
      </c>
      <c r="G65" s="3">
        <f>SUM($F$7:F65)</f>
        <v>882850</v>
      </c>
      <c r="H65" s="16"/>
      <c r="J65" s="16"/>
      <c r="M65" s="252"/>
    </row>
    <row r="66" spans="2:13">
      <c r="B66" s="3">
        <v>60</v>
      </c>
      <c r="C66" s="3">
        <v>9000</v>
      </c>
      <c r="D66" s="16">
        <f t="shared" si="1"/>
        <v>156800</v>
      </c>
      <c r="E66" s="3">
        <f>SUM($D$7:D66)</f>
        <v>1922500</v>
      </c>
      <c r="F66" s="3">
        <f t="shared" si="0"/>
        <v>78400</v>
      </c>
      <c r="G66" s="3">
        <f>SUM($F$7:F66)</f>
        <v>961250</v>
      </c>
      <c r="H66" s="16"/>
      <c r="J66" s="16"/>
      <c r="M66" s="252"/>
    </row>
    <row r="67" spans="2:13">
      <c r="J67" s="16"/>
      <c r="M67" s="252"/>
    </row>
    <row r="68" spans="2:13">
      <c r="J68" s="16"/>
      <c r="M68" s="252"/>
    </row>
    <row r="69" spans="2:13">
      <c r="J69" s="16"/>
      <c r="M69" s="252"/>
    </row>
    <row r="70" spans="2:13">
      <c r="J70" s="16"/>
      <c r="M70" s="252"/>
    </row>
    <row r="71" spans="2:13">
      <c r="J71" s="16"/>
      <c r="M71" s="252"/>
    </row>
    <row r="72" spans="2:13">
      <c r="J72" s="16"/>
      <c r="M72" s="252"/>
    </row>
    <row r="73" spans="2:13">
      <c r="J73" s="16"/>
      <c r="M73" s="252"/>
    </row>
    <row r="74" spans="2:13">
      <c r="J74" s="16"/>
      <c r="M74" s="252"/>
    </row>
    <row r="75" spans="2:13">
      <c r="J75" s="16"/>
      <c r="M75" s="252"/>
    </row>
    <row r="76" spans="2:13">
      <c r="J76" s="16"/>
      <c r="M76" s="252"/>
    </row>
    <row r="77" spans="2:13">
      <c r="J77" s="16"/>
      <c r="M77" s="252"/>
    </row>
    <row r="78" spans="2:13">
      <c r="J78" s="16"/>
      <c r="M78" s="252"/>
    </row>
    <row r="79" spans="2:13">
      <c r="J79" s="16"/>
      <c r="M79" s="252"/>
    </row>
    <row r="80" spans="2:13">
      <c r="J80" s="16"/>
      <c r="M80" s="252"/>
    </row>
    <row r="81" spans="10:13">
      <c r="J81" s="16"/>
      <c r="M81" s="252"/>
    </row>
    <row r="82" spans="10:13">
      <c r="J82" s="16"/>
      <c r="M82" s="252"/>
    </row>
    <row r="83" spans="10:13">
      <c r="J83" s="16"/>
      <c r="M83" s="252"/>
    </row>
    <row r="84" spans="10:13">
      <c r="J84" s="16"/>
      <c r="M84" s="252"/>
    </row>
    <row r="85" spans="10:13">
      <c r="J85" s="16"/>
      <c r="M85" s="252"/>
    </row>
    <row r="86" spans="10:13">
      <c r="J86" s="16"/>
      <c r="M86" s="252"/>
    </row>
    <row r="87" spans="10:13">
      <c r="J87" s="16"/>
      <c r="M87" s="252"/>
    </row>
    <row r="88" spans="10:13">
      <c r="J88" s="16"/>
      <c r="M88" s="252"/>
    </row>
    <row r="89" spans="10:13">
      <c r="J89" s="16"/>
      <c r="M89" s="252"/>
    </row>
    <row r="90" spans="10:13">
      <c r="J90" s="16"/>
      <c r="M90" s="252"/>
    </row>
    <row r="91" spans="10:13">
      <c r="J91" s="16"/>
      <c r="M91" s="252"/>
    </row>
    <row r="92" spans="10:13">
      <c r="J92" s="16"/>
      <c r="M92" s="252"/>
    </row>
    <row r="93" spans="10:13">
      <c r="J93" s="16"/>
      <c r="M93" s="252"/>
    </row>
    <row r="94" spans="10:13">
      <c r="J94" s="16"/>
      <c r="M94" s="252"/>
    </row>
    <row r="95" spans="10:13">
      <c r="J95" s="16"/>
      <c r="M95" s="252"/>
    </row>
    <row r="96" spans="10:13">
      <c r="J96" s="16"/>
      <c r="M96" s="252"/>
    </row>
    <row r="97" spans="10:13">
      <c r="J97" s="16"/>
      <c r="M97" s="252"/>
    </row>
    <row r="98" spans="10:13">
      <c r="J98" s="16"/>
      <c r="M98" s="252"/>
    </row>
    <row r="99" spans="10:13">
      <c r="J99" s="16"/>
      <c r="M99" s="252"/>
    </row>
    <row r="100" spans="10:13">
      <c r="J100" s="16"/>
      <c r="M100" s="252"/>
    </row>
    <row r="101" spans="10:13">
      <c r="J101" s="16"/>
      <c r="M101" s="252"/>
    </row>
    <row r="102" spans="10:13">
      <c r="J102" s="16"/>
      <c r="M102" s="252"/>
    </row>
    <row r="103" spans="10:13">
      <c r="J103" s="16"/>
      <c r="M103" s="252"/>
    </row>
    <row r="104" spans="10:13">
      <c r="J104" s="16"/>
      <c r="M104" s="252"/>
    </row>
    <row r="105" spans="10:13">
      <c r="J105" s="16"/>
      <c r="M105" s="252"/>
    </row>
    <row r="106" spans="10:13">
      <c r="J106" s="16"/>
      <c r="M106" s="252"/>
    </row>
    <row r="107" spans="10:13">
      <c r="J107" s="16"/>
      <c r="M107" s="252"/>
    </row>
    <row r="108" spans="10:13">
      <c r="J108" s="16"/>
      <c r="M108" s="252"/>
    </row>
    <row r="109" spans="10:13">
      <c r="J109" s="16"/>
      <c r="M109" s="252"/>
    </row>
    <row r="110" spans="10:13">
      <c r="J110" s="16"/>
      <c r="M110" s="252"/>
    </row>
    <row r="111" spans="10:13">
      <c r="J111" s="16"/>
      <c r="M111" s="252"/>
    </row>
    <row r="112" spans="10:13">
      <c r="M112" s="252"/>
    </row>
    <row r="113" spans="13:13">
      <c r="M113" s="252"/>
    </row>
    <row r="114" spans="13:13">
      <c r="M114" s="252"/>
    </row>
    <row r="115" spans="13:13">
      <c r="M115" s="252"/>
    </row>
    <row r="116" spans="13:13">
      <c r="M116" s="252"/>
    </row>
    <row r="117" spans="13:13">
      <c r="M117" s="252"/>
    </row>
    <row r="118" spans="13:13">
      <c r="M118" s="252"/>
    </row>
    <row r="119" spans="13:13">
      <c r="M119" s="252"/>
    </row>
    <row r="120" spans="13:13">
      <c r="M120" s="252"/>
    </row>
    <row r="121" spans="13:13">
      <c r="M121" s="252"/>
    </row>
    <row r="122" spans="13:13">
      <c r="M122" s="252"/>
    </row>
    <row r="123" spans="13:13">
      <c r="M123" s="252"/>
    </row>
    <row r="124" spans="13:13">
      <c r="M124" s="252"/>
    </row>
    <row r="125" spans="13:13">
      <c r="M125" s="252"/>
    </row>
    <row r="126" spans="13:13">
      <c r="M126" s="252"/>
    </row>
    <row r="127" spans="13:13">
      <c r="M127" s="252"/>
    </row>
    <row r="128" spans="13:13">
      <c r="M128" s="252"/>
    </row>
    <row r="129" spans="13:13">
      <c r="M129" s="252"/>
    </row>
    <row r="130" spans="13:13">
      <c r="M130" s="252"/>
    </row>
    <row r="131" spans="13:13">
      <c r="M131" s="252"/>
    </row>
    <row r="132" spans="13:13">
      <c r="M132" s="252"/>
    </row>
    <row r="133" spans="13:13">
      <c r="M133" s="252"/>
    </row>
    <row r="134" spans="13:13">
      <c r="M134" s="252"/>
    </row>
    <row r="135" spans="13:13">
      <c r="M135" s="252"/>
    </row>
    <row r="136" spans="13:13">
      <c r="M136" s="252"/>
    </row>
    <row r="137" spans="13:13">
      <c r="M137" s="252"/>
    </row>
    <row r="138" spans="13:13">
      <c r="M138" s="252"/>
    </row>
    <row r="139" spans="13:13">
      <c r="M139" s="252"/>
    </row>
    <row r="140" spans="13:13">
      <c r="M140" s="252"/>
    </row>
    <row r="141" spans="13:13">
      <c r="M141" s="252"/>
    </row>
    <row r="142" spans="13:13">
      <c r="M142" s="252"/>
    </row>
    <row r="143" spans="13:13">
      <c r="M143" s="252"/>
    </row>
    <row r="144" spans="13:13">
      <c r="M144" s="252"/>
    </row>
    <row r="145" spans="13:13">
      <c r="M145" s="252"/>
    </row>
    <row r="146" spans="13:13">
      <c r="M146" s="252"/>
    </row>
    <row r="147" spans="13:13">
      <c r="M147" s="252"/>
    </row>
    <row r="148" spans="13:13">
      <c r="M148" s="252"/>
    </row>
    <row r="149" spans="13:13">
      <c r="M149" s="252"/>
    </row>
    <row r="150" spans="13:13">
      <c r="M150" s="252"/>
    </row>
    <row r="151" spans="13:13">
      <c r="M151" s="252"/>
    </row>
    <row r="152" spans="13:13">
      <c r="M152" s="252"/>
    </row>
    <row r="153" spans="13:13">
      <c r="M153" s="252"/>
    </row>
    <row r="154" spans="13:13">
      <c r="M154" s="252"/>
    </row>
    <row r="155" spans="13:13">
      <c r="M155" s="252"/>
    </row>
    <row r="156" spans="13:13">
      <c r="M156" s="252"/>
    </row>
    <row r="157" spans="13:13">
      <c r="M157" s="252"/>
    </row>
    <row r="158" spans="13:13">
      <c r="M158" s="252"/>
    </row>
    <row r="159" spans="13:13">
      <c r="M159" s="252"/>
    </row>
    <row r="160" spans="13:13">
      <c r="M160" s="252"/>
    </row>
    <row r="161" spans="13:13">
      <c r="M161" s="252"/>
    </row>
    <row r="162" spans="13:13">
      <c r="M162" s="252"/>
    </row>
    <row r="163" spans="13:13">
      <c r="M163" s="252"/>
    </row>
    <row r="164" spans="13:13">
      <c r="M164" s="252"/>
    </row>
    <row r="165" spans="13:13">
      <c r="M165" s="252"/>
    </row>
    <row r="166" spans="13:13">
      <c r="M166" s="252"/>
    </row>
    <row r="167" spans="13:13">
      <c r="M167" s="252"/>
    </row>
    <row r="168" spans="13:13">
      <c r="M168" s="252"/>
    </row>
    <row r="169" spans="13:13">
      <c r="M169" s="252"/>
    </row>
    <row r="170" spans="13:13">
      <c r="M170" s="252"/>
    </row>
    <row r="171" spans="13:13">
      <c r="M171" s="252"/>
    </row>
    <row r="172" spans="13:13">
      <c r="M172" s="252"/>
    </row>
    <row r="173" spans="13:13">
      <c r="M173" s="252"/>
    </row>
    <row r="174" spans="13:13">
      <c r="M174" s="252"/>
    </row>
    <row r="175" spans="13:13">
      <c r="M175" s="252"/>
    </row>
    <row r="176" spans="13:13">
      <c r="M176" s="252"/>
    </row>
    <row r="177" spans="13:13">
      <c r="M177" s="252"/>
    </row>
    <row r="178" spans="13:13">
      <c r="M178" s="252"/>
    </row>
    <row r="179" spans="13:13">
      <c r="M179" s="252"/>
    </row>
    <row r="180" spans="13:13">
      <c r="M180" s="252"/>
    </row>
    <row r="181" spans="13:13">
      <c r="M181" s="252"/>
    </row>
    <row r="182" spans="13:13">
      <c r="M182" s="252"/>
    </row>
    <row r="183" spans="13:13">
      <c r="M183" s="252"/>
    </row>
    <row r="184" spans="13:13">
      <c r="M184" s="252"/>
    </row>
    <row r="185" spans="13:13">
      <c r="M185" s="252"/>
    </row>
    <row r="186" spans="13:13">
      <c r="M186" s="252"/>
    </row>
    <row r="187" spans="13:13">
      <c r="M187" s="252"/>
    </row>
    <row r="188" spans="13:13">
      <c r="M188" s="252"/>
    </row>
    <row r="189" spans="13:13">
      <c r="M189" s="252"/>
    </row>
    <row r="190" spans="13:13">
      <c r="M190" s="252"/>
    </row>
    <row r="191" spans="13:13">
      <c r="M191" s="252"/>
    </row>
    <row r="192" spans="13:13">
      <c r="M192" s="252"/>
    </row>
    <row r="193" spans="13:13">
      <c r="M193" s="252"/>
    </row>
    <row r="194" spans="13:13">
      <c r="M194" s="252"/>
    </row>
    <row r="195" spans="13:13">
      <c r="M195" s="252"/>
    </row>
    <row r="196" spans="13:13">
      <c r="M196" s="252"/>
    </row>
    <row r="197" spans="13:13">
      <c r="M197" s="252"/>
    </row>
    <row r="198" spans="13:13">
      <c r="M198" s="252"/>
    </row>
    <row r="199" spans="13:13">
      <c r="M199" s="252"/>
    </row>
    <row r="200" spans="13:13">
      <c r="M200" s="252"/>
    </row>
    <row r="201" spans="13:13">
      <c r="M201" s="252"/>
    </row>
    <row r="202" spans="13:13">
      <c r="M202" s="252"/>
    </row>
    <row r="203" spans="13:13">
      <c r="M203" s="252"/>
    </row>
    <row r="204" spans="13:13">
      <c r="M204" s="252"/>
    </row>
    <row r="205" spans="13:13">
      <c r="M205" s="252"/>
    </row>
    <row r="206" spans="13:13">
      <c r="M206" s="252"/>
    </row>
    <row r="207" spans="13:13">
      <c r="M207" s="252"/>
    </row>
    <row r="208" spans="13:13">
      <c r="M208" s="252"/>
    </row>
    <row r="209" spans="13:13">
      <c r="M209" s="252"/>
    </row>
    <row r="210" spans="13:13">
      <c r="M210" s="252"/>
    </row>
    <row r="211" spans="13:13">
      <c r="M211" s="252"/>
    </row>
    <row r="212" spans="13:13">
      <c r="M212" s="252"/>
    </row>
    <row r="213" spans="13:13">
      <c r="M213" s="252"/>
    </row>
    <row r="214" spans="13:13">
      <c r="M214" s="252"/>
    </row>
    <row r="215" spans="13:13">
      <c r="M215" s="252"/>
    </row>
    <row r="216" spans="13:13">
      <c r="M216" s="252"/>
    </row>
    <row r="217" spans="13:13">
      <c r="M217" s="252"/>
    </row>
    <row r="218" spans="13:13">
      <c r="M218" s="252"/>
    </row>
    <row r="219" spans="13:13">
      <c r="M219" s="252"/>
    </row>
    <row r="220" spans="13:13">
      <c r="M220" s="252"/>
    </row>
    <row r="221" spans="13:13">
      <c r="M221" s="252"/>
    </row>
    <row r="222" spans="13:13">
      <c r="M222" s="252"/>
    </row>
    <row r="223" spans="13:13">
      <c r="M223" s="252"/>
    </row>
    <row r="224" spans="13:13">
      <c r="M224" s="252"/>
    </row>
    <row r="225" spans="13:13">
      <c r="M225" s="252"/>
    </row>
    <row r="226" spans="13:13">
      <c r="M226" s="252"/>
    </row>
    <row r="227" spans="13:13">
      <c r="M227" s="252"/>
    </row>
    <row r="228" spans="13:13">
      <c r="M228" s="252"/>
    </row>
    <row r="229" spans="13:13">
      <c r="M229" s="252"/>
    </row>
    <row r="230" spans="13:13">
      <c r="M230" s="252"/>
    </row>
    <row r="231" spans="13:13">
      <c r="M231" s="252"/>
    </row>
    <row r="232" spans="13:13">
      <c r="M232" s="252"/>
    </row>
    <row r="233" spans="13:13">
      <c r="M233" s="252"/>
    </row>
    <row r="234" spans="13:13">
      <c r="M234" s="252"/>
    </row>
    <row r="235" spans="13:13">
      <c r="M235" s="252"/>
    </row>
    <row r="236" spans="13:13">
      <c r="M236" s="252"/>
    </row>
    <row r="237" spans="13:13">
      <c r="M237" s="252"/>
    </row>
    <row r="238" spans="13:13">
      <c r="M238" s="252"/>
    </row>
    <row r="239" spans="13:13">
      <c r="M239" s="252"/>
    </row>
    <row r="240" spans="13:13">
      <c r="M240" s="252"/>
    </row>
    <row r="241" spans="13:13">
      <c r="M241" s="252"/>
    </row>
    <row r="242" spans="13:13">
      <c r="M242" s="252"/>
    </row>
    <row r="243" spans="13:13">
      <c r="M243" s="252"/>
    </row>
    <row r="244" spans="13:13">
      <c r="M244" s="252"/>
    </row>
    <row r="245" spans="13:13">
      <c r="M245" s="252"/>
    </row>
    <row r="246" spans="13:13">
      <c r="M246" s="252"/>
    </row>
    <row r="247" spans="13:13">
      <c r="M247" s="252"/>
    </row>
    <row r="248" spans="13:13">
      <c r="M248" s="252"/>
    </row>
    <row r="249" spans="13:13">
      <c r="M249" s="252"/>
    </row>
    <row r="250" spans="13:13">
      <c r="M250" s="252"/>
    </row>
    <row r="251" spans="13:13">
      <c r="M251" s="252"/>
    </row>
    <row r="252" spans="13:13">
      <c r="M252" s="252"/>
    </row>
    <row r="253" spans="13:13">
      <c r="M253" s="252"/>
    </row>
    <row r="254" spans="13:13">
      <c r="M254" s="252"/>
    </row>
    <row r="255" spans="13:13">
      <c r="M255" s="252"/>
    </row>
    <row r="256" spans="13:13">
      <c r="M256" s="252"/>
    </row>
    <row r="257" spans="13:13">
      <c r="M257" s="252"/>
    </row>
    <row r="258" spans="13:13">
      <c r="M258" s="252"/>
    </row>
    <row r="259" spans="13:13">
      <c r="M259" s="252"/>
    </row>
    <row r="260" spans="13:13">
      <c r="M260" s="252"/>
    </row>
    <row r="261" spans="13:13">
      <c r="M261" s="252"/>
    </row>
    <row r="262" spans="13:13">
      <c r="M262" s="252"/>
    </row>
    <row r="263" spans="13:13">
      <c r="M263" s="252"/>
    </row>
    <row r="264" spans="13:13">
      <c r="M264" s="252"/>
    </row>
    <row r="265" spans="13:13">
      <c r="M265" s="252"/>
    </row>
    <row r="266" spans="13:13">
      <c r="M266" s="252"/>
    </row>
    <row r="267" spans="13:13">
      <c r="M267" s="252"/>
    </row>
    <row r="268" spans="13:13">
      <c r="M268" s="252"/>
    </row>
    <row r="269" spans="13:13">
      <c r="M269" s="252"/>
    </row>
    <row r="270" spans="13:13">
      <c r="M270" s="252"/>
    </row>
    <row r="271" spans="13:13">
      <c r="M271" s="252"/>
    </row>
    <row r="272" spans="13:13">
      <c r="M272" s="252"/>
    </row>
    <row r="273" spans="13:13">
      <c r="M273" s="252"/>
    </row>
    <row r="274" spans="13:13">
      <c r="M274" s="252"/>
    </row>
    <row r="275" spans="13:13">
      <c r="M275" s="252"/>
    </row>
    <row r="276" spans="13:13">
      <c r="M276" s="252"/>
    </row>
    <row r="277" spans="13:13">
      <c r="M277" s="252"/>
    </row>
    <row r="278" spans="13:13">
      <c r="M278" s="252"/>
    </row>
    <row r="279" spans="13:13">
      <c r="M279" s="252"/>
    </row>
    <row r="280" spans="13:13">
      <c r="M280" s="252"/>
    </row>
    <row r="281" spans="13:13">
      <c r="M281" s="252"/>
    </row>
    <row r="282" spans="13:13">
      <c r="M282" s="252"/>
    </row>
    <row r="283" spans="13:13">
      <c r="M283" s="252"/>
    </row>
    <row r="284" spans="13:13">
      <c r="M284" s="252"/>
    </row>
    <row r="285" spans="13:13">
      <c r="M285" s="252"/>
    </row>
    <row r="286" spans="13:13">
      <c r="M286" s="252"/>
    </row>
    <row r="287" spans="13:13">
      <c r="M287" s="252"/>
    </row>
    <row r="288" spans="13:13">
      <c r="M288" s="252"/>
    </row>
    <row r="289" spans="13:13">
      <c r="M289" s="252"/>
    </row>
    <row r="290" spans="13:13">
      <c r="M290" s="252"/>
    </row>
    <row r="291" spans="13:13">
      <c r="M291" s="252"/>
    </row>
    <row r="292" spans="13:13">
      <c r="M292" s="252"/>
    </row>
    <row r="293" spans="13:13">
      <c r="M293" s="252"/>
    </row>
    <row r="294" spans="13:13">
      <c r="M294" s="252"/>
    </row>
    <row r="295" spans="13:13">
      <c r="M295" s="252"/>
    </row>
    <row r="296" spans="13:13">
      <c r="M296" s="252"/>
    </row>
    <row r="297" spans="13:13">
      <c r="M297" s="252"/>
    </row>
    <row r="298" spans="13:13">
      <c r="M298" s="252"/>
    </row>
    <row r="299" spans="13:13">
      <c r="M299" s="252"/>
    </row>
    <row r="300" spans="13:13">
      <c r="M300" s="252"/>
    </row>
    <row r="301" spans="13:13">
      <c r="M301" s="252"/>
    </row>
    <row r="302" spans="13:13">
      <c r="M302" s="252"/>
    </row>
    <row r="303" spans="13:13">
      <c r="M303" s="252"/>
    </row>
    <row r="304" spans="13:13">
      <c r="M304" s="252"/>
    </row>
    <row r="305" spans="13:13">
      <c r="M305" s="252"/>
    </row>
    <row r="306" spans="13:13">
      <c r="M306" s="252"/>
    </row>
    <row r="307" spans="13:13">
      <c r="M307" s="252"/>
    </row>
    <row r="308" spans="13:13">
      <c r="M308" s="252"/>
    </row>
    <row r="309" spans="13:13">
      <c r="M309" s="252"/>
    </row>
    <row r="310" spans="13:13">
      <c r="M310" s="252"/>
    </row>
    <row r="311" spans="13:13">
      <c r="M311" s="252"/>
    </row>
    <row r="312" spans="13:13">
      <c r="M312" s="252"/>
    </row>
    <row r="313" spans="13:13">
      <c r="M313" s="252"/>
    </row>
    <row r="314" spans="13:13">
      <c r="M314" s="252"/>
    </row>
    <row r="315" spans="13:13">
      <c r="M315" s="252"/>
    </row>
    <row r="316" spans="13:13">
      <c r="M316" s="252"/>
    </row>
    <row r="317" spans="13:13">
      <c r="M317" s="252"/>
    </row>
    <row r="318" spans="13:13">
      <c r="M318" s="252"/>
    </row>
    <row r="319" spans="13:13">
      <c r="M319" s="252"/>
    </row>
    <row r="320" spans="13:13">
      <c r="M320" s="252"/>
    </row>
    <row r="321" spans="13:13">
      <c r="M321" s="252"/>
    </row>
    <row r="322" spans="13:13">
      <c r="M322" s="252"/>
    </row>
    <row r="323" spans="13:13">
      <c r="M323" s="252"/>
    </row>
    <row r="324" spans="13:13">
      <c r="M324" s="252"/>
    </row>
    <row r="325" spans="13:13">
      <c r="M325" s="252"/>
    </row>
    <row r="326" spans="13:13">
      <c r="M326" s="252"/>
    </row>
    <row r="327" spans="13:13">
      <c r="M327" s="252"/>
    </row>
    <row r="328" spans="13:13">
      <c r="M328" s="252"/>
    </row>
    <row r="329" spans="13:13">
      <c r="M329" s="252"/>
    </row>
    <row r="330" spans="13:13">
      <c r="M330" s="252"/>
    </row>
    <row r="331" spans="13:13">
      <c r="M331" s="252"/>
    </row>
    <row r="332" spans="13:13">
      <c r="M332" s="252"/>
    </row>
    <row r="333" spans="13:13">
      <c r="M333" s="252"/>
    </row>
    <row r="334" spans="13:13">
      <c r="M334" s="252"/>
    </row>
    <row r="335" spans="13:13">
      <c r="M335" s="252"/>
    </row>
    <row r="336" spans="13:13">
      <c r="M336" s="252"/>
    </row>
    <row r="337" spans="13:13">
      <c r="M337" s="252"/>
    </row>
    <row r="338" spans="13:13">
      <c r="M338" s="252"/>
    </row>
    <row r="339" spans="13:13">
      <c r="M339" s="252"/>
    </row>
    <row r="340" spans="13:13">
      <c r="M340" s="252"/>
    </row>
    <row r="341" spans="13:13">
      <c r="M341" s="252"/>
    </row>
    <row r="342" spans="13:13">
      <c r="M342" s="252"/>
    </row>
    <row r="343" spans="13:13">
      <c r="M343" s="252"/>
    </row>
    <row r="344" spans="13:13">
      <c r="M344" s="252"/>
    </row>
    <row r="345" spans="13:13">
      <c r="M345" s="252"/>
    </row>
    <row r="346" spans="13:13">
      <c r="M346" s="252"/>
    </row>
    <row r="347" spans="13:13">
      <c r="M347" s="252"/>
    </row>
    <row r="348" spans="13:13">
      <c r="M348" s="252"/>
    </row>
    <row r="349" spans="13:13">
      <c r="M349" s="252"/>
    </row>
    <row r="350" spans="13:13">
      <c r="M350" s="252"/>
    </row>
    <row r="351" spans="13:13">
      <c r="M351" s="252"/>
    </row>
    <row r="352" spans="13:13">
      <c r="M352" s="252"/>
    </row>
    <row r="353" spans="13:13">
      <c r="M353" s="252"/>
    </row>
    <row r="354" spans="13:13">
      <c r="M354" s="252"/>
    </row>
    <row r="355" spans="13:13">
      <c r="M355" s="252"/>
    </row>
    <row r="356" spans="13:13">
      <c r="M356" s="252"/>
    </row>
    <row r="357" spans="13:13">
      <c r="M357" s="252"/>
    </row>
    <row r="358" spans="13:13">
      <c r="M358" s="252"/>
    </row>
    <row r="359" spans="13:13">
      <c r="M359" s="252"/>
    </row>
    <row r="360" spans="13:13">
      <c r="M360" s="252"/>
    </row>
    <row r="361" spans="13:13">
      <c r="M361" s="252"/>
    </row>
    <row r="362" spans="13:13">
      <c r="M362" s="252"/>
    </row>
    <row r="363" spans="13:13">
      <c r="M363" s="252"/>
    </row>
    <row r="364" spans="13:13">
      <c r="M364" s="252"/>
    </row>
    <row r="365" spans="13:13">
      <c r="M365" s="252"/>
    </row>
    <row r="366" spans="13:13">
      <c r="M366" s="252"/>
    </row>
    <row r="367" spans="13:13">
      <c r="M367" s="252"/>
    </row>
    <row r="368" spans="13:13">
      <c r="M368" s="252"/>
    </row>
    <row r="369" spans="13:13">
      <c r="M369" s="252"/>
    </row>
    <row r="370" spans="13:13">
      <c r="M370" s="252"/>
    </row>
    <row r="371" spans="13:13">
      <c r="M371" s="252"/>
    </row>
    <row r="372" spans="13:13">
      <c r="M372" s="252"/>
    </row>
    <row r="373" spans="13:13">
      <c r="M373" s="252"/>
    </row>
    <row r="374" spans="13:13">
      <c r="M374" s="252"/>
    </row>
    <row r="375" spans="13:13">
      <c r="M375" s="252"/>
    </row>
    <row r="376" spans="13:13">
      <c r="M376" s="252"/>
    </row>
    <row r="377" spans="13:13">
      <c r="M377" s="252"/>
    </row>
    <row r="378" spans="13:13">
      <c r="M378" s="252"/>
    </row>
    <row r="379" spans="13:13">
      <c r="M379" s="252"/>
    </row>
    <row r="380" spans="13:13">
      <c r="M380" s="252"/>
    </row>
    <row r="381" spans="13:13">
      <c r="M381" s="252"/>
    </row>
    <row r="382" spans="13:13">
      <c r="M382" s="252"/>
    </row>
    <row r="383" spans="13:13">
      <c r="M383" s="252"/>
    </row>
    <row r="384" spans="13:13">
      <c r="M384" s="252"/>
    </row>
    <row r="385" spans="13:13">
      <c r="M385" s="252"/>
    </row>
    <row r="386" spans="13:13">
      <c r="M386" s="252"/>
    </row>
    <row r="387" spans="13:13">
      <c r="M387" s="252"/>
    </row>
    <row r="388" spans="13:13">
      <c r="M388" s="252"/>
    </row>
    <row r="389" spans="13:13">
      <c r="M389" s="252"/>
    </row>
    <row r="390" spans="13:13">
      <c r="M390" s="252"/>
    </row>
    <row r="391" spans="13:13">
      <c r="M391" s="252"/>
    </row>
    <row r="392" spans="13:13">
      <c r="M392" s="252"/>
    </row>
    <row r="393" spans="13:13">
      <c r="M393" s="252"/>
    </row>
    <row r="394" spans="13:13">
      <c r="M394" s="252"/>
    </row>
    <row r="395" spans="13:13">
      <c r="M395" s="252"/>
    </row>
    <row r="396" spans="13:13">
      <c r="M396" s="252"/>
    </row>
    <row r="397" spans="13:13">
      <c r="M397" s="252"/>
    </row>
    <row r="398" spans="13:13">
      <c r="M398" s="252"/>
    </row>
    <row r="399" spans="13:13">
      <c r="M399" s="252"/>
    </row>
    <row r="400" spans="13:13">
      <c r="M400" s="252"/>
    </row>
    <row r="401" spans="13:13">
      <c r="M401" s="252"/>
    </row>
    <row r="402" spans="13:13">
      <c r="M402" s="252"/>
    </row>
    <row r="403" spans="13:13">
      <c r="M403" s="252"/>
    </row>
    <row r="404" spans="13:13">
      <c r="M404" s="252"/>
    </row>
    <row r="405" spans="13:13">
      <c r="M405" s="252"/>
    </row>
    <row r="406" spans="13:13">
      <c r="M406" s="252"/>
    </row>
    <row r="407" spans="13:13">
      <c r="M407" s="252"/>
    </row>
    <row r="408" spans="13:13">
      <c r="M408" s="252"/>
    </row>
    <row r="409" spans="13:13">
      <c r="M409" s="252"/>
    </row>
    <row r="410" spans="13:13">
      <c r="M410" s="252"/>
    </row>
    <row r="411" spans="13:13">
      <c r="M411" s="252"/>
    </row>
    <row r="412" spans="13:13">
      <c r="M412" s="252"/>
    </row>
    <row r="413" spans="13:13">
      <c r="M413" s="252"/>
    </row>
    <row r="414" spans="13:13">
      <c r="M414" s="252"/>
    </row>
    <row r="415" spans="13:13">
      <c r="M415" s="252"/>
    </row>
    <row r="416" spans="13:13">
      <c r="M416" s="252"/>
    </row>
    <row r="417" spans="13:13">
      <c r="M417" s="252"/>
    </row>
    <row r="418" spans="13:13">
      <c r="M418" s="252"/>
    </row>
    <row r="419" spans="13:13">
      <c r="M419" s="252"/>
    </row>
    <row r="420" spans="13:13">
      <c r="M420" s="252"/>
    </row>
    <row r="421" spans="13:13">
      <c r="M421" s="252"/>
    </row>
    <row r="422" spans="13:13">
      <c r="M422" s="252"/>
    </row>
    <row r="423" spans="13:13">
      <c r="M423" s="252"/>
    </row>
    <row r="424" spans="13:13">
      <c r="M424" s="252"/>
    </row>
    <row r="425" spans="13:13">
      <c r="M425" s="252"/>
    </row>
    <row r="426" spans="13:13">
      <c r="M426" s="252"/>
    </row>
    <row r="427" spans="13:13">
      <c r="M427" s="252"/>
    </row>
    <row r="428" spans="13:13">
      <c r="M428" s="252"/>
    </row>
    <row r="429" spans="13:13">
      <c r="M429" s="252"/>
    </row>
    <row r="430" spans="13:13">
      <c r="M430" s="252"/>
    </row>
    <row r="431" spans="13:13">
      <c r="M431" s="252"/>
    </row>
    <row r="432" spans="13:13">
      <c r="M432" s="252"/>
    </row>
    <row r="433" spans="13:13">
      <c r="M433" s="252"/>
    </row>
    <row r="434" spans="13:13">
      <c r="M434" s="252"/>
    </row>
    <row r="435" spans="13:13">
      <c r="M435" s="252"/>
    </row>
    <row r="436" spans="13:13">
      <c r="M436" s="252"/>
    </row>
    <row r="437" spans="13:13">
      <c r="M437" s="252"/>
    </row>
    <row r="438" spans="13:13">
      <c r="M438" s="252"/>
    </row>
    <row r="439" spans="13:13">
      <c r="M439" s="252"/>
    </row>
    <row r="440" spans="13:13">
      <c r="M440" s="252"/>
    </row>
    <row r="441" spans="13:13">
      <c r="M441" s="252"/>
    </row>
    <row r="442" spans="13:13">
      <c r="M442" s="252"/>
    </row>
    <row r="443" spans="13:13">
      <c r="M443" s="252"/>
    </row>
    <row r="444" spans="13:13">
      <c r="M444" s="252"/>
    </row>
    <row r="445" spans="13:13">
      <c r="M445" s="252"/>
    </row>
    <row r="446" spans="13:13">
      <c r="M446" s="252"/>
    </row>
    <row r="447" spans="13:13">
      <c r="M447" s="252"/>
    </row>
    <row r="448" spans="13:13">
      <c r="M448" s="252"/>
    </row>
    <row r="449" spans="13:13">
      <c r="M449" s="252"/>
    </row>
    <row r="450" spans="13:13">
      <c r="M450" s="252"/>
    </row>
    <row r="451" spans="13:13">
      <c r="M451" s="252"/>
    </row>
    <row r="452" spans="13:13">
      <c r="M452" s="252"/>
    </row>
    <row r="453" spans="13:13">
      <c r="M453" s="252"/>
    </row>
    <row r="454" spans="13:13">
      <c r="M454" s="252"/>
    </row>
    <row r="455" spans="13:13">
      <c r="M455" s="252"/>
    </row>
    <row r="456" spans="13:13">
      <c r="M456" s="252"/>
    </row>
    <row r="457" spans="13:13">
      <c r="M457" s="252"/>
    </row>
    <row r="458" spans="13:13">
      <c r="M458" s="252"/>
    </row>
    <row r="459" spans="13:13">
      <c r="M459" s="252"/>
    </row>
    <row r="460" spans="13:13">
      <c r="M460" s="252"/>
    </row>
    <row r="461" spans="13:13">
      <c r="M461" s="252"/>
    </row>
    <row r="462" spans="13:13">
      <c r="M462" s="252"/>
    </row>
    <row r="463" spans="13:13">
      <c r="M463" s="252"/>
    </row>
    <row r="464" spans="13:13">
      <c r="M464" s="252"/>
    </row>
    <row r="465" spans="13:13">
      <c r="M465" s="252"/>
    </row>
    <row r="466" spans="13:13">
      <c r="M466" s="252"/>
    </row>
    <row r="467" spans="13:13">
      <c r="M467" s="252"/>
    </row>
    <row r="468" spans="13:13">
      <c r="M468" s="252"/>
    </row>
    <row r="469" spans="13:13">
      <c r="M469" s="252"/>
    </row>
    <row r="470" spans="13:13">
      <c r="M470" s="252"/>
    </row>
    <row r="471" spans="13:13">
      <c r="M471" s="252"/>
    </row>
    <row r="472" spans="13:13">
      <c r="M472" s="252"/>
    </row>
    <row r="473" spans="13:13">
      <c r="M473" s="252"/>
    </row>
    <row r="474" spans="13:13">
      <c r="M474" s="252"/>
    </row>
    <row r="475" spans="13:13">
      <c r="M475" s="252"/>
    </row>
    <row r="476" spans="13:13">
      <c r="M476" s="252"/>
    </row>
    <row r="477" spans="13:13">
      <c r="M477" s="252"/>
    </row>
    <row r="478" spans="13:13">
      <c r="M478" s="252"/>
    </row>
    <row r="479" spans="13:13">
      <c r="M479" s="252"/>
    </row>
    <row r="480" spans="13:13">
      <c r="M480" s="252"/>
    </row>
    <row r="481" spans="13:13">
      <c r="M481" s="252"/>
    </row>
    <row r="482" spans="13:13">
      <c r="M482" s="252"/>
    </row>
    <row r="483" spans="13:13">
      <c r="M483" s="252"/>
    </row>
    <row r="484" spans="13:13">
      <c r="M484" s="252"/>
    </row>
    <row r="485" spans="13:13">
      <c r="M485" s="252"/>
    </row>
    <row r="486" spans="13:13">
      <c r="M486" s="252"/>
    </row>
    <row r="487" spans="13:13">
      <c r="M487" s="252"/>
    </row>
    <row r="488" spans="13:13">
      <c r="M488" s="252"/>
    </row>
    <row r="489" spans="13:13">
      <c r="M489" s="252"/>
    </row>
    <row r="490" spans="13:13">
      <c r="M490" s="252"/>
    </row>
    <row r="491" spans="13:13">
      <c r="M491" s="252"/>
    </row>
    <row r="492" spans="13:13">
      <c r="M492" s="252"/>
    </row>
    <row r="493" spans="13:13">
      <c r="M493" s="252"/>
    </row>
    <row r="494" spans="13:13">
      <c r="M494" s="252"/>
    </row>
    <row r="495" spans="13:13">
      <c r="M495" s="252"/>
    </row>
    <row r="496" spans="13:13">
      <c r="M496" s="252"/>
    </row>
    <row r="497" spans="13:13">
      <c r="M497" s="252"/>
    </row>
    <row r="498" spans="13:13">
      <c r="M498" s="252"/>
    </row>
    <row r="499" spans="13:13">
      <c r="M499" s="252"/>
    </row>
    <row r="500" spans="13:13">
      <c r="M500" s="252"/>
    </row>
    <row r="501" spans="13:13">
      <c r="M501" s="252"/>
    </row>
    <row r="502" spans="13:13">
      <c r="M502" s="252"/>
    </row>
    <row r="503" spans="13:13">
      <c r="M503" s="252"/>
    </row>
    <row r="504" spans="13:13">
      <c r="M504" s="252"/>
    </row>
    <row r="505" spans="13:13">
      <c r="M505" s="252"/>
    </row>
    <row r="506" spans="13:13">
      <c r="M506" s="252"/>
    </row>
    <row r="507" spans="13:13">
      <c r="M507" s="252"/>
    </row>
    <row r="508" spans="13:13">
      <c r="M508" s="252"/>
    </row>
    <row r="509" spans="13:13">
      <c r="M509" s="252"/>
    </row>
    <row r="510" spans="13:13">
      <c r="M510" s="252"/>
    </row>
    <row r="511" spans="13:13">
      <c r="M511" s="252"/>
    </row>
    <row r="512" spans="13:13">
      <c r="M512" s="252"/>
    </row>
    <row r="513" spans="13:13">
      <c r="M513" s="252"/>
    </row>
    <row r="514" spans="13:13">
      <c r="M514" s="252"/>
    </row>
    <row r="515" spans="13:13">
      <c r="M515" s="252"/>
    </row>
    <row r="516" spans="13:13">
      <c r="M516" s="252"/>
    </row>
    <row r="517" spans="13:13">
      <c r="M517" s="252"/>
    </row>
    <row r="518" spans="13:13">
      <c r="M518" s="252"/>
    </row>
    <row r="519" spans="13:13">
      <c r="M519" s="252"/>
    </row>
    <row r="520" spans="13:13">
      <c r="M520" s="252"/>
    </row>
    <row r="521" spans="13:13">
      <c r="M521" s="252"/>
    </row>
    <row r="522" spans="13:13">
      <c r="M522" s="252"/>
    </row>
    <row r="523" spans="13:13">
      <c r="M523" s="252"/>
    </row>
    <row r="524" spans="13:13">
      <c r="M524" s="252"/>
    </row>
    <row r="525" spans="13:13">
      <c r="M525" s="252"/>
    </row>
    <row r="526" spans="13:13">
      <c r="M526" s="252"/>
    </row>
    <row r="527" spans="13:13">
      <c r="M527" s="252"/>
    </row>
    <row r="528" spans="13:13">
      <c r="M528" s="252"/>
    </row>
    <row r="529" spans="13:13">
      <c r="M529" s="252"/>
    </row>
    <row r="530" spans="13:13">
      <c r="M530" s="252"/>
    </row>
    <row r="531" spans="13:13">
      <c r="M531" s="252"/>
    </row>
    <row r="532" spans="13:13">
      <c r="M532" s="252"/>
    </row>
    <row r="533" spans="13:13">
      <c r="M533" s="252"/>
    </row>
    <row r="534" spans="13:13">
      <c r="M534" s="252"/>
    </row>
    <row r="535" spans="13:13">
      <c r="M535" s="252"/>
    </row>
    <row r="536" spans="13:13">
      <c r="M536" s="252"/>
    </row>
    <row r="537" spans="13:13">
      <c r="M537" s="252"/>
    </row>
    <row r="538" spans="13:13">
      <c r="M538" s="252"/>
    </row>
    <row r="539" spans="13:13">
      <c r="M539" s="252"/>
    </row>
    <row r="540" spans="13:13">
      <c r="M540" s="252"/>
    </row>
    <row r="541" spans="13:13">
      <c r="M541" s="252"/>
    </row>
    <row r="542" spans="13:13">
      <c r="M542" s="252"/>
    </row>
    <row r="543" spans="13:13">
      <c r="M543" s="252"/>
    </row>
    <row r="544" spans="13:13">
      <c r="M544" s="252"/>
    </row>
    <row r="545" spans="13:13">
      <c r="M545" s="252"/>
    </row>
    <row r="546" spans="13:13">
      <c r="M546" s="252"/>
    </row>
    <row r="547" spans="13:13">
      <c r="M547" s="252"/>
    </row>
    <row r="548" spans="13:13">
      <c r="M548" s="252"/>
    </row>
    <row r="549" spans="13:13">
      <c r="M549" s="252"/>
    </row>
    <row r="550" spans="13:13">
      <c r="M550" s="252"/>
    </row>
    <row r="551" spans="13:13">
      <c r="M551" s="252"/>
    </row>
    <row r="552" spans="13:13">
      <c r="M552" s="252"/>
    </row>
    <row r="553" spans="13:13">
      <c r="M553" s="252"/>
    </row>
    <row r="554" spans="13:13">
      <c r="M554" s="252"/>
    </row>
    <row r="555" spans="13:13">
      <c r="M555" s="252"/>
    </row>
    <row r="556" spans="13:13">
      <c r="M556" s="252"/>
    </row>
    <row r="557" spans="13:13">
      <c r="M557" s="252"/>
    </row>
    <row r="558" spans="13:13">
      <c r="M558" s="252"/>
    </row>
    <row r="559" spans="13:13">
      <c r="M559" s="252"/>
    </row>
    <row r="560" spans="13:13">
      <c r="M560" s="252"/>
    </row>
    <row r="561" spans="13:13">
      <c r="M561" s="252"/>
    </row>
    <row r="562" spans="13:13">
      <c r="M562" s="252"/>
    </row>
    <row r="563" spans="13:13">
      <c r="M563" s="252"/>
    </row>
    <row r="564" spans="13:13">
      <c r="M564" s="252"/>
    </row>
    <row r="565" spans="13:13">
      <c r="M565" s="252"/>
    </row>
    <row r="566" spans="13:13">
      <c r="M566" s="252"/>
    </row>
    <row r="567" spans="13:13">
      <c r="M567" s="252"/>
    </row>
    <row r="568" spans="13:13">
      <c r="M568" s="252"/>
    </row>
    <row r="569" spans="13:13">
      <c r="M569" s="252"/>
    </row>
    <row r="570" spans="13:13">
      <c r="M570" s="252"/>
    </row>
    <row r="571" spans="13:13">
      <c r="M571" s="252"/>
    </row>
    <row r="572" spans="13:13">
      <c r="M572" s="252"/>
    </row>
    <row r="573" spans="13:13">
      <c r="M573" s="252"/>
    </row>
    <row r="574" spans="13:13">
      <c r="M574" s="252"/>
    </row>
    <row r="575" spans="13:13">
      <c r="M575" s="252"/>
    </row>
    <row r="576" spans="13:13">
      <c r="M576" s="252"/>
    </row>
    <row r="577" spans="13:13">
      <c r="M577" s="252"/>
    </row>
    <row r="578" spans="13:13">
      <c r="M578" s="252"/>
    </row>
    <row r="579" spans="13:13">
      <c r="M579" s="252"/>
    </row>
    <row r="580" spans="13:13">
      <c r="M580" s="252"/>
    </row>
    <row r="581" spans="13:13">
      <c r="M581" s="252"/>
    </row>
    <row r="582" spans="13:13">
      <c r="M582" s="252"/>
    </row>
    <row r="583" spans="13:13">
      <c r="M583" s="252"/>
    </row>
    <row r="584" spans="13:13">
      <c r="M584" s="252"/>
    </row>
    <row r="585" spans="13:13">
      <c r="M585" s="252"/>
    </row>
    <row r="586" spans="13:13">
      <c r="M586" s="252"/>
    </row>
    <row r="587" spans="13:13">
      <c r="M587" s="252"/>
    </row>
    <row r="588" spans="13:13">
      <c r="M588" s="252"/>
    </row>
    <row r="589" spans="13:13">
      <c r="M589" s="252"/>
    </row>
    <row r="590" spans="13:13">
      <c r="M590" s="252"/>
    </row>
    <row r="591" spans="13:13">
      <c r="M591" s="252"/>
    </row>
    <row r="592" spans="13:13">
      <c r="M592" s="252"/>
    </row>
    <row r="593" spans="13:13">
      <c r="M593" s="252"/>
    </row>
    <row r="594" spans="13:13">
      <c r="M594" s="252"/>
    </row>
    <row r="595" spans="13:13">
      <c r="M595" s="252"/>
    </row>
    <row r="596" spans="13:13">
      <c r="M596" s="252"/>
    </row>
    <row r="597" spans="13:13">
      <c r="M597" s="252"/>
    </row>
    <row r="598" spans="13:13">
      <c r="M598" s="252"/>
    </row>
    <row r="599" spans="13:13">
      <c r="M599" s="252"/>
    </row>
    <row r="600" spans="13:13">
      <c r="M600" s="252"/>
    </row>
    <row r="601" spans="13:13">
      <c r="M601" s="252"/>
    </row>
    <row r="602" spans="13:13">
      <c r="M602" s="252"/>
    </row>
    <row r="603" spans="13:13">
      <c r="M603" s="252"/>
    </row>
    <row r="604" spans="13:13">
      <c r="M604" s="252"/>
    </row>
    <row r="605" spans="13:13">
      <c r="M605" s="252"/>
    </row>
    <row r="606" spans="13:13">
      <c r="M606" s="252"/>
    </row>
    <row r="607" spans="13:13">
      <c r="M607" s="252"/>
    </row>
    <row r="608" spans="13:13">
      <c r="M608" s="252"/>
    </row>
    <row r="609" spans="13:13">
      <c r="M609" s="252"/>
    </row>
    <row r="610" spans="13:13">
      <c r="M610" s="252"/>
    </row>
    <row r="611" spans="13:13">
      <c r="M611" s="252"/>
    </row>
    <row r="612" spans="13:13">
      <c r="M612" s="252"/>
    </row>
    <row r="613" spans="13:13">
      <c r="M613" s="252"/>
    </row>
    <row r="614" spans="13:13">
      <c r="M614" s="252"/>
    </row>
    <row r="615" spans="13:13">
      <c r="M615" s="252"/>
    </row>
    <row r="616" spans="13:13">
      <c r="M616" s="252"/>
    </row>
    <row r="617" spans="13:13">
      <c r="M617" s="252"/>
    </row>
    <row r="618" spans="13:13">
      <c r="M618" s="252"/>
    </row>
    <row r="619" spans="13:13">
      <c r="M619" s="252"/>
    </row>
    <row r="620" spans="13:13">
      <c r="M620" s="252"/>
    </row>
    <row r="621" spans="13:13">
      <c r="M621" s="252"/>
    </row>
    <row r="622" spans="13:13">
      <c r="M622" s="252"/>
    </row>
    <row r="623" spans="13:13">
      <c r="M623" s="252"/>
    </row>
    <row r="624" spans="13:13">
      <c r="M624" s="252"/>
    </row>
    <row r="625" spans="13:13">
      <c r="M625" s="252"/>
    </row>
    <row r="626" spans="13:13">
      <c r="M626" s="252"/>
    </row>
    <row r="627" spans="13:13">
      <c r="M627" s="252"/>
    </row>
    <row r="628" spans="13:13">
      <c r="M628" s="252"/>
    </row>
    <row r="629" spans="13:13">
      <c r="M629" s="252"/>
    </row>
    <row r="630" spans="13:13">
      <c r="M630" s="252"/>
    </row>
    <row r="631" spans="13:13">
      <c r="M631" s="252"/>
    </row>
    <row r="632" spans="13:13">
      <c r="M632" s="252"/>
    </row>
    <row r="633" spans="13:13">
      <c r="M633" s="252"/>
    </row>
    <row r="634" spans="13:13">
      <c r="M634" s="252"/>
    </row>
    <row r="635" spans="13:13">
      <c r="M635" s="252"/>
    </row>
    <row r="636" spans="13:13">
      <c r="M636" s="252"/>
    </row>
    <row r="637" spans="13:13">
      <c r="M637" s="252"/>
    </row>
    <row r="638" spans="13:13">
      <c r="M638" s="252"/>
    </row>
    <row r="639" spans="13:13">
      <c r="M639" s="252"/>
    </row>
    <row r="640" spans="13:13">
      <c r="M640" s="252"/>
    </row>
    <row r="641" spans="13:13">
      <c r="M641" s="252"/>
    </row>
    <row r="642" spans="13:13">
      <c r="M642" s="252"/>
    </row>
    <row r="643" spans="13:13">
      <c r="M643" s="252"/>
    </row>
    <row r="644" spans="13:13">
      <c r="M644" s="252"/>
    </row>
    <row r="645" spans="13:13">
      <c r="M645" s="252"/>
    </row>
    <row r="646" spans="13:13">
      <c r="M646" s="252"/>
    </row>
    <row r="647" spans="13:13">
      <c r="M647" s="252"/>
    </row>
    <row r="648" spans="13:13">
      <c r="M648" s="252"/>
    </row>
    <row r="649" spans="13:13">
      <c r="M649" s="252"/>
    </row>
    <row r="650" spans="13:13">
      <c r="M650" s="252"/>
    </row>
    <row r="651" spans="13:13">
      <c r="M651" s="252"/>
    </row>
    <row r="652" spans="13:13">
      <c r="M652" s="252"/>
    </row>
    <row r="653" spans="13:13">
      <c r="M653" s="252"/>
    </row>
    <row r="654" spans="13:13">
      <c r="M654" s="252"/>
    </row>
    <row r="655" spans="13:13">
      <c r="M655" s="252"/>
    </row>
    <row r="656" spans="13:13">
      <c r="M656" s="252"/>
    </row>
    <row r="657" spans="13:13">
      <c r="M657" s="252"/>
    </row>
    <row r="658" spans="13:13">
      <c r="M658" s="252"/>
    </row>
    <row r="659" spans="13:13">
      <c r="M659" s="252"/>
    </row>
    <row r="660" spans="13:13">
      <c r="M660" s="252"/>
    </row>
    <row r="661" spans="13:13">
      <c r="M661" s="252"/>
    </row>
    <row r="662" spans="13:13">
      <c r="M662" s="252"/>
    </row>
    <row r="663" spans="13:13">
      <c r="M663" s="252"/>
    </row>
    <row r="664" spans="13:13">
      <c r="M664" s="252"/>
    </row>
    <row r="665" spans="13:13">
      <c r="M665" s="252"/>
    </row>
    <row r="666" spans="13:13">
      <c r="M666" s="252"/>
    </row>
    <row r="667" spans="13:13">
      <c r="M667" s="252"/>
    </row>
    <row r="668" spans="13:13">
      <c r="M668" s="252"/>
    </row>
    <row r="669" spans="13:13">
      <c r="M669" s="252"/>
    </row>
    <row r="670" spans="13:13">
      <c r="M670" s="252"/>
    </row>
    <row r="671" spans="13:13">
      <c r="M671" s="252"/>
    </row>
    <row r="672" spans="13:13">
      <c r="M672" s="252"/>
    </row>
    <row r="673" spans="13:13">
      <c r="M673" s="252"/>
    </row>
    <row r="674" spans="13:13">
      <c r="M674" s="252"/>
    </row>
    <row r="675" spans="13:13">
      <c r="M675" s="252"/>
    </row>
    <row r="676" spans="13:13">
      <c r="M676" s="252"/>
    </row>
    <row r="677" spans="13:13">
      <c r="M677" s="252"/>
    </row>
    <row r="678" spans="13:13">
      <c r="M678" s="252"/>
    </row>
    <row r="679" spans="13:13">
      <c r="M679" s="252"/>
    </row>
    <row r="680" spans="13:13">
      <c r="M680" s="252"/>
    </row>
    <row r="681" spans="13:13">
      <c r="M681" s="252"/>
    </row>
    <row r="682" spans="13:13">
      <c r="M682" s="252"/>
    </row>
    <row r="683" spans="13:13">
      <c r="M683" s="252"/>
    </row>
    <row r="684" spans="13:13">
      <c r="M684" s="252"/>
    </row>
    <row r="685" spans="13:13">
      <c r="M685" s="252"/>
    </row>
    <row r="686" spans="13:13">
      <c r="M686" s="252"/>
    </row>
    <row r="687" spans="13:13">
      <c r="M687" s="252"/>
    </row>
    <row r="688" spans="13:13">
      <c r="M688" s="252"/>
    </row>
    <row r="689" spans="13:13">
      <c r="M689" s="252"/>
    </row>
    <row r="690" spans="13:13">
      <c r="M690" s="252"/>
    </row>
    <row r="691" spans="13:13">
      <c r="M691" s="252"/>
    </row>
    <row r="692" spans="13:13">
      <c r="M692" s="252"/>
    </row>
    <row r="693" spans="13:13">
      <c r="M693" s="252"/>
    </row>
    <row r="694" spans="13:13">
      <c r="M694" s="252"/>
    </row>
    <row r="695" spans="13:13">
      <c r="M695" s="252"/>
    </row>
    <row r="696" spans="13:13">
      <c r="M696" s="252"/>
    </row>
    <row r="697" spans="13:13">
      <c r="M697" s="252"/>
    </row>
    <row r="698" spans="13:13">
      <c r="M698" s="252"/>
    </row>
    <row r="699" spans="13:13">
      <c r="M699" s="252"/>
    </row>
    <row r="700" spans="13:13">
      <c r="M700" s="252"/>
    </row>
    <row r="701" spans="13:13">
      <c r="M701" s="252"/>
    </row>
    <row r="702" spans="13:13">
      <c r="M702" s="252"/>
    </row>
    <row r="703" spans="13:13">
      <c r="M703" s="252"/>
    </row>
    <row r="704" spans="13:13">
      <c r="M704" s="252"/>
    </row>
    <row r="705" spans="13:13">
      <c r="M705" s="252"/>
    </row>
    <row r="706" spans="13:13">
      <c r="M706" s="252"/>
    </row>
    <row r="707" spans="13:13">
      <c r="M707" s="252"/>
    </row>
    <row r="708" spans="13:13">
      <c r="M708" s="252"/>
    </row>
    <row r="709" spans="13:13">
      <c r="M709" s="252"/>
    </row>
    <row r="710" spans="13:13">
      <c r="M710" s="252"/>
    </row>
    <row r="711" spans="13:13">
      <c r="M711" s="252"/>
    </row>
    <row r="712" spans="13:13">
      <c r="M712" s="252"/>
    </row>
    <row r="713" spans="13:13">
      <c r="M713" s="252"/>
    </row>
    <row r="714" spans="13:13">
      <c r="M714" s="252"/>
    </row>
    <row r="715" spans="13:13">
      <c r="M715" s="252"/>
    </row>
    <row r="716" spans="13:13">
      <c r="M716" s="252"/>
    </row>
    <row r="717" spans="13:13">
      <c r="M717" s="252"/>
    </row>
    <row r="718" spans="13:13">
      <c r="M718" s="252"/>
    </row>
    <row r="719" spans="13:13">
      <c r="M719" s="252"/>
    </row>
    <row r="720" spans="13:13">
      <c r="M720" s="252"/>
    </row>
    <row r="721" spans="13:13">
      <c r="M721" s="252"/>
    </row>
    <row r="722" spans="13:13">
      <c r="M722" s="252"/>
    </row>
    <row r="723" spans="13:13">
      <c r="M723" s="252"/>
    </row>
    <row r="724" spans="13:13">
      <c r="M724" s="252"/>
    </row>
    <row r="725" spans="13:13">
      <c r="M725" s="252"/>
    </row>
    <row r="726" spans="13:13">
      <c r="M726" s="252"/>
    </row>
    <row r="727" spans="13:13">
      <c r="M727" s="252"/>
    </row>
    <row r="728" spans="13:13">
      <c r="M728" s="252"/>
    </row>
    <row r="729" spans="13:13">
      <c r="M729" s="252"/>
    </row>
    <row r="730" spans="13:13">
      <c r="M730" s="252"/>
    </row>
    <row r="731" spans="13:13">
      <c r="M731" s="252"/>
    </row>
    <row r="732" spans="13:13">
      <c r="M732" s="252"/>
    </row>
    <row r="733" spans="13:13">
      <c r="M733" s="252"/>
    </row>
    <row r="734" spans="13:13">
      <c r="M734" s="252"/>
    </row>
    <row r="735" spans="13:13">
      <c r="M735" s="252"/>
    </row>
    <row r="736" spans="13:13">
      <c r="M736" s="252"/>
    </row>
    <row r="737" spans="13:13">
      <c r="M737" s="252"/>
    </row>
    <row r="738" spans="13:13">
      <c r="M738" s="252"/>
    </row>
    <row r="739" spans="13:13">
      <c r="M739" s="252"/>
    </row>
    <row r="740" spans="13:13">
      <c r="M740" s="252"/>
    </row>
    <row r="741" spans="13:13">
      <c r="M741" s="252"/>
    </row>
    <row r="742" spans="13:13">
      <c r="M742" s="252"/>
    </row>
    <row r="743" spans="13:13">
      <c r="M743" s="252"/>
    </row>
    <row r="744" spans="13:13">
      <c r="M744" s="252"/>
    </row>
    <row r="745" spans="13:13">
      <c r="M745" s="252"/>
    </row>
    <row r="746" spans="13:13">
      <c r="M746" s="252"/>
    </row>
    <row r="747" spans="13:13">
      <c r="M747" s="252"/>
    </row>
    <row r="748" spans="13:13">
      <c r="M748" s="252"/>
    </row>
    <row r="749" spans="13:13">
      <c r="M749" s="252"/>
    </row>
    <row r="750" spans="13:13">
      <c r="M750" s="252"/>
    </row>
    <row r="751" spans="13:13">
      <c r="M751" s="252"/>
    </row>
    <row r="752" spans="13:13">
      <c r="M752" s="252"/>
    </row>
    <row r="753" spans="13:13">
      <c r="M753" s="252"/>
    </row>
    <row r="754" spans="13:13">
      <c r="M754" s="252"/>
    </row>
    <row r="755" spans="13:13">
      <c r="M755" s="252"/>
    </row>
    <row r="756" spans="13:13">
      <c r="M756" s="252"/>
    </row>
    <row r="757" spans="13:13">
      <c r="M757" s="252"/>
    </row>
    <row r="758" spans="13:13">
      <c r="M758" s="252"/>
    </row>
    <row r="759" spans="13:13">
      <c r="M759" s="252"/>
    </row>
    <row r="760" spans="13:13">
      <c r="M760" s="252"/>
    </row>
    <row r="761" spans="13:13">
      <c r="M761" s="252"/>
    </row>
    <row r="762" spans="13:13">
      <c r="M762" s="252"/>
    </row>
    <row r="763" spans="13:13">
      <c r="M763" s="252"/>
    </row>
    <row r="764" spans="13:13">
      <c r="M764" s="252"/>
    </row>
    <row r="765" spans="13:13">
      <c r="M765" s="252"/>
    </row>
    <row r="766" spans="13:13">
      <c r="M766" s="252"/>
    </row>
    <row r="767" spans="13:13">
      <c r="M767" s="252"/>
    </row>
    <row r="768" spans="13:13">
      <c r="M768" s="252"/>
    </row>
    <row r="769" spans="13:13">
      <c r="M769" s="252"/>
    </row>
    <row r="770" spans="13:13">
      <c r="M770" s="252"/>
    </row>
    <row r="771" spans="13:13">
      <c r="M771" s="252"/>
    </row>
    <row r="772" spans="13:13">
      <c r="M772" s="252"/>
    </row>
    <row r="773" spans="13:13">
      <c r="M773" s="252"/>
    </row>
    <row r="774" spans="13:13">
      <c r="M774" s="252"/>
    </row>
    <row r="775" spans="13:13">
      <c r="M775" s="252"/>
    </row>
    <row r="776" spans="13:13">
      <c r="M776" s="252"/>
    </row>
    <row r="777" spans="13:13">
      <c r="M777" s="252"/>
    </row>
    <row r="778" spans="13:13">
      <c r="M778" s="252"/>
    </row>
    <row r="779" spans="13:13">
      <c r="M779" s="252"/>
    </row>
    <row r="780" spans="13:13">
      <c r="M780" s="252"/>
    </row>
    <row r="781" spans="13:13">
      <c r="M781" s="252"/>
    </row>
    <row r="782" spans="13:13">
      <c r="M782" s="252"/>
    </row>
    <row r="783" spans="13:13">
      <c r="M783" s="252"/>
    </row>
    <row r="784" spans="13:13">
      <c r="M784" s="252"/>
    </row>
    <row r="785" spans="13:13">
      <c r="M785" s="252"/>
    </row>
    <row r="786" spans="13:13">
      <c r="M786" s="252"/>
    </row>
    <row r="787" spans="13:13">
      <c r="M787" s="252"/>
    </row>
    <row r="788" spans="13:13">
      <c r="M788" s="252"/>
    </row>
    <row r="789" spans="13:13">
      <c r="M789" s="252"/>
    </row>
    <row r="790" spans="13:13">
      <c r="M790" s="252"/>
    </row>
    <row r="791" spans="13:13">
      <c r="M791" s="252"/>
    </row>
    <row r="792" spans="13:13">
      <c r="M792" s="252"/>
    </row>
    <row r="793" spans="13:13">
      <c r="M793" s="252"/>
    </row>
    <row r="794" spans="13:13">
      <c r="M794" s="252"/>
    </row>
    <row r="795" spans="13:13">
      <c r="M795" s="252"/>
    </row>
    <row r="796" spans="13:13">
      <c r="M796" s="252"/>
    </row>
    <row r="797" spans="13:13">
      <c r="M797" s="252"/>
    </row>
    <row r="798" spans="13:13">
      <c r="M798" s="252"/>
    </row>
    <row r="799" spans="13:13">
      <c r="M799" s="252"/>
    </row>
    <row r="800" spans="13:13">
      <c r="M800" s="252"/>
    </row>
    <row r="801" spans="13:13">
      <c r="M801" s="252"/>
    </row>
    <row r="802" spans="13:13">
      <c r="M802" s="252"/>
    </row>
    <row r="803" spans="13:13">
      <c r="M803" s="252"/>
    </row>
    <row r="804" spans="13:13">
      <c r="M804" s="252"/>
    </row>
    <row r="805" spans="13:13">
      <c r="M805" s="252"/>
    </row>
    <row r="806" spans="13:13">
      <c r="M806" s="252"/>
    </row>
    <row r="807" spans="13:13">
      <c r="M807" s="252"/>
    </row>
    <row r="808" spans="13:13">
      <c r="M808" s="252"/>
    </row>
    <row r="809" spans="13:13">
      <c r="M809" s="252"/>
    </row>
    <row r="810" spans="13:13">
      <c r="M810" s="252"/>
    </row>
    <row r="811" spans="13:13">
      <c r="M811" s="252"/>
    </row>
    <row r="812" spans="13:13">
      <c r="M812" s="252"/>
    </row>
    <row r="813" spans="13:13">
      <c r="M813" s="252"/>
    </row>
    <row r="814" spans="13:13">
      <c r="M814" s="252"/>
    </row>
    <row r="815" spans="13:13">
      <c r="M815" s="252"/>
    </row>
    <row r="816" spans="13:13">
      <c r="M816" s="252"/>
    </row>
    <row r="817" spans="13:13">
      <c r="M817" s="252"/>
    </row>
    <row r="818" spans="13:13">
      <c r="M818" s="252"/>
    </row>
    <row r="819" spans="13:13">
      <c r="M819" s="252"/>
    </row>
    <row r="820" spans="13:13">
      <c r="M820" s="252"/>
    </row>
    <row r="821" spans="13:13">
      <c r="M821" s="252"/>
    </row>
    <row r="822" spans="13:13">
      <c r="M822" s="252"/>
    </row>
    <row r="823" spans="13:13">
      <c r="M823" s="252"/>
    </row>
    <row r="824" spans="13:13">
      <c r="M824" s="252"/>
    </row>
    <row r="825" spans="13:13">
      <c r="M825" s="252"/>
    </row>
    <row r="826" spans="13:13">
      <c r="M826" s="252"/>
    </row>
    <row r="827" spans="13:13">
      <c r="M827" s="252"/>
    </row>
    <row r="828" spans="13:13">
      <c r="M828" s="252"/>
    </row>
    <row r="829" spans="13:13">
      <c r="M829" s="252"/>
    </row>
    <row r="830" spans="13:13">
      <c r="M830" s="252"/>
    </row>
    <row r="831" spans="13:13">
      <c r="M831" s="252"/>
    </row>
    <row r="832" spans="13:13">
      <c r="M832" s="252"/>
    </row>
    <row r="833" spans="13:13">
      <c r="M833" s="252"/>
    </row>
    <row r="834" spans="13:13">
      <c r="M834" s="252"/>
    </row>
    <row r="835" spans="13:13">
      <c r="M835" s="252"/>
    </row>
    <row r="836" spans="13:13">
      <c r="M836" s="252"/>
    </row>
    <row r="837" spans="13:13">
      <c r="M837" s="252"/>
    </row>
    <row r="838" spans="13:13">
      <c r="M838" s="252"/>
    </row>
    <row r="839" spans="13:13">
      <c r="M839" s="252"/>
    </row>
    <row r="840" spans="13:13">
      <c r="M840" s="252"/>
    </row>
    <row r="841" spans="13:13">
      <c r="M841" s="252"/>
    </row>
    <row r="842" spans="13:13">
      <c r="M842" s="252"/>
    </row>
    <row r="843" spans="13:13">
      <c r="M843" s="252"/>
    </row>
    <row r="844" spans="13:13">
      <c r="M844" s="252"/>
    </row>
    <row r="845" spans="13:13">
      <c r="M845" s="252"/>
    </row>
    <row r="846" spans="13:13">
      <c r="M846" s="252"/>
    </row>
    <row r="847" spans="13:13">
      <c r="M847" s="252"/>
    </row>
    <row r="848" spans="13:13">
      <c r="M848" s="252"/>
    </row>
    <row r="849" spans="13:13">
      <c r="M849" s="252"/>
    </row>
    <row r="850" spans="13:13">
      <c r="M850" s="252"/>
    </row>
    <row r="851" spans="13:13">
      <c r="M851" s="252"/>
    </row>
    <row r="852" spans="13:13">
      <c r="M852" s="252"/>
    </row>
    <row r="853" spans="13:13">
      <c r="M853" s="252"/>
    </row>
    <row r="854" spans="13:13">
      <c r="M854" s="252"/>
    </row>
    <row r="855" spans="13:13">
      <c r="M855" s="252"/>
    </row>
    <row r="856" spans="13:13">
      <c r="M856" s="252"/>
    </row>
    <row r="857" spans="13:13">
      <c r="M857" s="252"/>
    </row>
    <row r="858" spans="13:13">
      <c r="M858" s="252"/>
    </row>
    <row r="859" spans="13:13">
      <c r="M859" s="252"/>
    </row>
    <row r="860" spans="13:13">
      <c r="M860" s="252"/>
    </row>
    <row r="861" spans="13:13">
      <c r="M861" s="252"/>
    </row>
    <row r="862" spans="13:13">
      <c r="M862" s="252"/>
    </row>
    <row r="863" spans="13:13">
      <c r="M863" s="252"/>
    </row>
    <row r="864" spans="13:13">
      <c r="M864" s="252"/>
    </row>
    <row r="865" spans="13:13">
      <c r="M865" s="252"/>
    </row>
    <row r="866" spans="13:13">
      <c r="M866" s="252"/>
    </row>
    <row r="867" spans="13:13">
      <c r="M867" s="252"/>
    </row>
    <row r="868" spans="13:13">
      <c r="M868" s="252"/>
    </row>
    <row r="869" spans="13:13">
      <c r="M869" s="252"/>
    </row>
    <row r="870" spans="13:13">
      <c r="M870" s="252"/>
    </row>
    <row r="871" spans="13:13">
      <c r="M871" s="252"/>
    </row>
    <row r="872" spans="13:13">
      <c r="M872" s="252"/>
    </row>
    <row r="873" spans="13:13">
      <c r="M873" s="252"/>
    </row>
    <row r="874" spans="13:13">
      <c r="M874" s="252"/>
    </row>
    <row r="875" spans="13:13">
      <c r="M875" s="252"/>
    </row>
    <row r="876" spans="13:13">
      <c r="M876" s="252"/>
    </row>
    <row r="877" spans="13:13">
      <c r="M877" s="252"/>
    </row>
    <row r="878" spans="13:13">
      <c r="M878" s="252"/>
    </row>
    <row r="879" spans="13:13">
      <c r="M879" s="252"/>
    </row>
    <row r="880" spans="13:13">
      <c r="M880" s="252"/>
    </row>
    <row r="881" spans="13:13">
      <c r="M881" s="252"/>
    </row>
    <row r="882" spans="13:13">
      <c r="M882" s="252"/>
    </row>
    <row r="883" spans="13:13">
      <c r="M883" s="252"/>
    </row>
    <row r="884" spans="13:13">
      <c r="M884" s="252"/>
    </row>
    <row r="885" spans="13:13">
      <c r="M885" s="252"/>
    </row>
    <row r="886" spans="13:13">
      <c r="M886" s="252"/>
    </row>
    <row r="887" spans="13:13">
      <c r="M887" s="252"/>
    </row>
    <row r="888" spans="13:13">
      <c r="M888" s="252"/>
    </row>
    <row r="889" spans="13:13">
      <c r="M889" s="252"/>
    </row>
    <row r="890" spans="13:13">
      <c r="M890" s="252"/>
    </row>
    <row r="891" spans="13:13">
      <c r="M891" s="252"/>
    </row>
    <row r="892" spans="13:13">
      <c r="M892" s="252"/>
    </row>
    <row r="893" spans="13:13">
      <c r="M893" s="252"/>
    </row>
    <row r="894" spans="13:13">
      <c r="M894" s="252"/>
    </row>
    <row r="895" spans="13:13">
      <c r="M895" s="252"/>
    </row>
    <row r="896" spans="13:13">
      <c r="M896" s="252"/>
    </row>
    <row r="897" spans="13:13">
      <c r="M897" s="252"/>
    </row>
    <row r="898" spans="13:13">
      <c r="M898" s="252"/>
    </row>
    <row r="899" spans="13:13">
      <c r="M899" s="252"/>
    </row>
    <row r="900" spans="13:13">
      <c r="M900" s="252"/>
    </row>
    <row r="901" spans="13:13">
      <c r="M901" s="252"/>
    </row>
    <row r="902" spans="13:13">
      <c r="M902" s="252"/>
    </row>
    <row r="903" spans="13:13">
      <c r="M903" s="252"/>
    </row>
    <row r="904" spans="13:13">
      <c r="M904" s="252"/>
    </row>
    <row r="905" spans="13:13">
      <c r="M905" s="252"/>
    </row>
    <row r="906" spans="13:13">
      <c r="M906" s="252"/>
    </row>
    <row r="907" spans="13:13">
      <c r="M907" s="252"/>
    </row>
    <row r="908" spans="13:13">
      <c r="M908" s="252"/>
    </row>
    <row r="909" spans="13:13">
      <c r="M909" s="252"/>
    </row>
    <row r="910" spans="13:13">
      <c r="M910" s="252"/>
    </row>
    <row r="911" spans="13:13">
      <c r="M911" s="252"/>
    </row>
    <row r="912" spans="13:13">
      <c r="M912" s="252"/>
    </row>
    <row r="913" spans="13:13">
      <c r="M913" s="252"/>
    </row>
    <row r="914" spans="13:13">
      <c r="M914" s="252"/>
    </row>
    <row r="915" spans="13:13">
      <c r="M915" s="252"/>
    </row>
    <row r="916" spans="13:13">
      <c r="M916" s="252"/>
    </row>
    <row r="917" spans="13:13">
      <c r="M917" s="252"/>
    </row>
    <row r="918" spans="13:13">
      <c r="M918" s="252"/>
    </row>
    <row r="919" spans="13:13">
      <c r="M919" s="252"/>
    </row>
    <row r="920" spans="13:13">
      <c r="M920" s="252"/>
    </row>
    <row r="921" spans="13:13">
      <c r="M921" s="252"/>
    </row>
    <row r="922" spans="13:13">
      <c r="M922" s="252"/>
    </row>
    <row r="923" spans="13:13">
      <c r="M923" s="252"/>
    </row>
    <row r="924" spans="13:13">
      <c r="M924" s="252"/>
    </row>
    <row r="925" spans="13:13">
      <c r="M925" s="252"/>
    </row>
    <row r="926" spans="13:13">
      <c r="M926" s="252"/>
    </row>
    <row r="927" spans="13:13">
      <c r="M927" s="252"/>
    </row>
    <row r="928" spans="13:13">
      <c r="M928" s="252"/>
    </row>
    <row r="929" spans="13:13">
      <c r="M929" s="252"/>
    </row>
    <row r="930" spans="13:13">
      <c r="M930" s="252"/>
    </row>
    <row r="931" spans="13:13">
      <c r="M931" s="252"/>
    </row>
    <row r="932" spans="13:13">
      <c r="M932" s="252"/>
    </row>
    <row r="933" spans="13:13">
      <c r="M933" s="252"/>
    </row>
    <row r="934" spans="13:13">
      <c r="M934" s="252"/>
    </row>
    <row r="935" spans="13:13">
      <c r="M935" s="252"/>
    </row>
    <row r="936" spans="13:13">
      <c r="M936" s="252"/>
    </row>
    <row r="937" spans="13:13">
      <c r="M937" s="252"/>
    </row>
    <row r="938" spans="13:13">
      <c r="M938" s="252"/>
    </row>
    <row r="939" spans="13:13">
      <c r="M939" s="252"/>
    </row>
    <row r="940" spans="13:13">
      <c r="M940" s="252"/>
    </row>
    <row r="941" spans="13:13">
      <c r="M941" s="252"/>
    </row>
    <row r="942" spans="13:13">
      <c r="M942" s="252"/>
    </row>
    <row r="943" spans="13:13">
      <c r="M943" s="252"/>
    </row>
    <row r="944" spans="13:13">
      <c r="M944" s="252"/>
    </row>
    <row r="945" spans="13:13">
      <c r="M945" s="252"/>
    </row>
    <row r="946" spans="13:13">
      <c r="M946" s="252"/>
    </row>
    <row r="947" spans="13:13">
      <c r="M947" s="252"/>
    </row>
    <row r="948" spans="13:13">
      <c r="M948" s="252"/>
    </row>
    <row r="949" spans="13:13">
      <c r="M949" s="252"/>
    </row>
    <row r="950" spans="13:13">
      <c r="M950" s="252"/>
    </row>
    <row r="951" spans="13:13">
      <c r="M951" s="252"/>
    </row>
    <row r="952" spans="13:13">
      <c r="M952" s="252"/>
    </row>
    <row r="953" spans="13:13">
      <c r="M953" s="252"/>
    </row>
    <row r="954" spans="13:13">
      <c r="M954" s="252"/>
    </row>
    <row r="955" spans="13:13">
      <c r="M955" s="252"/>
    </row>
    <row r="956" spans="13:13">
      <c r="M956" s="252"/>
    </row>
    <row r="957" spans="13:13">
      <c r="M957" s="252"/>
    </row>
    <row r="958" spans="13:13">
      <c r="M958" s="252"/>
    </row>
    <row r="959" spans="13:13">
      <c r="M959" s="252"/>
    </row>
    <row r="960" spans="13:13">
      <c r="M960" s="252"/>
    </row>
    <row r="961" spans="13:13">
      <c r="M961" s="252"/>
    </row>
    <row r="962" spans="13:13">
      <c r="M962" s="252"/>
    </row>
    <row r="963" spans="13:13">
      <c r="M963" s="252"/>
    </row>
    <row r="964" spans="13:13">
      <c r="M964" s="252"/>
    </row>
    <row r="965" spans="13:13">
      <c r="M965" s="252"/>
    </row>
    <row r="966" spans="13:13">
      <c r="M966" s="252"/>
    </row>
    <row r="967" spans="13:13">
      <c r="M967" s="252"/>
    </row>
    <row r="968" spans="13:13">
      <c r="M968" s="252"/>
    </row>
    <row r="969" spans="13:13">
      <c r="M969" s="252"/>
    </row>
    <row r="970" spans="13:13">
      <c r="M970" s="252"/>
    </row>
    <row r="971" spans="13:13">
      <c r="M971" s="252"/>
    </row>
    <row r="972" spans="13:13">
      <c r="M972" s="252"/>
    </row>
    <row r="973" spans="13:13">
      <c r="M973" s="252"/>
    </row>
    <row r="974" spans="13:13">
      <c r="M974" s="252"/>
    </row>
    <row r="975" spans="13:13">
      <c r="M975" s="252"/>
    </row>
    <row r="976" spans="13:13">
      <c r="M976" s="252"/>
    </row>
    <row r="977" spans="13:13">
      <c r="M977" s="252"/>
    </row>
    <row r="978" spans="13:13">
      <c r="M978" s="252"/>
    </row>
    <row r="979" spans="13:13">
      <c r="M979" s="252"/>
    </row>
    <row r="980" spans="13:13">
      <c r="M980" s="252"/>
    </row>
    <row r="981" spans="13:13">
      <c r="M981" s="252"/>
    </row>
    <row r="982" spans="13:13">
      <c r="M982" s="252"/>
    </row>
    <row r="983" spans="13:13">
      <c r="M983" s="252"/>
    </row>
    <row r="984" spans="13:13">
      <c r="M984" s="252"/>
    </row>
    <row r="985" spans="13:13">
      <c r="M985" s="252"/>
    </row>
    <row r="986" spans="13:13">
      <c r="M986" s="252"/>
    </row>
    <row r="987" spans="13:13">
      <c r="M987" s="252"/>
    </row>
    <row r="988" spans="13:13">
      <c r="M988" s="252"/>
    </row>
    <row r="989" spans="13:13">
      <c r="M989" s="252"/>
    </row>
    <row r="990" spans="13:13">
      <c r="M990" s="252"/>
    </row>
    <row r="991" spans="13:13">
      <c r="M991" s="252"/>
    </row>
    <row r="992" spans="13:13">
      <c r="M992" s="252"/>
    </row>
    <row r="993" spans="13:13">
      <c r="M993" s="252"/>
    </row>
    <row r="994" spans="13:13">
      <c r="M994" s="252"/>
    </row>
    <row r="995" spans="13:13">
      <c r="M995" s="252"/>
    </row>
    <row r="996" spans="13:13">
      <c r="M996" s="252"/>
    </row>
    <row r="997" spans="13:13">
      <c r="M997" s="252"/>
    </row>
    <row r="998" spans="13:13">
      <c r="M998" s="252"/>
    </row>
    <row r="999" spans="13:13">
      <c r="M999" s="252"/>
    </row>
    <row r="1000" spans="13:13">
      <c r="M1000" s="252"/>
    </row>
    <row r="1001" spans="13:13">
      <c r="M1001" s="252"/>
    </row>
    <row r="1002" spans="13:13">
      <c r="M1002" s="252"/>
    </row>
    <row r="1003" spans="13:13">
      <c r="M1003" s="252"/>
    </row>
    <row r="1004" spans="13:13">
      <c r="M1004" s="252"/>
    </row>
    <row r="1005" spans="13:13">
      <c r="M1005" s="252"/>
    </row>
    <row r="1006" spans="13:13">
      <c r="M1006" s="252"/>
    </row>
    <row r="1007" spans="13:13">
      <c r="M1007" s="252"/>
    </row>
    <row r="1008" spans="13:13">
      <c r="M1008" s="252"/>
    </row>
    <row r="1009" spans="13:13">
      <c r="M1009" s="252"/>
    </row>
    <row r="1010" spans="13:13">
      <c r="M1010" s="252"/>
    </row>
    <row r="1011" spans="13:13">
      <c r="M1011" s="252"/>
    </row>
    <row r="1012" spans="13:13">
      <c r="M1012" s="252"/>
    </row>
    <row r="1013" spans="13:13">
      <c r="M1013" s="252"/>
    </row>
    <row r="1014" spans="13:13">
      <c r="M1014" s="252"/>
    </row>
    <row r="1015" spans="13:13">
      <c r="M1015" s="252"/>
    </row>
    <row r="1016" spans="13:13">
      <c r="M1016" s="252"/>
    </row>
    <row r="1017" spans="13:13">
      <c r="M1017" s="252"/>
    </row>
    <row r="1018" spans="13:13">
      <c r="M1018" s="252"/>
    </row>
    <row r="1019" spans="13:13">
      <c r="M1019" s="252"/>
    </row>
    <row r="1020" spans="13:13">
      <c r="M1020" s="252"/>
    </row>
    <row r="1021" spans="13:13">
      <c r="M1021" s="252"/>
    </row>
    <row r="1022" spans="13:13">
      <c r="M1022" s="252"/>
    </row>
    <row r="1023" spans="13:13">
      <c r="M1023" s="252"/>
    </row>
    <row r="1024" spans="13:13">
      <c r="M1024" s="252"/>
    </row>
    <row r="1025" spans="13:13">
      <c r="M1025" s="252"/>
    </row>
    <row r="1026" spans="13:13">
      <c r="M1026" s="252"/>
    </row>
    <row r="1027" spans="13:13">
      <c r="M1027" s="252"/>
    </row>
    <row r="1028" spans="13:13">
      <c r="M1028" s="252"/>
    </row>
    <row r="1029" spans="13:13">
      <c r="M1029" s="252"/>
    </row>
    <row r="1030" spans="13:13">
      <c r="M1030" s="252"/>
    </row>
    <row r="1031" spans="13:13">
      <c r="M1031" s="252"/>
    </row>
    <row r="1032" spans="13:13">
      <c r="M1032" s="252"/>
    </row>
    <row r="1033" spans="13:13">
      <c r="M1033" s="252"/>
    </row>
    <row r="1034" spans="13:13">
      <c r="M1034" s="252"/>
    </row>
    <row r="1035" spans="13:13">
      <c r="M1035" s="252"/>
    </row>
    <row r="1036" spans="13:13">
      <c r="M1036" s="252"/>
    </row>
    <row r="1037" spans="13:13">
      <c r="M1037" s="252"/>
    </row>
    <row r="1038" spans="13:13">
      <c r="M1038" s="252"/>
    </row>
    <row r="1039" spans="13:13">
      <c r="M1039" s="252"/>
    </row>
    <row r="1040" spans="13:13">
      <c r="M1040" s="252"/>
    </row>
    <row r="1041" spans="13:13">
      <c r="M1041" s="252"/>
    </row>
    <row r="1042" spans="13:13">
      <c r="M1042" s="252"/>
    </row>
    <row r="1043" spans="13:13">
      <c r="M1043" s="252"/>
    </row>
    <row r="1044" spans="13:13">
      <c r="M1044" s="252"/>
    </row>
    <row r="1045" spans="13:13">
      <c r="M1045" s="252"/>
    </row>
    <row r="1046" spans="13:13">
      <c r="M1046" s="252"/>
    </row>
    <row r="1047" spans="13:13">
      <c r="M1047" s="252"/>
    </row>
    <row r="1048" spans="13:13">
      <c r="M1048" s="252"/>
    </row>
    <row r="1049" spans="13:13">
      <c r="M1049" s="252"/>
    </row>
    <row r="1050" spans="13:13">
      <c r="M1050" s="252"/>
    </row>
    <row r="1051" spans="13:13">
      <c r="M1051" s="252"/>
    </row>
    <row r="1052" spans="13:13">
      <c r="M1052" s="252"/>
    </row>
    <row r="1053" spans="13:13">
      <c r="M1053" s="252"/>
    </row>
    <row r="1054" spans="13:13">
      <c r="M1054" s="252"/>
    </row>
    <row r="1055" spans="13:13">
      <c r="M1055" s="252"/>
    </row>
    <row r="1056" spans="13:13">
      <c r="M1056" s="252"/>
    </row>
    <row r="1057" spans="13:13">
      <c r="M1057" s="252"/>
    </row>
    <row r="1058" spans="13:13">
      <c r="M1058" s="252"/>
    </row>
    <row r="1059" spans="13:13">
      <c r="M1059" s="252"/>
    </row>
    <row r="1060" spans="13:13">
      <c r="M1060" s="252"/>
    </row>
    <row r="1061" spans="13:13">
      <c r="M1061" s="252"/>
    </row>
    <row r="1062" spans="13:13">
      <c r="M1062" s="252"/>
    </row>
    <row r="1063" spans="13:13">
      <c r="M1063" s="252"/>
    </row>
    <row r="1064" spans="13:13">
      <c r="M1064" s="252"/>
    </row>
    <row r="1065" spans="13:13">
      <c r="M1065" s="252"/>
    </row>
    <row r="1066" spans="13:13">
      <c r="M1066" s="252"/>
    </row>
    <row r="1067" spans="13:13">
      <c r="M1067" s="252"/>
    </row>
    <row r="1068" spans="13:13">
      <c r="M1068" s="252"/>
    </row>
    <row r="1069" spans="13:13">
      <c r="M1069" s="252"/>
    </row>
    <row r="1070" spans="13:13">
      <c r="M1070" s="252"/>
    </row>
    <row r="1071" spans="13:13">
      <c r="M1071" s="252"/>
    </row>
    <row r="1072" spans="13:13">
      <c r="M1072" s="252"/>
    </row>
    <row r="1073" spans="13:13">
      <c r="M1073" s="252"/>
    </row>
    <row r="1074" spans="13:13">
      <c r="M1074" s="252"/>
    </row>
    <row r="1075" spans="13:13">
      <c r="M1075" s="252"/>
    </row>
    <row r="1076" spans="13:13">
      <c r="M1076" s="252"/>
    </row>
    <row r="1077" spans="13:13">
      <c r="M1077" s="252"/>
    </row>
    <row r="1078" spans="13:13">
      <c r="M1078" s="252"/>
    </row>
    <row r="1079" spans="13:13">
      <c r="M1079" s="252"/>
    </row>
    <row r="1080" spans="13:13">
      <c r="M1080" s="252"/>
    </row>
    <row r="1081" spans="13:13">
      <c r="M1081" s="252"/>
    </row>
    <row r="1082" spans="13:13">
      <c r="M1082" s="252"/>
    </row>
    <row r="1083" spans="13:13">
      <c r="M1083" s="252"/>
    </row>
    <row r="1084" spans="13:13">
      <c r="M1084" s="252"/>
    </row>
    <row r="1085" spans="13:13">
      <c r="M1085" s="252"/>
    </row>
    <row r="1086" spans="13:13">
      <c r="M1086" s="252"/>
    </row>
    <row r="1087" spans="13:13">
      <c r="M1087" s="252"/>
    </row>
    <row r="1088" spans="13:13">
      <c r="M1088" s="252"/>
    </row>
    <row r="1089" spans="13:13">
      <c r="M1089" s="252"/>
    </row>
    <row r="1090" spans="13:13">
      <c r="M1090" s="252"/>
    </row>
    <row r="1091" spans="13:13">
      <c r="M1091" s="252"/>
    </row>
    <row r="1092" spans="13:13">
      <c r="M1092" s="252"/>
    </row>
    <row r="1093" spans="13:13">
      <c r="M1093" s="252"/>
    </row>
    <row r="1094" spans="13:13">
      <c r="M1094" s="252"/>
    </row>
    <row r="1095" spans="13:13">
      <c r="M1095" s="252"/>
    </row>
    <row r="1096" spans="13:13">
      <c r="M1096" s="252"/>
    </row>
    <row r="1097" spans="13:13">
      <c r="M1097" s="252"/>
    </row>
    <row r="1098" spans="13:13">
      <c r="M1098" s="252"/>
    </row>
    <row r="1099" spans="13:13">
      <c r="M1099" s="252"/>
    </row>
    <row r="1100" spans="13:13">
      <c r="M1100" s="252"/>
    </row>
    <row r="1101" spans="13:13">
      <c r="M1101" s="252"/>
    </row>
    <row r="1102" spans="13:13">
      <c r="M1102" s="252"/>
    </row>
    <row r="1103" spans="13:13">
      <c r="M1103" s="252"/>
    </row>
    <row r="1104" spans="13:13">
      <c r="M1104" s="252"/>
    </row>
    <row r="1105" spans="13:13">
      <c r="M1105" s="252"/>
    </row>
    <row r="1106" spans="13:13">
      <c r="M1106" s="252"/>
    </row>
    <row r="1107" spans="13:13">
      <c r="M1107" s="252"/>
    </row>
    <row r="1108" spans="13:13">
      <c r="M1108" s="252"/>
    </row>
    <row r="1109" spans="13:13">
      <c r="M1109" s="252"/>
    </row>
    <row r="1110" spans="13:13">
      <c r="M1110" s="252"/>
    </row>
    <row r="1111" spans="13:13">
      <c r="M1111" s="252"/>
    </row>
    <row r="1112" spans="13:13">
      <c r="M1112" s="252"/>
    </row>
    <row r="1113" spans="13:13">
      <c r="M1113" s="252"/>
    </row>
    <row r="1114" spans="13:13">
      <c r="M1114" s="252"/>
    </row>
    <row r="1115" spans="13:13">
      <c r="M1115" s="252"/>
    </row>
    <row r="1116" spans="13:13">
      <c r="M1116" s="252"/>
    </row>
    <row r="1117" spans="13:13">
      <c r="M1117" s="252"/>
    </row>
    <row r="1118" spans="13:13">
      <c r="M1118" s="252"/>
    </row>
    <row r="1119" spans="13:13">
      <c r="M1119" s="252"/>
    </row>
    <row r="1120" spans="13:13">
      <c r="M1120" s="252"/>
    </row>
    <row r="1121" spans="13:13">
      <c r="M1121" s="252"/>
    </row>
    <row r="1122" spans="13:13">
      <c r="M1122" s="252"/>
    </row>
    <row r="1123" spans="13:13">
      <c r="M1123" s="252"/>
    </row>
    <row r="1124" spans="13:13">
      <c r="M1124" s="252"/>
    </row>
    <row r="1125" spans="13:13">
      <c r="M1125" s="252"/>
    </row>
    <row r="1126" spans="13:13">
      <c r="M1126" s="252"/>
    </row>
    <row r="1127" spans="13:13">
      <c r="M1127" s="252"/>
    </row>
    <row r="1128" spans="13:13">
      <c r="M1128" s="252"/>
    </row>
    <row r="1129" spans="13:13">
      <c r="M1129" s="252"/>
    </row>
    <row r="1130" spans="13:13">
      <c r="M1130" s="252"/>
    </row>
    <row r="1131" spans="13:13">
      <c r="M1131" s="252"/>
    </row>
    <row r="1132" spans="13:13">
      <c r="M1132" s="252"/>
    </row>
    <row r="1133" spans="13:13">
      <c r="M1133" s="252"/>
    </row>
    <row r="1134" spans="13:13">
      <c r="M1134" s="252"/>
    </row>
    <row r="1135" spans="13:13">
      <c r="M1135" s="252"/>
    </row>
    <row r="1136" spans="13:13">
      <c r="M1136" s="252"/>
    </row>
    <row r="1137" spans="13:13">
      <c r="M1137" s="252"/>
    </row>
    <row r="1138" spans="13:13">
      <c r="M1138" s="252"/>
    </row>
    <row r="1139" spans="13:13">
      <c r="M1139" s="252"/>
    </row>
    <row r="1140" spans="13:13">
      <c r="M1140" s="252"/>
    </row>
    <row r="1141" spans="13:13">
      <c r="M1141" s="252"/>
    </row>
    <row r="1142" spans="13:13">
      <c r="M1142" s="252"/>
    </row>
    <row r="1143" spans="13:13">
      <c r="M1143" s="252"/>
    </row>
    <row r="1144" spans="13:13">
      <c r="M1144" s="252"/>
    </row>
    <row r="1145" spans="13:13">
      <c r="M1145" s="252"/>
    </row>
    <row r="1146" spans="13:13">
      <c r="M1146" s="252"/>
    </row>
    <row r="1147" spans="13:13">
      <c r="M1147" s="252"/>
    </row>
    <row r="1148" spans="13:13">
      <c r="M1148" s="252"/>
    </row>
    <row r="1149" spans="13:13">
      <c r="M1149" s="252"/>
    </row>
    <row r="1150" spans="13:13">
      <c r="M1150" s="252"/>
    </row>
    <row r="1151" spans="13:13">
      <c r="M1151" s="252"/>
    </row>
    <row r="1152" spans="13:13">
      <c r="M1152" s="252"/>
    </row>
    <row r="1153" spans="13:13">
      <c r="M1153" s="252"/>
    </row>
    <row r="1154" spans="13:13">
      <c r="M1154" s="252"/>
    </row>
    <row r="1155" spans="13:13">
      <c r="M1155" s="252"/>
    </row>
    <row r="1156" spans="13:13">
      <c r="M1156" s="252"/>
    </row>
    <row r="1157" spans="13:13">
      <c r="M1157" s="252"/>
    </row>
    <row r="1158" spans="13:13">
      <c r="M1158" s="252"/>
    </row>
    <row r="1159" spans="13:13">
      <c r="M1159" s="252"/>
    </row>
    <row r="1160" spans="13:13">
      <c r="M1160" s="252"/>
    </row>
    <row r="1161" spans="13:13">
      <c r="M1161" s="252"/>
    </row>
    <row r="1162" spans="13:13">
      <c r="M1162" s="252"/>
    </row>
    <row r="1163" spans="13:13">
      <c r="M1163" s="252"/>
    </row>
    <row r="1164" spans="13:13">
      <c r="M1164" s="252"/>
    </row>
    <row r="1165" spans="13:13">
      <c r="M1165" s="252"/>
    </row>
    <row r="1166" spans="13:13">
      <c r="M1166" s="252"/>
    </row>
    <row r="1167" spans="13:13">
      <c r="M1167" s="252"/>
    </row>
    <row r="1168" spans="13:13">
      <c r="M1168" s="252"/>
    </row>
    <row r="1169" spans="13:13">
      <c r="M1169" s="252"/>
    </row>
    <row r="1170" spans="13:13">
      <c r="M1170" s="252"/>
    </row>
    <row r="1171" spans="13:13">
      <c r="M1171" s="252"/>
    </row>
    <row r="1172" spans="13:13">
      <c r="M1172" s="252"/>
    </row>
    <row r="1173" spans="13:13">
      <c r="M1173" s="252"/>
    </row>
    <row r="1174" spans="13:13">
      <c r="M1174" s="252"/>
    </row>
    <row r="1175" spans="13:13">
      <c r="M1175" s="252"/>
    </row>
    <row r="1176" spans="13:13">
      <c r="M1176" s="252"/>
    </row>
    <row r="1177" spans="13:13">
      <c r="M1177" s="252"/>
    </row>
    <row r="1178" spans="13:13">
      <c r="M1178" s="252"/>
    </row>
    <row r="1179" spans="13:13">
      <c r="M1179" s="252"/>
    </row>
    <row r="1180" spans="13:13">
      <c r="M1180" s="252"/>
    </row>
    <row r="1181" spans="13:13">
      <c r="M1181" s="252"/>
    </row>
    <row r="1182" spans="13:13">
      <c r="M1182" s="252"/>
    </row>
    <row r="1183" spans="13:13">
      <c r="M1183" s="252"/>
    </row>
    <row r="1184" spans="13:13">
      <c r="M1184" s="252"/>
    </row>
    <row r="1185" spans="13:13">
      <c r="M1185" s="252"/>
    </row>
    <row r="1186" spans="13:13">
      <c r="M1186" s="252"/>
    </row>
    <row r="1187" spans="13:13">
      <c r="M1187" s="252"/>
    </row>
    <row r="1188" spans="13:13">
      <c r="M1188" s="252"/>
    </row>
    <row r="1189" spans="13:13">
      <c r="M1189" s="252"/>
    </row>
    <row r="1190" spans="13:13">
      <c r="M1190" s="252"/>
    </row>
    <row r="1191" spans="13:13">
      <c r="M1191" s="252"/>
    </row>
    <row r="1192" spans="13:13">
      <c r="M1192" s="252"/>
    </row>
    <row r="1193" spans="13:13">
      <c r="M1193" s="252"/>
    </row>
    <row r="1194" spans="13:13">
      <c r="M1194" s="252"/>
    </row>
    <row r="1195" spans="13:13">
      <c r="M1195" s="252"/>
    </row>
    <row r="1196" spans="13:13">
      <c r="M1196" s="252"/>
    </row>
    <row r="1197" spans="13:13">
      <c r="M1197" s="252"/>
    </row>
    <row r="1198" spans="13:13">
      <c r="M1198" s="252"/>
    </row>
    <row r="1199" spans="13:13">
      <c r="M1199" s="252"/>
    </row>
    <row r="1200" spans="13:13">
      <c r="M1200" s="252"/>
    </row>
    <row r="1201" spans="13:13">
      <c r="M1201" s="252"/>
    </row>
    <row r="1202" spans="13:13">
      <c r="M1202" s="252"/>
    </row>
    <row r="1203" spans="13:13">
      <c r="M1203" s="252"/>
    </row>
    <row r="1204" spans="13:13">
      <c r="M1204" s="252"/>
    </row>
    <row r="1205" spans="13:13">
      <c r="M1205" s="252"/>
    </row>
    <row r="1206" spans="13:13">
      <c r="M1206" s="252"/>
    </row>
    <row r="1207" spans="13:13">
      <c r="M1207" s="252"/>
    </row>
    <row r="1208" spans="13:13">
      <c r="M1208" s="252"/>
    </row>
    <row r="1209" spans="13:13">
      <c r="M1209" s="252"/>
    </row>
    <row r="1210" spans="13:13">
      <c r="M1210" s="252"/>
    </row>
    <row r="1211" spans="13:13">
      <c r="M1211" s="252"/>
    </row>
    <row r="1212" spans="13:13">
      <c r="M1212" s="252"/>
    </row>
    <row r="1213" spans="13:13">
      <c r="M1213" s="252"/>
    </row>
    <row r="1214" spans="13:13">
      <c r="M1214" s="252"/>
    </row>
    <row r="1215" spans="13:13">
      <c r="M1215" s="252"/>
    </row>
    <row r="1216" spans="13:13">
      <c r="M1216" s="252"/>
    </row>
    <row r="1217" spans="13:13">
      <c r="M1217" s="252"/>
    </row>
    <row r="1218" spans="13:13">
      <c r="M1218" s="252"/>
    </row>
    <row r="1219" spans="13:13">
      <c r="M1219" s="252"/>
    </row>
    <row r="1220" spans="13:13">
      <c r="M1220" s="252"/>
    </row>
    <row r="1221" spans="13:13">
      <c r="M1221" s="252"/>
    </row>
    <row r="1222" spans="13:13">
      <c r="M1222" s="252"/>
    </row>
    <row r="1223" spans="13:13">
      <c r="M1223" s="252"/>
    </row>
    <row r="1224" spans="13:13">
      <c r="M1224" s="252"/>
    </row>
    <row r="1225" spans="13:13">
      <c r="M1225" s="252"/>
    </row>
    <row r="1226" spans="13:13">
      <c r="M1226" s="252"/>
    </row>
    <row r="1227" spans="13:13">
      <c r="M1227" s="252"/>
    </row>
    <row r="1228" spans="13:13">
      <c r="M1228" s="252"/>
    </row>
    <row r="1229" spans="13:13">
      <c r="M1229" s="252"/>
    </row>
    <row r="1230" spans="13:13">
      <c r="M1230" s="252"/>
    </row>
    <row r="1231" spans="13:13">
      <c r="M1231" s="252"/>
    </row>
    <row r="1232" spans="13:13">
      <c r="M1232" s="252"/>
    </row>
    <row r="1233" spans="13:13">
      <c r="M1233" s="252"/>
    </row>
    <row r="1234" spans="13:13">
      <c r="M1234" s="252"/>
    </row>
    <row r="1235" spans="13:13">
      <c r="M1235" s="252"/>
    </row>
    <row r="1236" spans="13:13">
      <c r="M1236" s="252"/>
    </row>
    <row r="1237" spans="13:13">
      <c r="M1237" s="252"/>
    </row>
    <row r="1238" spans="13:13">
      <c r="M1238" s="252"/>
    </row>
    <row r="1239" spans="13:13">
      <c r="M1239" s="252"/>
    </row>
    <row r="1240" spans="13:13">
      <c r="M1240" s="252"/>
    </row>
    <row r="1241" spans="13:13">
      <c r="M1241" s="252"/>
    </row>
    <row r="1242" spans="13:13">
      <c r="M1242" s="252"/>
    </row>
    <row r="1243" spans="13:13">
      <c r="M1243" s="252"/>
    </row>
    <row r="1244" spans="13:13">
      <c r="M1244" s="252"/>
    </row>
    <row r="1245" spans="13:13">
      <c r="M1245" s="252"/>
    </row>
    <row r="1246" spans="13:13">
      <c r="M1246" s="252"/>
    </row>
    <row r="1247" spans="13:13">
      <c r="M1247" s="252"/>
    </row>
    <row r="1248" spans="13:13">
      <c r="M1248" s="252"/>
    </row>
    <row r="1249" spans="13:13">
      <c r="M1249" s="252"/>
    </row>
    <row r="1250" spans="13:13">
      <c r="M1250" s="252"/>
    </row>
    <row r="1251" spans="13:13">
      <c r="M1251" s="252"/>
    </row>
    <row r="1252" spans="13:13">
      <c r="M1252" s="252"/>
    </row>
    <row r="1253" spans="13:13">
      <c r="M1253" s="252"/>
    </row>
    <row r="1254" spans="13:13">
      <c r="M1254" s="252"/>
    </row>
    <row r="1255" spans="13:13">
      <c r="M1255" s="252"/>
    </row>
    <row r="1256" spans="13:13">
      <c r="M1256" s="252"/>
    </row>
    <row r="1257" spans="13:13">
      <c r="M1257" s="252"/>
    </row>
    <row r="1258" spans="13:13">
      <c r="M1258" s="252"/>
    </row>
    <row r="1259" spans="13:13">
      <c r="M1259" s="252"/>
    </row>
    <row r="1260" spans="13:13">
      <c r="M1260" s="252"/>
    </row>
    <row r="1261" spans="13:13">
      <c r="M1261" s="252"/>
    </row>
    <row r="1262" spans="13:13">
      <c r="M1262" s="252"/>
    </row>
    <row r="1263" spans="13:13">
      <c r="M1263" s="252"/>
    </row>
    <row r="1264" spans="13:13">
      <c r="M1264" s="252"/>
    </row>
    <row r="1265" spans="13:13">
      <c r="M1265" s="252"/>
    </row>
    <row r="1266" spans="13:13">
      <c r="M1266" s="252"/>
    </row>
    <row r="1267" spans="13:13">
      <c r="M1267" s="252"/>
    </row>
    <row r="1268" spans="13:13">
      <c r="M1268" s="252"/>
    </row>
    <row r="1269" spans="13:13">
      <c r="M1269" s="252"/>
    </row>
    <row r="1270" spans="13:13">
      <c r="M1270" s="252"/>
    </row>
    <row r="1271" spans="13:13">
      <c r="M1271" s="252"/>
    </row>
    <row r="1272" spans="13:13">
      <c r="M1272" s="252"/>
    </row>
    <row r="1273" spans="13:13">
      <c r="M1273" s="252"/>
    </row>
    <row r="1274" spans="13:13">
      <c r="M1274" s="252"/>
    </row>
    <row r="1275" spans="13:13">
      <c r="M1275" s="252"/>
    </row>
    <row r="1276" spans="13:13">
      <c r="M1276" s="252"/>
    </row>
    <row r="1277" spans="13:13">
      <c r="M1277" s="252"/>
    </row>
    <row r="1278" spans="13:13">
      <c r="M1278" s="252"/>
    </row>
    <row r="1279" spans="13:13">
      <c r="M1279" s="252"/>
    </row>
    <row r="1280" spans="13:13">
      <c r="M1280" s="252"/>
    </row>
    <row r="1281" spans="13:13">
      <c r="M1281" s="252"/>
    </row>
    <row r="1282" spans="13:13">
      <c r="M1282" s="252"/>
    </row>
    <row r="1283" spans="13:13">
      <c r="M1283" s="252"/>
    </row>
    <row r="1284" spans="13:13">
      <c r="M1284" s="252"/>
    </row>
    <row r="1285" spans="13:13">
      <c r="M1285" s="252"/>
    </row>
    <row r="1286" spans="13:13">
      <c r="M1286" s="252"/>
    </row>
    <row r="1287" spans="13:13">
      <c r="M1287" s="252"/>
    </row>
    <row r="1288" spans="13:13">
      <c r="M1288" s="252"/>
    </row>
    <row r="1289" spans="13:13">
      <c r="M1289" s="252"/>
    </row>
    <row r="1290" spans="13:13">
      <c r="M1290" s="252"/>
    </row>
    <row r="1291" spans="13:13">
      <c r="M1291" s="252"/>
    </row>
    <row r="1292" spans="13:13">
      <c r="M1292" s="252"/>
    </row>
    <row r="1293" spans="13:13">
      <c r="M1293" s="252"/>
    </row>
    <row r="1294" spans="13:13">
      <c r="M1294" s="252"/>
    </row>
    <row r="1295" spans="13:13">
      <c r="M1295" s="252"/>
    </row>
    <row r="1296" spans="13:13">
      <c r="M1296" s="252"/>
    </row>
    <row r="1297" spans="13:13">
      <c r="M1297" s="252"/>
    </row>
    <row r="1298" spans="13:13">
      <c r="M1298" s="252"/>
    </row>
    <row r="1299" spans="13:13">
      <c r="M1299" s="252"/>
    </row>
    <row r="1300" spans="13:13">
      <c r="M1300" s="252"/>
    </row>
    <row r="1301" spans="13:13">
      <c r="M1301" s="252"/>
    </row>
    <row r="1302" spans="13:13">
      <c r="M1302" s="252"/>
    </row>
    <row r="1303" spans="13:13">
      <c r="M1303" s="252"/>
    </row>
    <row r="1304" spans="13:13">
      <c r="M1304" s="252"/>
    </row>
    <row r="1305" spans="13:13">
      <c r="M1305" s="252"/>
    </row>
    <row r="1306" spans="13:13">
      <c r="M1306" s="252"/>
    </row>
    <row r="1307" spans="13:13">
      <c r="M1307" s="252"/>
    </row>
    <row r="1308" spans="13:13">
      <c r="M1308" s="252"/>
    </row>
    <row r="1309" spans="13:13">
      <c r="M1309" s="252"/>
    </row>
    <row r="1310" spans="13:13">
      <c r="M1310" s="252"/>
    </row>
    <row r="1311" spans="13:13">
      <c r="M1311" s="252"/>
    </row>
    <row r="1312" spans="13:13">
      <c r="M1312" s="252"/>
    </row>
    <row r="1313" spans="13:13">
      <c r="M1313" s="252"/>
    </row>
    <row r="1314" spans="13:13">
      <c r="M1314" s="252"/>
    </row>
    <row r="1315" spans="13:13">
      <c r="M1315" s="252"/>
    </row>
    <row r="1316" spans="13:13">
      <c r="M1316" s="252"/>
    </row>
    <row r="1317" spans="13:13">
      <c r="M1317" s="252"/>
    </row>
    <row r="1318" spans="13:13">
      <c r="M1318" s="252"/>
    </row>
    <row r="1319" spans="13:13">
      <c r="M1319" s="252"/>
    </row>
    <row r="1320" spans="13:13">
      <c r="M1320" s="252"/>
    </row>
    <row r="1321" spans="13:13">
      <c r="M1321" s="252"/>
    </row>
    <row r="1322" spans="13:13">
      <c r="M1322" s="252"/>
    </row>
    <row r="1323" spans="13:13">
      <c r="M1323" s="252"/>
    </row>
    <row r="1324" spans="13:13">
      <c r="M1324" s="252"/>
    </row>
    <row r="1325" spans="13:13">
      <c r="M1325" s="252"/>
    </row>
    <row r="1326" spans="13:13">
      <c r="M1326" s="252"/>
    </row>
    <row r="1327" spans="13:13">
      <c r="M1327" s="252"/>
    </row>
    <row r="1328" spans="13:13">
      <c r="M1328" s="252"/>
    </row>
    <row r="1329" spans="13:13">
      <c r="M1329" s="252"/>
    </row>
    <row r="1330" spans="13:13">
      <c r="M1330" s="252"/>
    </row>
    <row r="1331" spans="13:13">
      <c r="M1331" s="252"/>
    </row>
    <row r="1332" spans="13:13">
      <c r="M1332" s="252"/>
    </row>
    <row r="1333" spans="13:13">
      <c r="M1333" s="252"/>
    </row>
    <row r="1334" spans="13:13">
      <c r="M1334" s="252"/>
    </row>
    <row r="1335" spans="13:13">
      <c r="M1335" s="252"/>
    </row>
    <row r="1336" spans="13:13">
      <c r="M1336" s="252"/>
    </row>
    <row r="1337" spans="13:13">
      <c r="M1337" s="252"/>
    </row>
    <row r="1338" spans="13:13">
      <c r="M1338" s="252"/>
    </row>
    <row r="1339" spans="13:13">
      <c r="M1339" s="252"/>
    </row>
    <row r="1340" spans="13:13">
      <c r="M1340" s="252"/>
    </row>
    <row r="1341" spans="13:13">
      <c r="M1341" s="252"/>
    </row>
    <row r="1342" spans="13:13">
      <c r="M1342" s="252"/>
    </row>
    <row r="1343" spans="13:13">
      <c r="M1343" s="252"/>
    </row>
    <row r="1344" spans="13:13">
      <c r="M1344" s="252"/>
    </row>
    <row r="1345" spans="13:13">
      <c r="M1345" s="252"/>
    </row>
    <row r="1346" spans="13:13">
      <c r="M1346" s="252"/>
    </row>
    <row r="1347" spans="13:13">
      <c r="M1347" s="252"/>
    </row>
    <row r="1348" spans="13:13">
      <c r="M1348" s="252"/>
    </row>
    <row r="1349" spans="13:13">
      <c r="M1349" s="252"/>
    </row>
    <row r="1350" spans="13:13">
      <c r="M1350" s="252"/>
    </row>
    <row r="1351" spans="13:13">
      <c r="M1351" s="252"/>
    </row>
    <row r="1352" spans="13:13">
      <c r="M1352" s="252"/>
    </row>
    <row r="1353" spans="13:13">
      <c r="M1353" s="252"/>
    </row>
    <row r="1354" spans="13:13">
      <c r="M1354" s="252"/>
    </row>
    <row r="1355" spans="13:13">
      <c r="M1355" s="252"/>
    </row>
    <row r="1356" spans="13:13">
      <c r="M1356" s="252"/>
    </row>
    <row r="1357" spans="13:13">
      <c r="M1357" s="252"/>
    </row>
    <row r="1358" spans="13:13">
      <c r="M1358" s="252"/>
    </row>
    <row r="1359" spans="13:13">
      <c r="M1359" s="252"/>
    </row>
    <row r="1360" spans="13:13">
      <c r="M1360" s="252"/>
    </row>
    <row r="1361" spans="13:13">
      <c r="M1361" s="252"/>
    </row>
    <row r="1362" spans="13:13">
      <c r="M1362" s="252"/>
    </row>
    <row r="1363" spans="13:13">
      <c r="M1363" s="252"/>
    </row>
    <row r="1364" spans="13:13">
      <c r="M1364" s="252"/>
    </row>
    <row r="1365" spans="13:13">
      <c r="M1365" s="252"/>
    </row>
    <row r="1366" spans="13:13">
      <c r="M1366" s="252"/>
    </row>
    <row r="1367" spans="13:13">
      <c r="M1367" s="252"/>
    </row>
    <row r="1368" spans="13:13">
      <c r="M1368" s="252"/>
    </row>
    <row r="1369" spans="13:13">
      <c r="M1369" s="252"/>
    </row>
    <row r="1370" spans="13:13">
      <c r="M1370" s="252"/>
    </row>
    <row r="1371" spans="13:13">
      <c r="M1371" s="252"/>
    </row>
    <row r="1372" spans="13:13">
      <c r="M1372" s="252"/>
    </row>
    <row r="1373" spans="13:13">
      <c r="M1373" s="252"/>
    </row>
    <row r="1374" spans="13:13">
      <c r="M1374" s="252"/>
    </row>
    <row r="1375" spans="13:13">
      <c r="M1375" s="252"/>
    </row>
    <row r="1376" spans="13:13">
      <c r="M1376" s="252"/>
    </row>
    <row r="1377" spans="13:13">
      <c r="M1377" s="252"/>
    </row>
    <row r="1378" spans="13:13">
      <c r="M1378" s="252"/>
    </row>
    <row r="1379" spans="13:13">
      <c r="M1379" s="252"/>
    </row>
    <row r="1380" spans="13:13">
      <c r="M1380" s="252"/>
    </row>
    <row r="1381" spans="13:13">
      <c r="M1381" s="252"/>
    </row>
    <row r="1382" spans="13:13">
      <c r="M1382" s="252"/>
    </row>
    <row r="1383" spans="13:13">
      <c r="M1383" s="252"/>
    </row>
    <row r="1384" spans="13:13">
      <c r="M1384" s="252"/>
    </row>
    <row r="1385" spans="13:13">
      <c r="M1385" s="252"/>
    </row>
    <row r="1386" spans="13:13">
      <c r="M1386" s="252"/>
    </row>
    <row r="1387" spans="13:13">
      <c r="M1387" s="252"/>
    </row>
    <row r="1388" spans="13:13">
      <c r="M1388" s="252"/>
    </row>
    <row r="1389" spans="13:13">
      <c r="M1389" s="252"/>
    </row>
    <row r="1390" spans="13:13">
      <c r="M1390" s="252"/>
    </row>
    <row r="1391" spans="13:13">
      <c r="M1391" s="252"/>
    </row>
    <row r="1392" spans="13:13">
      <c r="M1392" s="252"/>
    </row>
    <row r="1393" spans="13:13">
      <c r="M1393" s="252"/>
    </row>
    <row r="1394" spans="13:13">
      <c r="M1394" s="252"/>
    </row>
    <row r="1395" spans="13:13">
      <c r="M1395" s="252"/>
    </row>
    <row r="1396" spans="13:13">
      <c r="M1396" s="252"/>
    </row>
    <row r="1397" spans="13:13">
      <c r="M1397" s="252"/>
    </row>
    <row r="1398" spans="13:13">
      <c r="M1398" s="252"/>
    </row>
    <row r="1399" spans="13:13">
      <c r="M1399" s="252"/>
    </row>
    <row r="1400" spans="13:13">
      <c r="M1400" s="252"/>
    </row>
    <row r="1401" spans="13:13">
      <c r="M1401" s="252"/>
    </row>
    <row r="1402" spans="13:13">
      <c r="M1402" s="252"/>
    </row>
    <row r="1403" spans="13:13">
      <c r="M1403" s="252"/>
    </row>
    <row r="1404" spans="13:13">
      <c r="M1404" s="252"/>
    </row>
    <row r="1405" spans="13:13">
      <c r="M1405" s="252"/>
    </row>
    <row r="1406" spans="13:13">
      <c r="M1406" s="252"/>
    </row>
    <row r="1407" spans="13:13">
      <c r="M1407" s="252"/>
    </row>
    <row r="1408" spans="13:13">
      <c r="M1408" s="252"/>
    </row>
    <row r="1409" spans="13:13">
      <c r="M1409" s="252"/>
    </row>
    <row r="1410" spans="13:13">
      <c r="M1410" s="252"/>
    </row>
    <row r="1411" spans="13:13">
      <c r="M1411" s="252"/>
    </row>
    <row r="1412" spans="13:13">
      <c r="M1412" s="252"/>
    </row>
    <row r="1413" spans="13:13">
      <c r="M1413" s="252"/>
    </row>
    <row r="1414" spans="13:13">
      <c r="M1414" s="252"/>
    </row>
    <row r="1415" spans="13:13">
      <c r="M1415" s="252"/>
    </row>
    <row r="1416" spans="13:13">
      <c r="M1416" s="252"/>
    </row>
    <row r="1417" spans="13:13">
      <c r="M1417" s="252"/>
    </row>
    <row r="1418" spans="13:13">
      <c r="M1418" s="252"/>
    </row>
    <row r="1419" spans="13:13">
      <c r="M1419" s="252"/>
    </row>
    <row r="1420" spans="13:13">
      <c r="M1420" s="252"/>
    </row>
    <row r="1421" spans="13:13">
      <c r="M1421" s="252"/>
    </row>
    <row r="1422" spans="13:13">
      <c r="M1422" s="252"/>
    </row>
    <row r="1423" spans="13:13">
      <c r="M1423" s="252"/>
    </row>
    <row r="1424" spans="13:13">
      <c r="M1424" s="252"/>
    </row>
    <row r="1425" spans="13:13">
      <c r="M1425" s="252"/>
    </row>
    <row r="1426" spans="13:13">
      <c r="M1426" s="252"/>
    </row>
    <row r="1427" spans="13:13">
      <c r="M1427" s="252"/>
    </row>
    <row r="1428" spans="13:13">
      <c r="M1428" s="252"/>
    </row>
    <row r="1429" spans="13:13">
      <c r="M1429" s="252"/>
    </row>
    <row r="1430" spans="13:13">
      <c r="M1430" s="252"/>
    </row>
    <row r="1431" spans="13:13">
      <c r="M1431" s="252"/>
    </row>
    <row r="1432" spans="13:13">
      <c r="M1432" s="252"/>
    </row>
    <row r="1433" spans="13:13">
      <c r="M1433" s="252"/>
    </row>
    <row r="1434" spans="13:13">
      <c r="M1434" s="252"/>
    </row>
    <row r="1435" spans="13:13">
      <c r="M1435" s="252"/>
    </row>
    <row r="1436" spans="13:13">
      <c r="M1436" s="252"/>
    </row>
    <row r="1437" spans="13:13">
      <c r="M1437" s="252"/>
    </row>
    <row r="1438" spans="13:13">
      <c r="M1438" s="252"/>
    </row>
    <row r="1439" spans="13:13">
      <c r="M1439" s="252"/>
    </row>
    <row r="1440" spans="13:13">
      <c r="M1440" s="252"/>
    </row>
    <row r="1441" spans="13:13">
      <c r="M1441" s="252"/>
    </row>
    <row r="1442" spans="13:13">
      <c r="M1442" s="252"/>
    </row>
    <row r="1443" spans="13:13">
      <c r="M1443" s="252"/>
    </row>
    <row r="1444" spans="13:13">
      <c r="M1444" s="252"/>
    </row>
    <row r="1445" spans="13:13">
      <c r="M1445" s="252"/>
    </row>
    <row r="1446" spans="13:13">
      <c r="M1446" s="252"/>
    </row>
    <row r="1447" spans="13:13">
      <c r="M1447" s="252"/>
    </row>
    <row r="1448" spans="13:13">
      <c r="M1448" s="252"/>
    </row>
    <row r="1449" spans="13:13">
      <c r="M1449" s="252"/>
    </row>
    <row r="1450" spans="13:13">
      <c r="M1450" s="252"/>
    </row>
    <row r="1451" spans="13:13">
      <c r="M1451" s="252"/>
    </row>
    <row r="1452" spans="13:13">
      <c r="M1452" s="252"/>
    </row>
    <row r="1453" spans="13:13">
      <c r="M1453" s="252"/>
    </row>
    <row r="1454" spans="13:13">
      <c r="M1454" s="252"/>
    </row>
    <row r="1455" spans="13:13">
      <c r="M1455" s="252"/>
    </row>
    <row r="1456" spans="13:13">
      <c r="M1456" s="252"/>
    </row>
    <row r="1457" spans="13:13">
      <c r="M1457" s="252"/>
    </row>
    <row r="1458" spans="13:13">
      <c r="M1458" s="252"/>
    </row>
    <row r="1459" spans="13:13">
      <c r="M1459" s="252"/>
    </row>
    <row r="1460" spans="13:13">
      <c r="M1460" s="252"/>
    </row>
    <row r="1461" spans="13:13">
      <c r="M1461" s="252"/>
    </row>
    <row r="1462" spans="13:13">
      <c r="M1462" s="252"/>
    </row>
    <row r="1463" spans="13:13">
      <c r="M1463" s="252"/>
    </row>
    <row r="1464" spans="13:13">
      <c r="M1464" s="252"/>
    </row>
    <row r="1465" spans="13:13">
      <c r="M1465" s="252"/>
    </row>
    <row r="1466" spans="13:13">
      <c r="M1466" s="252"/>
    </row>
    <row r="1467" spans="13:13">
      <c r="M1467" s="252"/>
    </row>
    <row r="1468" spans="13:13">
      <c r="M1468" s="252"/>
    </row>
    <row r="1469" spans="13:13">
      <c r="M1469" s="252"/>
    </row>
    <row r="1470" spans="13:13">
      <c r="M1470" s="252"/>
    </row>
    <row r="1471" spans="13:13">
      <c r="M1471" s="252"/>
    </row>
    <row r="1472" spans="13:13">
      <c r="M1472" s="252"/>
    </row>
    <row r="1473" spans="13:13">
      <c r="M1473" s="252"/>
    </row>
    <row r="1474" spans="13:13">
      <c r="M1474" s="252"/>
    </row>
    <row r="1475" spans="13:13">
      <c r="M1475" s="252"/>
    </row>
    <row r="1476" spans="13:13">
      <c r="M1476" s="252"/>
    </row>
    <row r="1477" spans="13:13">
      <c r="M1477" s="252"/>
    </row>
    <row r="1478" spans="13:13">
      <c r="M1478" s="252"/>
    </row>
    <row r="1479" spans="13:13">
      <c r="M1479" s="252"/>
    </row>
    <row r="1480" spans="13:13">
      <c r="M1480" s="252"/>
    </row>
    <row r="1481" spans="13:13">
      <c r="M1481" s="252"/>
    </row>
    <row r="1482" spans="13:13">
      <c r="M1482" s="252"/>
    </row>
    <row r="1483" spans="13:13">
      <c r="M1483" s="252"/>
    </row>
    <row r="1484" spans="13:13">
      <c r="M1484" s="252"/>
    </row>
    <row r="1485" spans="13:13">
      <c r="M1485" s="252"/>
    </row>
    <row r="1486" spans="13:13">
      <c r="M1486" s="252"/>
    </row>
    <row r="1487" spans="13:13">
      <c r="M1487" s="252"/>
    </row>
    <row r="1488" spans="13:13">
      <c r="M1488" s="252"/>
    </row>
    <row r="1489" spans="13:13">
      <c r="M1489" s="252"/>
    </row>
    <row r="1490" spans="13:13">
      <c r="M1490" s="252"/>
    </row>
    <row r="1491" spans="13:13">
      <c r="M1491" s="252"/>
    </row>
    <row r="1492" spans="13:13">
      <c r="M1492" s="252"/>
    </row>
    <row r="1493" spans="13:13">
      <c r="M1493" s="252"/>
    </row>
    <row r="1494" spans="13:13">
      <c r="M1494" s="252"/>
    </row>
    <row r="1495" spans="13:13">
      <c r="M1495" s="252"/>
    </row>
    <row r="1496" spans="13:13">
      <c r="M1496" s="252"/>
    </row>
    <row r="1497" spans="13:13">
      <c r="M1497" s="252"/>
    </row>
    <row r="1498" spans="13:13">
      <c r="M1498" s="252"/>
    </row>
    <row r="1499" spans="13:13">
      <c r="M1499" s="252"/>
    </row>
    <row r="1500" spans="13:13">
      <c r="M1500" s="252"/>
    </row>
    <row r="1501" spans="13:13">
      <c r="M1501" s="252"/>
    </row>
    <row r="1502" spans="13:13">
      <c r="M1502" s="252"/>
    </row>
    <row r="1503" spans="13:13">
      <c r="M1503" s="252"/>
    </row>
    <row r="1504" spans="13:13">
      <c r="M1504" s="252"/>
    </row>
    <row r="1505" spans="13:13">
      <c r="M1505" s="252"/>
    </row>
    <row r="1506" spans="13:13">
      <c r="M1506" s="252"/>
    </row>
    <row r="1507" spans="13:13">
      <c r="M1507" s="252"/>
    </row>
    <row r="1508" spans="13:13">
      <c r="M1508" s="252"/>
    </row>
    <row r="1509" spans="13:13">
      <c r="M1509" s="252"/>
    </row>
    <row r="1510" spans="13:13">
      <c r="M1510" s="252"/>
    </row>
    <row r="1511" spans="13:13">
      <c r="M1511" s="252"/>
    </row>
    <row r="1512" spans="13:13">
      <c r="M1512" s="252"/>
    </row>
    <row r="1513" spans="13:13">
      <c r="M1513" s="252"/>
    </row>
    <row r="1514" spans="13:13">
      <c r="M1514" s="252"/>
    </row>
    <row r="1515" spans="13:13">
      <c r="M1515" s="252"/>
    </row>
    <row r="1516" spans="13:13">
      <c r="M1516" s="252"/>
    </row>
    <row r="1517" spans="13:13">
      <c r="M1517" s="252"/>
    </row>
    <row r="1518" spans="13:13">
      <c r="M1518" s="252"/>
    </row>
    <row r="1519" spans="13:13">
      <c r="M1519" s="252"/>
    </row>
    <row r="1520" spans="13:13">
      <c r="M1520" s="252"/>
    </row>
    <row r="1521" spans="13:13">
      <c r="M1521" s="252"/>
    </row>
    <row r="1522" spans="13:13">
      <c r="M1522" s="252"/>
    </row>
    <row r="1523" spans="13:13">
      <c r="M1523" s="252"/>
    </row>
    <row r="1524" spans="13:13">
      <c r="M1524" s="252"/>
    </row>
    <row r="1525" spans="13:13">
      <c r="M1525" s="252"/>
    </row>
    <row r="1526" spans="13:13">
      <c r="M1526" s="252"/>
    </row>
    <row r="1527" spans="13:13">
      <c r="M1527" s="252"/>
    </row>
    <row r="1528" spans="13:13">
      <c r="M1528" s="252"/>
    </row>
    <row r="1529" spans="13:13">
      <c r="M1529" s="252"/>
    </row>
    <row r="1530" spans="13:13">
      <c r="M1530" s="252"/>
    </row>
    <row r="1531" spans="13:13">
      <c r="M1531" s="252"/>
    </row>
    <row r="1532" spans="13:13">
      <c r="M1532" s="252"/>
    </row>
    <row r="1533" spans="13:13">
      <c r="M1533" s="252"/>
    </row>
    <row r="1534" spans="13:13">
      <c r="M1534" s="252"/>
    </row>
    <row r="1535" spans="13:13">
      <c r="M1535" s="252"/>
    </row>
    <row r="1536" spans="13:13">
      <c r="M1536" s="252"/>
    </row>
    <row r="1537" spans="13:13">
      <c r="M1537" s="252"/>
    </row>
    <row r="1538" spans="13:13">
      <c r="M1538" s="252"/>
    </row>
    <row r="1539" spans="13:13">
      <c r="M1539" s="252"/>
    </row>
    <row r="1540" spans="13:13">
      <c r="M1540" s="252"/>
    </row>
    <row r="1541" spans="13:13">
      <c r="M1541" s="252"/>
    </row>
    <row r="1542" spans="13:13">
      <c r="M1542" s="252"/>
    </row>
    <row r="1543" spans="13:13">
      <c r="M1543" s="252"/>
    </row>
    <row r="1544" spans="13:13">
      <c r="M1544" s="252"/>
    </row>
    <row r="1545" spans="13:13">
      <c r="M1545" s="252"/>
    </row>
    <row r="1546" spans="13:13">
      <c r="M1546" s="252"/>
    </row>
    <row r="1547" spans="13:13">
      <c r="M1547" s="252"/>
    </row>
    <row r="1548" spans="13:13">
      <c r="M1548" s="252"/>
    </row>
    <row r="1549" spans="13:13">
      <c r="M1549" s="252"/>
    </row>
    <row r="1550" spans="13:13">
      <c r="M1550" s="252"/>
    </row>
    <row r="1551" spans="13:13">
      <c r="M1551" s="252"/>
    </row>
    <row r="1552" spans="13:13">
      <c r="M1552" s="252"/>
    </row>
    <row r="1553" spans="13:13">
      <c r="M1553" s="252"/>
    </row>
    <row r="1554" spans="13:13">
      <c r="M1554" s="252"/>
    </row>
    <row r="1555" spans="13:13">
      <c r="M1555" s="252"/>
    </row>
    <row r="1556" spans="13:13">
      <c r="M1556" s="252"/>
    </row>
    <row r="1557" spans="13:13">
      <c r="M1557" s="252"/>
    </row>
    <row r="1558" spans="13:13">
      <c r="M1558" s="252"/>
    </row>
    <row r="1559" spans="13:13">
      <c r="M1559" s="252"/>
    </row>
    <row r="1560" spans="13:13">
      <c r="M1560" s="252"/>
    </row>
    <row r="1561" spans="13:13">
      <c r="M1561" s="252"/>
    </row>
    <row r="1562" spans="13:13">
      <c r="M1562" s="252"/>
    </row>
    <row r="1563" spans="13:13">
      <c r="M1563" s="252"/>
    </row>
    <row r="1564" spans="13:13">
      <c r="M1564" s="252"/>
    </row>
    <row r="1565" spans="13:13">
      <c r="M1565" s="252"/>
    </row>
    <row r="1566" spans="13:13">
      <c r="M1566" s="252"/>
    </row>
    <row r="1567" spans="13:13">
      <c r="M1567" s="252"/>
    </row>
    <row r="1568" spans="13:13">
      <c r="M1568" s="252"/>
    </row>
    <row r="1569" spans="13:13">
      <c r="M1569" s="252"/>
    </row>
    <row r="1570" spans="13:13">
      <c r="M1570" s="252"/>
    </row>
    <row r="1571" spans="13:13">
      <c r="M1571" s="252"/>
    </row>
    <row r="1572" spans="13:13">
      <c r="M1572" s="252"/>
    </row>
    <row r="1573" spans="13:13">
      <c r="M1573" s="252"/>
    </row>
    <row r="1574" spans="13:13">
      <c r="M1574" s="252"/>
    </row>
    <row r="1575" spans="13:13">
      <c r="M1575" s="252"/>
    </row>
    <row r="1576" spans="13:13">
      <c r="M1576" s="252"/>
    </row>
    <row r="1577" spans="13:13">
      <c r="M1577" s="252"/>
    </row>
    <row r="1578" spans="13:13">
      <c r="M1578" s="252"/>
    </row>
    <row r="1579" spans="13:13">
      <c r="M1579" s="252"/>
    </row>
    <row r="1580" spans="13:13">
      <c r="M1580" s="252"/>
    </row>
    <row r="1581" spans="13:13">
      <c r="M1581" s="252"/>
    </row>
    <row r="1582" spans="13:13">
      <c r="M1582" s="252"/>
    </row>
    <row r="1583" spans="13:13">
      <c r="M1583" s="252"/>
    </row>
    <row r="1584" spans="13:13">
      <c r="M1584" s="252"/>
    </row>
    <row r="1585" spans="13:13">
      <c r="M1585" s="252"/>
    </row>
    <row r="1586" spans="13:13">
      <c r="M1586" s="252"/>
    </row>
    <row r="1587" spans="13:13">
      <c r="M1587" s="252"/>
    </row>
    <row r="1588" spans="13:13">
      <c r="M1588" s="252"/>
    </row>
    <row r="1589" spans="13:13">
      <c r="M1589" s="252"/>
    </row>
    <row r="1590" spans="13:13">
      <c r="M1590" s="252"/>
    </row>
    <row r="1591" spans="13:13">
      <c r="M1591" s="252"/>
    </row>
    <row r="1592" spans="13:13">
      <c r="M1592" s="252"/>
    </row>
    <row r="1593" spans="13:13">
      <c r="M1593" s="252"/>
    </row>
    <row r="1594" spans="13:13">
      <c r="M1594" s="252"/>
    </row>
    <row r="1595" spans="13:13">
      <c r="M1595" s="252"/>
    </row>
    <row r="1596" spans="13:13">
      <c r="M1596" s="252"/>
    </row>
    <row r="1597" spans="13:13">
      <c r="M1597" s="252"/>
    </row>
    <row r="1598" spans="13:13">
      <c r="M1598" s="252"/>
    </row>
    <row r="1599" spans="13:13">
      <c r="M1599" s="252"/>
    </row>
    <row r="1600" spans="13:13">
      <c r="M1600" s="252"/>
    </row>
    <row r="1601" spans="13:13">
      <c r="M1601" s="252"/>
    </row>
    <row r="1602" spans="13:13">
      <c r="M1602" s="252"/>
    </row>
    <row r="1603" spans="13:13">
      <c r="M1603" s="252"/>
    </row>
    <row r="1604" spans="13:13">
      <c r="M1604" s="252"/>
    </row>
    <row r="1605" spans="13:13">
      <c r="M1605" s="252"/>
    </row>
    <row r="1606" spans="13:13">
      <c r="M1606" s="252"/>
    </row>
    <row r="1607" spans="13:13">
      <c r="M1607" s="252"/>
    </row>
    <row r="1608" spans="13:13">
      <c r="M1608" s="252"/>
    </row>
    <row r="1609" spans="13:13">
      <c r="M1609" s="252"/>
    </row>
    <row r="1610" spans="13:13">
      <c r="M1610" s="252"/>
    </row>
    <row r="1611" spans="13:13">
      <c r="M1611" s="252"/>
    </row>
    <row r="1612" spans="13:13">
      <c r="M1612" s="252"/>
    </row>
    <row r="1613" spans="13:13">
      <c r="M1613" s="252"/>
    </row>
    <row r="1614" spans="13:13">
      <c r="M1614" s="252"/>
    </row>
    <row r="1615" spans="13:13">
      <c r="M1615" s="252"/>
    </row>
    <row r="1616" spans="13:13">
      <c r="M1616" s="252"/>
    </row>
    <row r="1617" spans="13:13">
      <c r="M1617" s="252"/>
    </row>
    <row r="1618" spans="13:13">
      <c r="M1618" s="252"/>
    </row>
    <row r="1619" spans="13:13">
      <c r="M1619" s="252"/>
    </row>
    <row r="1620" spans="13:13">
      <c r="M1620" s="252"/>
    </row>
    <row r="1621" spans="13:13">
      <c r="M1621" s="252"/>
    </row>
    <row r="1622" spans="13:13">
      <c r="M1622" s="252"/>
    </row>
    <row r="1623" spans="13:13">
      <c r="M1623" s="252"/>
    </row>
    <row r="1624" spans="13:13">
      <c r="M1624" s="252"/>
    </row>
    <row r="1625" spans="13:13">
      <c r="M1625" s="252"/>
    </row>
    <row r="1626" spans="13:13">
      <c r="M1626" s="252"/>
    </row>
    <row r="1627" spans="13:13">
      <c r="M1627" s="252"/>
    </row>
    <row r="1628" spans="13:13">
      <c r="M1628" s="252"/>
    </row>
    <row r="1629" spans="13:13">
      <c r="M1629" s="252"/>
    </row>
    <row r="1630" spans="13:13">
      <c r="M1630" s="252"/>
    </row>
    <row r="1631" spans="13:13">
      <c r="M1631" s="252"/>
    </row>
    <row r="1632" spans="13:13">
      <c r="M1632" s="252"/>
    </row>
    <row r="1633" spans="13:13">
      <c r="M1633" s="252"/>
    </row>
    <row r="1634" spans="13:13">
      <c r="M1634" s="252"/>
    </row>
    <row r="1635" spans="13:13">
      <c r="M1635" s="252"/>
    </row>
    <row r="1636" spans="13:13">
      <c r="M1636" s="252"/>
    </row>
    <row r="1637" spans="13:13">
      <c r="M1637" s="252"/>
    </row>
    <row r="1638" spans="13:13">
      <c r="M1638" s="252"/>
    </row>
    <row r="1639" spans="13:13">
      <c r="M1639" s="252"/>
    </row>
    <row r="1640" spans="13:13">
      <c r="M1640" s="252"/>
    </row>
    <row r="1641" spans="13:13">
      <c r="M1641" s="252"/>
    </row>
    <row r="1642" spans="13:13">
      <c r="M1642" s="252"/>
    </row>
    <row r="1643" spans="13:13">
      <c r="M1643" s="252"/>
    </row>
    <row r="1644" spans="13:13">
      <c r="M1644" s="252"/>
    </row>
    <row r="1645" spans="13:13">
      <c r="M1645" s="252"/>
    </row>
    <row r="1646" spans="13:13">
      <c r="M1646" s="252"/>
    </row>
    <row r="1647" spans="13:13">
      <c r="M1647" s="252"/>
    </row>
    <row r="1648" spans="13:13">
      <c r="M1648" s="252"/>
    </row>
    <row r="1649" spans="13:13">
      <c r="M1649" s="252"/>
    </row>
    <row r="1650" spans="13:13">
      <c r="M1650" s="252"/>
    </row>
    <row r="1651" spans="13:13">
      <c r="M1651" s="252"/>
    </row>
    <row r="1652" spans="13:13">
      <c r="M1652" s="252"/>
    </row>
    <row r="1653" spans="13:13">
      <c r="M1653" s="252"/>
    </row>
    <row r="1654" spans="13:13">
      <c r="M1654" s="252"/>
    </row>
    <row r="1655" spans="13:13">
      <c r="M1655" s="252"/>
    </row>
    <row r="1656" spans="13:13">
      <c r="M1656" s="252"/>
    </row>
    <row r="1657" spans="13:13">
      <c r="M1657" s="252"/>
    </row>
    <row r="1658" spans="13:13">
      <c r="M1658" s="252"/>
    </row>
    <row r="1659" spans="13:13">
      <c r="M1659" s="252"/>
    </row>
    <row r="1660" spans="13:13">
      <c r="M1660" s="252"/>
    </row>
    <row r="1661" spans="13:13">
      <c r="M1661" s="252"/>
    </row>
    <row r="1662" spans="13:13">
      <c r="M1662" s="252"/>
    </row>
    <row r="1663" spans="13:13">
      <c r="M1663" s="252"/>
    </row>
    <row r="1664" spans="13:13">
      <c r="M1664" s="252"/>
    </row>
    <row r="1665" spans="13:13">
      <c r="M1665" s="252"/>
    </row>
    <row r="1666" spans="13:13">
      <c r="M1666" s="252"/>
    </row>
    <row r="1667" spans="13:13">
      <c r="M1667" s="252"/>
    </row>
    <row r="1668" spans="13:13">
      <c r="M1668" s="252"/>
    </row>
    <row r="1669" spans="13:13">
      <c r="M1669" s="252"/>
    </row>
    <row r="1670" spans="13:13">
      <c r="M1670" s="252"/>
    </row>
    <row r="1671" spans="13:13">
      <c r="M1671" s="252"/>
    </row>
    <row r="1672" spans="13:13">
      <c r="M1672" s="252"/>
    </row>
    <row r="1673" spans="13:13">
      <c r="M1673" s="252"/>
    </row>
    <row r="1674" spans="13:13">
      <c r="M1674" s="252"/>
    </row>
    <row r="1675" spans="13:13">
      <c r="M1675" s="252"/>
    </row>
    <row r="1676" spans="13:13">
      <c r="M1676" s="252"/>
    </row>
    <row r="1677" spans="13:13">
      <c r="M1677" s="252"/>
    </row>
    <row r="1678" spans="13:13">
      <c r="M1678" s="252"/>
    </row>
    <row r="1679" spans="13:13">
      <c r="M1679" s="252"/>
    </row>
    <row r="1680" spans="13:13">
      <c r="M1680" s="252"/>
    </row>
    <row r="1681" spans="13:13">
      <c r="M1681" s="252"/>
    </row>
    <row r="1682" spans="13:13">
      <c r="M1682" s="252"/>
    </row>
    <row r="1683" spans="13:13">
      <c r="M1683" s="252"/>
    </row>
    <row r="1684" spans="13:13">
      <c r="M1684" s="252"/>
    </row>
    <row r="1685" spans="13:13">
      <c r="M1685" s="252"/>
    </row>
    <row r="1686" spans="13:13">
      <c r="M1686" s="252"/>
    </row>
    <row r="1687" spans="13:13">
      <c r="M1687" s="252"/>
    </row>
    <row r="1688" spans="13:13">
      <c r="M1688" s="252"/>
    </row>
    <row r="1689" spans="13:13">
      <c r="M1689" s="252"/>
    </row>
    <row r="1690" spans="13:13">
      <c r="M1690" s="252"/>
    </row>
    <row r="1691" spans="13:13">
      <c r="M1691" s="252"/>
    </row>
    <row r="1692" spans="13:13">
      <c r="M1692" s="252"/>
    </row>
    <row r="1693" spans="13:13">
      <c r="M1693" s="252"/>
    </row>
    <row r="1694" spans="13:13">
      <c r="M1694" s="252"/>
    </row>
    <row r="1695" spans="13:13">
      <c r="M1695" s="252"/>
    </row>
    <row r="1696" spans="13:13">
      <c r="M1696" s="252"/>
    </row>
    <row r="1697" spans="13:13">
      <c r="M1697" s="252"/>
    </row>
    <row r="1698" spans="13:13">
      <c r="M1698" s="252"/>
    </row>
    <row r="1699" spans="13:13">
      <c r="M1699" s="252"/>
    </row>
    <row r="1700" spans="13:13">
      <c r="M1700" s="252"/>
    </row>
    <row r="1701" spans="13:13">
      <c r="M1701" s="252"/>
    </row>
    <row r="1702" spans="13:13">
      <c r="M1702" s="252"/>
    </row>
    <row r="1703" spans="13:13">
      <c r="M1703" s="252"/>
    </row>
    <row r="1704" spans="13:13">
      <c r="M1704" s="252"/>
    </row>
    <row r="1705" spans="13:13">
      <c r="M1705" s="252"/>
    </row>
    <row r="1706" spans="13:13">
      <c r="M1706" s="252"/>
    </row>
    <row r="1707" spans="13:13">
      <c r="M1707" s="252"/>
    </row>
    <row r="1708" spans="13:13">
      <c r="M1708" s="252"/>
    </row>
    <row r="1709" spans="13:13">
      <c r="M1709" s="252"/>
    </row>
    <row r="1710" spans="13:13">
      <c r="M1710" s="252"/>
    </row>
    <row r="1711" spans="13:13">
      <c r="M1711" s="252"/>
    </row>
    <row r="1712" spans="13:13">
      <c r="M1712" s="252"/>
    </row>
    <row r="1713" spans="13:13">
      <c r="M1713" s="252"/>
    </row>
    <row r="1714" spans="13:13">
      <c r="M1714" s="252"/>
    </row>
    <row r="1715" spans="13:13">
      <c r="M1715" s="252"/>
    </row>
    <row r="1716" spans="13:13">
      <c r="M1716" s="252"/>
    </row>
    <row r="1717" spans="13:13">
      <c r="M1717" s="252"/>
    </row>
    <row r="1718" spans="13:13">
      <c r="M1718" s="252"/>
    </row>
    <row r="1719" spans="13:13">
      <c r="M1719" s="252"/>
    </row>
    <row r="1720" spans="13:13">
      <c r="M1720" s="252"/>
    </row>
    <row r="1721" spans="13:13">
      <c r="M1721" s="252"/>
    </row>
    <row r="1722" spans="13:13">
      <c r="M1722" s="252"/>
    </row>
    <row r="1723" spans="13:13">
      <c r="M1723" s="252"/>
    </row>
    <row r="1724" spans="13:13">
      <c r="M1724" s="252"/>
    </row>
    <row r="1725" spans="13:13">
      <c r="M1725" s="252"/>
    </row>
    <row r="1726" spans="13:13">
      <c r="M1726" s="252"/>
    </row>
    <row r="1727" spans="13:13">
      <c r="M1727" s="252"/>
    </row>
    <row r="1728" spans="13:13">
      <c r="M1728" s="252"/>
    </row>
    <row r="1729" spans="13:13">
      <c r="M1729" s="252"/>
    </row>
    <row r="1730" spans="13:13">
      <c r="M1730" s="252"/>
    </row>
    <row r="1731" spans="13:13">
      <c r="M1731" s="252"/>
    </row>
    <row r="1732" spans="13:13">
      <c r="M1732" s="252"/>
    </row>
    <row r="1733" spans="13:13">
      <c r="M1733" s="252"/>
    </row>
    <row r="1734" spans="13:13">
      <c r="M1734" s="252"/>
    </row>
    <row r="1735" spans="13:13">
      <c r="M1735" s="252"/>
    </row>
    <row r="1736" spans="13:13">
      <c r="M1736" s="252"/>
    </row>
    <row r="1737" spans="13:13">
      <c r="M1737" s="252"/>
    </row>
    <row r="1738" spans="13:13">
      <c r="M1738" s="252"/>
    </row>
    <row r="1739" spans="13:13">
      <c r="M1739" s="252"/>
    </row>
    <row r="1740" spans="13:13">
      <c r="M1740" s="252"/>
    </row>
    <row r="1741" spans="13:13">
      <c r="M1741" s="252"/>
    </row>
    <row r="1742" spans="13:13">
      <c r="M1742" s="252"/>
    </row>
    <row r="1743" spans="13:13">
      <c r="M1743" s="252"/>
    </row>
    <row r="1744" spans="13:13">
      <c r="M1744" s="252"/>
    </row>
    <row r="1745" spans="13:13">
      <c r="M1745" s="252"/>
    </row>
    <row r="1746" spans="13:13">
      <c r="M1746" s="252"/>
    </row>
    <row r="1747" spans="13:13">
      <c r="M1747" s="252"/>
    </row>
    <row r="1748" spans="13:13">
      <c r="M1748" s="252"/>
    </row>
    <row r="1749" spans="13:13">
      <c r="M1749" s="252"/>
    </row>
    <row r="1750" spans="13:13">
      <c r="M1750" s="252"/>
    </row>
    <row r="1751" spans="13:13">
      <c r="M1751" s="252"/>
    </row>
    <row r="1752" spans="13:13">
      <c r="M1752" s="252"/>
    </row>
    <row r="1753" spans="13:13">
      <c r="M1753" s="252"/>
    </row>
    <row r="1754" spans="13:13">
      <c r="M1754" s="252"/>
    </row>
    <row r="1755" spans="13:13">
      <c r="M1755" s="252"/>
    </row>
    <row r="1756" spans="13:13">
      <c r="M1756" s="252"/>
    </row>
    <row r="1757" spans="13:13">
      <c r="M1757" s="252"/>
    </row>
    <row r="1758" spans="13:13">
      <c r="M1758" s="252"/>
    </row>
    <row r="1759" spans="13:13">
      <c r="M1759" s="252"/>
    </row>
    <row r="1760" spans="13:13">
      <c r="M1760" s="252"/>
    </row>
    <row r="1761" spans="13:13">
      <c r="M1761" s="252"/>
    </row>
    <row r="1762" spans="13:13">
      <c r="M1762" s="252"/>
    </row>
    <row r="1763" spans="13:13">
      <c r="M1763" s="252"/>
    </row>
    <row r="1764" spans="13:13">
      <c r="M1764" s="252"/>
    </row>
    <row r="1765" spans="13:13">
      <c r="M1765" s="252"/>
    </row>
    <row r="1766" spans="13:13">
      <c r="M1766" s="252"/>
    </row>
    <row r="1767" spans="13:13">
      <c r="M1767" s="252"/>
    </row>
    <row r="1768" spans="13:13">
      <c r="M1768" s="252"/>
    </row>
    <row r="1769" spans="13:13">
      <c r="M1769" s="252"/>
    </row>
    <row r="1770" spans="13:13">
      <c r="M1770" s="252"/>
    </row>
    <row r="1771" spans="13:13">
      <c r="M1771" s="252"/>
    </row>
    <row r="1772" spans="13:13">
      <c r="M1772" s="252"/>
    </row>
    <row r="1773" spans="13:13">
      <c r="M1773" s="252"/>
    </row>
    <row r="1774" spans="13:13">
      <c r="M1774" s="252"/>
    </row>
    <row r="1775" spans="13:13">
      <c r="M1775" s="252"/>
    </row>
    <row r="1776" spans="13:13">
      <c r="M1776" s="252"/>
    </row>
    <row r="1777" spans="13:13">
      <c r="M1777" s="252"/>
    </row>
    <row r="1778" spans="13:13">
      <c r="M1778" s="252"/>
    </row>
    <row r="1779" spans="13:13">
      <c r="M1779" s="252"/>
    </row>
    <row r="1780" spans="13:13">
      <c r="M1780" s="252"/>
    </row>
    <row r="1781" spans="13:13">
      <c r="M1781" s="252"/>
    </row>
    <row r="1782" spans="13:13">
      <c r="M1782" s="252"/>
    </row>
    <row r="1783" spans="13:13">
      <c r="M1783" s="252"/>
    </row>
    <row r="1784" spans="13:13">
      <c r="M1784" s="252"/>
    </row>
    <row r="1785" spans="13:13">
      <c r="M1785" s="252"/>
    </row>
    <row r="1786" spans="13:13">
      <c r="M1786" s="252"/>
    </row>
    <row r="1787" spans="13:13">
      <c r="M1787" s="252"/>
    </row>
    <row r="1788" spans="13:13">
      <c r="M1788" s="252"/>
    </row>
    <row r="1789" spans="13:13">
      <c r="M1789" s="252"/>
    </row>
    <row r="1790" spans="13:13">
      <c r="M1790" s="252"/>
    </row>
    <row r="1791" spans="13:13">
      <c r="M1791" s="252"/>
    </row>
    <row r="1792" spans="13:13">
      <c r="M1792" s="252"/>
    </row>
    <row r="1793" spans="13:13">
      <c r="M1793" s="252"/>
    </row>
    <row r="1794" spans="13:13">
      <c r="M1794" s="252"/>
    </row>
    <row r="1795" spans="13:13">
      <c r="M1795" s="252"/>
    </row>
    <row r="1796" spans="13:13">
      <c r="M1796" s="252"/>
    </row>
    <row r="1797" spans="13:13">
      <c r="M1797" s="252"/>
    </row>
    <row r="1798" spans="13:13">
      <c r="M1798" s="252"/>
    </row>
    <row r="1799" spans="13:13">
      <c r="M1799" s="252"/>
    </row>
    <row r="1800" spans="13:13">
      <c r="M1800" s="252"/>
    </row>
    <row r="1801" spans="13:13">
      <c r="M1801" s="252"/>
    </row>
    <row r="1802" spans="13:13">
      <c r="M1802" s="252"/>
    </row>
    <row r="1803" spans="13:13">
      <c r="M1803" s="252"/>
    </row>
    <row r="1804" spans="13:13">
      <c r="M1804" s="252"/>
    </row>
    <row r="1805" spans="13:13">
      <c r="M1805" s="252"/>
    </row>
    <row r="1806" spans="13:13">
      <c r="M1806" s="252"/>
    </row>
    <row r="1807" spans="13:13">
      <c r="M1807" s="252"/>
    </row>
    <row r="1808" spans="13:13">
      <c r="M1808" s="252"/>
    </row>
    <row r="1809" spans="13:13">
      <c r="M1809" s="252"/>
    </row>
    <row r="1810" spans="13:13">
      <c r="M1810" s="252"/>
    </row>
    <row r="1811" spans="13:13">
      <c r="M1811" s="252"/>
    </row>
    <row r="1812" spans="13:13">
      <c r="M1812" s="252"/>
    </row>
    <row r="1813" spans="13:13">
      <c r="M1813" s="252"/>
    </row>
    <row r="1814" spans="13:13">
      <c r="M1814" s="252"/>
    </row>
    <row r="1815" spans="13:13">
      <c r="M1815" s="252"/>
    </row>
    <row r="1816" spans="13:13">
      <c r="M1816" s="252"/>
    </row>
    <row r="1817" spans="13:13">
      <c r="M1817" s="252"/>
    </row>
    <row r="1818" spans="13:13">
      <c r="M1818" s="252"/>
    </row>
    <row r="1819" spans="13:13">
      <c r="M1819" s="252"/>
    </row>
    <row r="1820" spans="13:13">
      <c r="M1820" s="252"/>
    </row>
    <row r="1821" spans="13:13">
      <c r="M1821" s="252"/>
    </row>
    <row r="1822" spans="13:13">
      <c r="M1822" s="252"/>
    </row>
    <row r="1823" spans="13:13">
      <c r="M1823" s="252"/>
    </row>
    <row r="1824" spans="13:13">
      <c r="M1824" s="252"/>
    </row>
    <row r="1825" spans="13:13">
      <c r="M1825" s="252"/>
    </row>
    <row r="1826" spans="13:13">
      <c r="M1826" s="252"/>
    </row>
    <row r="1827" spans="13:13">
      <c r="M1827" s="252"/>
    </row>
    <row r="1828" spans="13:13">
      <c r="M1828" s="252"/>
    </row>
    <row r="1829" spans="13:13">
      <c r="M1829" s="252"/>
    </row>
    <row r="1830" spans="13:13">
      <c r="M1830" s="252"/>
    </row>
    <row r="1831" spans="13:13">
      <c r="M1831" s="252"/>
    </row>
    <row r="1832" spans="13:13">
      <c r="M1832" s="252"/>
    </row>
    <row r="1833" spans="13:13">
      <c r="M1833" s="252"/>
    </row>
    <row r="1834" spans="13:13">
      <c r="M1834" s="252"/>
    </row>
    <row r="1835" spans="13:13">
      <c r="M1835" s="252"/>
    </row>
    <row r="1836" spans="13:13">
      <c r="M1836" s="252"/>
    </row>
    <row r="1837" spans="13:13">
      <c r="M1837" s="252"/>
    </row>
    <row r="1838" spans="13:13">
      <c r="M1838" s="252"/>
    </row>
    <row r="1839" spans="13:13">
      <c r="M1839" s="252"/>
    </row>
    <row r="1840" spans="13:13">
      <c r="M1840" s="252"/>
    </row>
    <row r="1841" spans="13:13">
      <c r="M1841" s="252"/>
    </row>
    <row r="1842" spans="13:13">
      <c r="M1842" s="252"/>
    </row>
    <row r="1843" spans="13:13">
      <c r="M1843" s="252"/>
    </row>
    <row r="1844" spans="13:13">
      <c r="M1844" s="252"/>
    </row>
    <row r="1845" spans="13:13">
      <c r="M1845" s="252"/>
    </row>
    <row r="1846" spans="13:13">
      <c r="M1846" s="252"/>
    </row>
    <row r="1847" spans="13:13">
      <c r="M1847" s="252"/>
    </row>
    <row r="1848" spans="13:13">
      <c r="M1848" s="252"/>
    </row>
    <row r="1849" spans="13:13">
      <c r="M1849" s="252"/>
    </row>
    <row r="1850" spans="13:13">
      <c r="M1850" s="252"/>
    </row>
    <row r="1851" spans="13:13">
      <c r="M1851" s="252"/>
    </row>
    <row r="1852" spans="13:13">
      <c r="M1852" s="252"/>
    </row>
    <row r="1853" spans="13:13">
      <c r="M1853" s="252"/>
    </row>
    <row r="1854" spans="13:13">
      <c r="M1854" s="252"/>
    </row>
    <row r="1855" spans="13:13">
      <c r="M1855" s="252"/>
    </row>
    <row r="1856" spans="13:13">
      <c r="M1856" s="252"/>
    </row>
    <row r="1857" spans="13:13">
      <c r="M1857" s="252"/>
    </row>
    <row r="1858" spans="13:13">
      <c r="M1858" s="252"/>
    </row>
    <row r="1859" spans="13:13">
      <c r="M1859" s="252"/>
    </row>
    <row r="1860" spans="13:13">
      <c r="M1860" s="252"/>
    </row>
    <row r="1861" spans="13:13">
      <c r="M1861" s="252"/>
    </row>
    <row r="1862" spans="13:13">
      <c r="M1862" s="252"/>
    </row>
    <row r="1863" spans="13:13">
      <c r="M1863" s="252"/>
    </row>
    <row r="1864" spans="13:13">
      <c r="M1864" s="252"/>
    </row>
    <row r="1865" spans="13:13">
      <c r="M1865" s="252"/>
    </row>
    <row r="1866" spans="13:13">
      <c r="M1866" s="252"/>
    </row>
    <row r="1867" spans="13:13">
      <c r="M1867" s="252"/>
    </row>
    <row r="1868" spans="13:13">
      <c r="M1868" s="252"/>
    </row>
    <row r="1869" spans="13:13">
      <c r="M1869" s="252"/>
    </row>
    <row r="1870" spans="13:13">
      <c r="M1870" s="252"/>
    </row>
    <row r="1871" spans="13:13">
      <c r="M1871" s="252"/>
    </row>
    <row r="1872" spans="13:13">
      <c r="M1872" s="252"/>
    </row>
    <row r="1873" spans="13:13">
      <c r="M1873" s="252"/>
    </row>
    <row r="1874" spans="13:13">
      <c r="M1874" s="252"/>
    </row>
    <row r="1875" spans="13:13">
      <c r="M1875" s="252"/>
    </row>
    <row r="1876" spans="13:13">
      <c r="M1876" s="252"/>
    </row>
    <row r="1877" spans="13:13">
      <c r="M1877" s="252"/>
    </row>
    <row r="1878" spans="13:13">
      <c r="M1878" s="252"/>
    </row>
    <row r="1879" spans="13:13">
      <c r="M1879" s="252"/>
    </row>
    <row r="1880" spans="13:13">
      <c r="M1880" s="252"/>
    </row>
    <row r="1881" spans="13:13">
      <c r="M1881" s="252"/>
    </row>
    <row r="1882" spans="13:13">
      <c r="M1882" s="252"/>
    </row>
    <row r="1883" spans="13:13">
      <c r="M1883" s="252"/>
    </row>
    <row r="1884" spans="13:13">
      <c r="M1884" s="252"/>
    </row>
    <row r="1885" spans="13:13">
      <c r="M1885" s="252"/>
    </row>
    <row r="1886" spans="13:13">
      <c r="M1886" s="252"/>
    </row>
    <row r="1887" spans="13:13">
      <c r="M1887" s="252"/>
    </row>
    <row r="1888" spans="13:13">
      <c r="M1888" s="252"/>
    </row>
    <row r="1889" spans="13:13">
      <c r="M1889" s="252"/>
    </row>
    <row r="1890" spans="13:13">
      <c r="M1890" s="252"/>
    </row>
    <row r="1891" spans="13:13">
      <c r="M1891" s="252"/>
    </row>
    <row r="1892" spans="13:13">
      <c r="M1892" s="252"/>
    </row>
    <row r="1893" spans="13:13">
      <c r="M1893" s="252"/>
    </row>
    <row r="1894" spans="13:13">
      <c r="M1894" s="252"/>
    </row>
    <row r="1895" spans="13:13">
      <c r="M1895" s="252"/>
    </row>
    <row r="1896" spans="13:13">
      <c r="M1896" s="252"/>
    </row>
    <row r="1897" spans="13:13">
      <c r="M1897" s="252"/>
    </row>
    <row r="1898" spans="13:13">
      <c r="M1898" s="252"/>
    </row>
    <row r="1899" spans="13:13">
      <c r="M1899" s="252"/>
    </row>
    <row r="1900" spans="13:13">
      <c r="M1900" s="252"/>
    </row>
    <row r="1901" spans="13:13">
      <c r="M1901" s="252"/>
    </row>
    <row r="1902" spans="13:13">
      <c r="M1902" s="252"/>
    </row>
    <row r="1903" spans="13:13">
      <c r="M1903" s="252"/>
    </row>
    <row r="1904" spans="13:13">
      <c r="M1904" s="252"/>
    </row>
    <row r="1905" spans="13:13">
      <c r="M1905" s="252"/>
    </row>
    <row r="1906" spans="13:13">
      <c r="M1906" s="252"/>
    </row>
    <row r="1907" spans="13:13">
      <c r="M1907" s="252"/>
    </row>
    <row r="1908" spans="13:13">
      <c r="M1908" s="252"/>
    </row>
    <row r="1909" spans="13:13">
      <c r="M1909" s="252"/>
    </row>
    <row r="1910" spans="13:13">
      <c r="M1910" s="252"/>
    </row>
    <row r="1911" spans="13:13">
      <c r="M1911" s="252"/>
    </row>
    <row r="1912" spans="13:13">
      <c r="M1912" s="252"/>
    </row>
    <row r="1913" spans="13:13">
      <c r="M1913" s="252"/>
    </row>
    <row r="1914" spans="13:13">
      <c r="M1914" s="252"/>
    </row>
    <row r="1915" spans="13:13">
      <c r="M1915" s="252"/>
    </row>
    <row r="1916" spans="13:13">
      <c r="M1916" s="252"/>
    </row>
    <row r="1917" spans="13:13">
      <c r="M1917" s="252"/>
    </row>
    <row r="1918" spans="13:13">
      <c r="M1918" s="252"/>
    </row>
    <row r="1919" spans="13:13">
      <c r="M1919" s="252"/>
    </row>
    <row r="1920" spans="13:13">
      <c r="M1920" s="252"/>
    </row>
    <row r="1921" spans="13:13">
      <c r="M1921" s="252"/>
    </row>
    <row r="1922" spans="13:13">
      <c r="M1922" s="252"/>
    </row>
    <row r="1923" spans="13:13">
      <c r="M1923" s="252"/>
    </row>
    <row r="1924" spans="13:13">
      <c r="M1924" s="252"/>
    </row>
    <row r="1925" spans="13:13">
      <c r="M1925" s="252"/>
    </row>
    <row r="1926" spans="13:13">
      <c r="M1926" s="252"/>
    </row>
    <row r="1927" spans="13:13">
      <c r="M1927" s="252"/>
    </row>
    <row r="1928" spans="13:13">
      <c r="M1928" s="252"/>
    </row>
    <row r="1929" spans="13:13">
      <c r="M1929" s="252"/>
    </row>
    <row r="1930" spans="13:13">
      <c r="M1930" s="252"/>
    </row>
    <row r="1931" spans="13:13">
      <c r="M1931" s="252"/>
    </row>
    <row r="1932" spans="13:13">
      <c r="M1932" s="252"/>
    </row>
    <row r="1933" spans="13:13">
      <c r="M1933" s="252"/>
    </row>
    <row r="1934" spans="13:13">
      <c r="M1934" s="252"/>
    </row>
    <row r="1935" spans="13:13">
      <c r="M1935" s="252"/>
    </row>
    <row r="1936" spans="13:13">
      <c r="M1936" s="252"/>
    </row>
    <row r="1937" spans="13:13">
      <c r="M1937" s="252"/>
    </row>
    <row r="1938" spans="13:13">
      <c r="M1938" s="252"/>
    </row>
    <row r="1939" spans="13:13">
      <c r="M1939" s="252"/>
    </row>
    <row r="1940" spans="13:13">
      <c r="M1940" s="252"/>
    </row>
    <row r="1941" spans="13:13">
      <c r="M1941" s="252"/>
    </row>
    <row r="1942" spans="13:13">
      <c r="M1942" s="252"/>
    </row>
    <row r="1943" spans="13:13">
      <c r="M1943" s="252"/>
    </row>
    <row r="1944" spans="13:13">
      <c r="M1944" s="252"/>
    </row>
    <row r="1945" spans="13:13">
      <c r="M1945" s="252"/>
    </row>
    <row r="1946" spans="13:13">
      <c r="M1946" s="252"/>
    </row>
    <row r="1947" spans="13:13">
      <c r="M1947" s="252"/>
    </row>
    <row r="1948" spans="13:13">
      <c r="M1948" s="252"/>
    </row>
    <row r="1949" spans="13:13">
      <c r="M1949" s="252"/>
    </row>
    <row r="1950" spans="13:13">
      <c r="M1950" s="252"/>
    </row>
    <row r="1951" spans="13:13">
      <c r="M1951" s="252"/>
    </row>
    <row r="1952" spans="13:13">
      <c r="M1952" s="252"/>
    </row>
    <row r="1953" spans="13:13">
      <c r="M1953" s="252"/>
    </row>
    <row r="1954" spans="13:13">
      <c r="M1954" s="252"/>
    </row>
    <row r="1955" spans="13:13">
      <c r="M1955" s="252"/>
    </row>
    <row r="1956" spans="13:13">
      <c r="M1956" s="252"/>
    </row>
    <row r="1957" spans="13:13">
      <c r="M1957" s="252"/>
    </row>
    <row r="1958" spans="13:13">
      <c r="M1958" s="252"/>
    </row>
    <row r="1959" spans="13:13">
      <c r="M1959" s="252"/>
    </row>
    <row r="1960" spans="13:13">
      <c r="M1960" s="252"/>
    </row>
    <row r="1961" spans="13:13">
      <c r="M1961" s="252"/>
    </row>
    <row r="1962" spans="13:13">
      <c r="M1962" s="252"/>
    </row>
    <row r="1963" spans="13:13">
      <c r="M1963" s="252"/>
    </row>
    <row r="1964" spans="13:13">
      <c r="M1964" s="252"/>
    </row>
    <row r="1965" spans="13:13">
      <c r="M1965" s="252"/>
    </row>
    <row r="1966" spans="13:13">
      <c r="M1966" s="252"/>
    </row>
    <row r="1967" spans="13:13">
      <c r="M1967" s="252"/>
    </row>
    <row r="1968" spans="13:13">
      <c r="M1968" s="252"/>
    </row>
    <row r="1969" spans="13:13">
      <c r="M1969" s="252"/>
    </row>
    <row r="1970" spans="13:13">
      <c r="M1970" s="252"/>
    </row>
    <row r="1971" spans="13:13">
      <c r="M1971" s="252"/>
    </row>
    <row r="1972" spans="13:13">
      <c r="M1972" s="252"/>
    </row>
    <row r="1973" spans="13:13">
      <c r="M1973" s="252"/>
    </row>
    <row r="1974" spans="13:13">
      <c r="M1974" s="252"/>
    </row>
    <row r="1975" spans="13:13">
      <c r="M1975" s="252"/>
    </row>
    <row r="1976" spans="13:13">
      <c r="M1976" s="252"/>
    </row>
    <row r="1977" spans="13:13">
      <c r="M1977" s="252"/>
    </row>
    <row r="1978" spans="13:13">
      <c r="M1978" s="252"/>
    </row>
    <row r="1979" spans="13:13">
      <c r="M1979" s="252"/>
    </row>
    <row r="1980" spans="13:13">
      <c r="M1980" s="252"/>
    </row>
    <row r="1981" spans="13:13">
      <c r="M1981" s="252"/>
    </row>
    <row r="1982" spans="13:13">
      <c r="M1982" s="252"/>
    </row>
    <row r="1983" spans="13:13">
      <c r="M1983" s="252"/>
    </row>
    <row r="1984" spans="13:13">
      <c r="M1984" s="252"/>
    </row>
    <row r="1985" spans="13:13">
      <c r="M1985" s="252"/>
    </row>
    <row r="1986" spans="13:13">
      <c r="M1986" s="252"/>
    </row>
    <row r="1987" spans="13:13">
      <c r="M1987" s="252"/>
    </row>
    <row r="1988" spans="13:13">
      <c r="M1988" s="252"/>
    </row>
    <row r="1989" spans="13:13">
      <c r="M1989" s="252"/>
    </row>
    <row r="1990" spans="13:13">
      <c r="M1990" s="252"/>
    </row>
    <row r="1991" spans="13:13">
      <c r="M1991" s="252"/>
    </row>
    <row r="1992" spans="13:13">
      <c r="M1992" s="252"/>
    </row>
    <row r="1993" spans="13:13">
      <c r="M1993" s="252"/>
    </row>
    <row r="1994" spans="13:13">
      <c r="M1994" s="252"/>
    </row>
    <row r="1995" spans="13:13">
      <c r="M1995" s="252"/>
    </row>
    <row r="1996" spans="13:13">
      <c r="M1996" s="252"/>
    </row>
    <row r="1997" spans="13:13">
      <c r="M1997" s="252"/>
    </row>
    <row r="1998" spans="13:13">
      <c r="M1998" s="252"/>
    </row>
    <row r="1999" spans="13:13">
      <c r="M1999" s="252"/>
    </row>
    <row r="2000" spans="13:13">
      <c r="M2000" s="252"/>
    </row>
    <row r="2001" spans="13:13">
      <c r="M2001" s="252"/>
    </row>
    <row r="2002" spans="13:13">
      <c r="M2002" s="252"/>
    </row>
    <row r="2003" spans="13:13">
      <c r="M2003" s="252"/>
    </row>
    <row r="2004" spans="13:13">
      <c r="M2004" s="252"/>
    </row>
    <row r="2005" spans="13:13">
      <c r="M2005" s="252"/>
    </row>
    <row r="2006" spans="13:13">
      <c r="M2006" s="252"/>
    </row>
    <row r="2007" spans="13:13">
      <c r="M2007" s="252"/>
    </row>
    <row r="2008" spans="13:13">
      <c r="M2008" s="252"/>
    </row>
    <row r="2009" spans="13:13">
      <c r="M2009" s="252"/>
    </row>
    <row r="2010" spans="13:13">
      <c r="M2010" s="252"/>
    </row>
    <row r="2011" spans="13:13">
      <c r="M2011" s="252"/>
    </row>
    <row r="2012" spans="13:13">
      <c r="M2012" s="252"/>
    </row>
    <row r="2013" spans="13:13">
      <c r="M2013" s="252"/>
    </row>
    <row r="2014" spans="13:13">
      <c r="M2014" s="252"/>
    </row>
    <row r="2015" spans="13:13">
      <c r="M2015" s="252"/>
    </row>
    <row r="2016" spans="13:13">
      <c r="M2016" s="252"/>
    </row>
    <row r="2017" spans="13:13">
      <c r="M2017" s="252"/>
    </row>
    <row r="2018" spans="13:13">
      <c r="M2018" s="252"/>
    </row>
    <row r="2019" spans="13:13">
      <c r="M2019" s="252"/>
    </row>
    <row r="2020" spans="13:13">
      <c r="M2020" s="252"/>
    </row>
    <row r="2021" spans="13:13">
      <c r="M2021" s="252"/>
    </row>
    <row r="2022" spans="13:13">
      <c r="M2022" s="252"/>
    </row>
    <row r="2023" spans="13:13">
      <c r="M2023" s="252"/>
    </row>
    <row r="2024" spans="13:13">
      <c r="M2024" s="252"/>
    </row>
    <row r="2025" spans="13:13">
      <c r="M2025" s="252"/>
    </row>
    <row r="2026" spans="13:13">
      <c r="M2026" s="252"/>
    </row>
    <row r="2027" spans="13:13">
      <c r="M2027" s="252"/>
    </row>
    <row r="2028" spans="13:13">
      <c r="M2028" s="252"/>
    </row>
    <row r="2029" spans="13:13">
      <c r="M2029" s="252"/>
    </row>
    <row r="2030" spans="13:13">
      <c r="M2030" s="252"/>
    </row>
    <row r="2031" spans="13:13">
      <c r="M2031" s="252"/>
    </row>
    <row r="2032" spans="13:13">
      <c r="M2032" s="252"/>
    </row>
    <row r="2033" spans="13:13">
      <c r="M2033" s="252"/>
    </row>
    <row r="2034" spans="13:13">
      <c r="M2034" s="252"/>
    </row>
    <row r="2035" spans="13:13">
      <c r="M2035" s="252"/>
    </row>
    <row r="2036" spans="13:13">
      <c r="M2036" s="252"/>
    </row>
    <row r="2037" spans="13:13">
      <c r="M2037" s="252"/>
    </row>
    <row r="2038" spans="13:13">
      <c r="M2038" s="252"/>
    </row>
    <row r="2039" spans="13:13">
      <c r="M2039" s="252"/>
    </row>
    <row r="2040" spans="13:13">
      <c r="M2040" s="252"/>
    </row>
    <row r="2041" spans="13:13">
      <c r="M2041" s="252"/>
    </row>
    <row r="2042" spans="13:13">
      <c r="M2042" s="252"/>
    </row>
    <row r="2043" spans="13:13">
      <c r="M2043" s="252"/>
    </row>
    <row r="2044" spans="13:13">
      <c r="M2044" s="252"/>
    </row>
    <row r="2045" spans="13:13">
      <c r="M2045" s="252"/>
    </row>
    <row r="2046" spans="13:13">
      <c r="M2046" s="252"/>
    </row>
    <row r="2047" spans="13:13">
      <c r="M2047" s="252"/>
    </row>
    <row r="2048" spans="13:13">
      <c r="M2048" s="252"/>
    </row>
    <row r="2049" spans="13:13">
      <c r="M2049" s="252"/>
    </row>
    <row r="2050" spans="13:13">
      <c r="M2050" s="252"/>
    </row>
    <row r="2051" spans="13:13">
      <c r="M2051" s="252"/>
    </row>
    <row r="2052" spans="13:13">
      <c r="M2052" s="252"/>
    </row>
    <row r="2053" spans="13:13">
      <c r="M2053" s="252"/>
    </row>
    <row r="2054" spans="13:13">
      <c r="M2054" s="252"/>
    </row>
    <row r="2055" spans="13:13">
      <c r="M2055" s="252"/>
    </row>
    <row r="2056" spans="13:13">
      <c r="M2056" s="252"/>
    </row>
    <row r="2057" spans="13:13">
      <c r="M2057" s="252"/>
    </row>
    <row r="2058" spans="13:13">
      <c r="M2058" s="252"/>
    </row>
    <row r="2059" spans="13:13">
      <c r="M2059" s="252"/>
    </row>
    <row r="2060" spans="13:13">
      <c r="M2060" s="252"/>
    </row>
    <row r="2061" spans="13:13">
      <c r="M2061" s="252"/>
    </row>
    <row r="2062" spans="13:13">
      <c r="M2062" s="252"/>
    </row>
    <row r="2063" spans="13:13">
      <c r="M2063" s="252"/>
    </row>
    <row r="2064" spans="13:13">
      <c r="M2064" s="252"/>
    </row>
    <row r="2065" spans="13:13">
      <c r="M2065" s="252"/>
    </row>
    <row r="2066" spans="13:13">
      <c r="M2066" s="252"/>
    </row>
    <row r="2067" spans="13:13">
      <c r="M2067" s="252"/>
    </row>
    <row r="2068" spans="13:13">
      <c r="M2068" s="252"/>
    </row>
    <row r="2069" spans="13:13">
      <c r="M2069" s="252"/>
    </row>
    <row r="2070" spans="13:13">
      <c r="M2070" s="252"/>
    </row>
    <row r="2071" spans="13:13">
      <c r="M2071" s="252"/>
    </row>
    <row r="2072" spans="13:13">
      <c r="M2072" s="252"/>
    </row>
    <row r="2073" spans="13:13">
      <c r="M2073" s="252"/>
    </row>
    <row r="2074" spans="13:13">
      <c r="M2074" s="252"/>
    </row>
    <row r="2075" spans="13:13">
      <c r="M2075" s="252"/>
    </row>
    <row r="2076" spans="13:13">
      <c r="M2076" s="252"/>
    </row>
    <row r="2077" spans="13:13">
      <c r="M2077" s="252"/>
    </row>
    <row r="2078" spans="13:13">
      <c r="M2078" s="252"/>
    </row>
    <row r="2079" spans="13:13">
      <c r="M2079" s="252"/>
    </row>
    <row r="2080" spans="13:13">
      <c r="M2080" s="252"/>
    </row>
    <row r="2081" spans="13:13">
      <c r="M2081" s="252"/>
    </row>
    <row r="2082" spans="13:13">
      <c r="M2082" s="252"/>
    </row>
    <row r="2083" spans="13:13">
      <c r="M2083" s="252"/>
    </row>
    <row r="2084" spans="13:13">
      <c r="M2084" s="252"/>
    </row>
    <row r="2085" spans="13:13">
      <c r="M2085" s="252"/>
    </row>
    <row r="2086" spans="13:13">
      <c r="M2086" s="252"/>
    </row>
    <row r="2087" spans="13:13">
      <c r="M2087" s="252"/>
    </row>
    <row r="2088" spans="13:13">
      <c r="M2088" s="252"/>
    </row>
    <row r="2089" spans="13:13">
      <c r="M2089" s="252"/>
    </row>
    <row r="2090" spans="13:13">
      <c r="M2090" s="252"/>
    </row>
    <row r="2091" spans="13:13">
      <c r="M2091" s="252"/>
    </row>
    <row r="2092" spans="13:13">
      <c r="M2092" s="252"/>
    </row>
    <row r="2093" spans="13:13">
      <c r="M2093" s="252"/>
    </row>
    <row r="2094" spans="13:13">
      <c r="M2094" s="252"/>
    </row>
    <row r="2095" spans="13:13">
      <c r="M2095" s="252"/>
    </row>
    <row r="2096" spans="13:13">
      <c r="M2096" s="252"/>
    </row>
    <row r="2097" spans="13:13">
      <c r="M2097" s="252"/>
    </row>
    <row r="2098" spans="13:13">
      <c r="M2098" s="252"/>
    </row>
    <row r="2099" spans="13:13">
      <c r="M2099" s="252"/>
    </row>
    <row r="2100" spans="13:13">
      <c r="M2100" s="252"/>
    </row>
    <row r="2101" spans="13:13">
      <c r="M2101" s="252"/>
    </row>
    <row r="2102" spans="13:13">
      <c r="M2102" s="252"/>
    </row>
    <row r="2103" spans="13:13">
      <c r="M2103" s="252"/>
    </row>
    <row r="2104" spans="13:13">
      <c r="M2104" s="252"/>
    </row>
    <row r="2105" spans="13:13">
      <c r="M2105" s="252"/>
    </row>
    <row r="2106" spans="13:13">
      <c r="M2106" s="252"/>
    </row>
    <row r="2107" spans="13:13">
      <c r="M2107" s="252"/>
    </row>
    <row r="2108" spans="13:13">
      <c r="M2108" s="252"/>
    </row>
    <row r="2109" spans="13:13">
      <c r="M2109" s="252"/>
    </row>
    <row r="2110" spans="13:13">
      <c r="M2110" s="252"/>
    </row>
    <row r="2111" spans="13:13">
      <c r="M2111" s="252"/>
    </row>
    <row r="2112" spans="13:13">
      <c r="M2112" s="252"/>
    </row>
    <row r="2113" spans="13:13">
      <c r="M2113" s="252"/>
    </row>
    <row r="2114" spans="13:13">
      <c r="M2114" s="252"/>
    </row>
    <row r="2115" spans="13:13">
      <c r="M2115" s="252"/>
    </row>
    <row r="2116" spans="13:13">
      <c r="M2116" s="252"/>
    </row>
    <row r="2117" spans="13:13">
      <c r="M2117" s="252"/>
    </row>
    <row r="2118" spans="13:13">
      <c r="M2118" s="252"/>
    </row>
    <row r="2119" spans="13:13">
      <c r="M2119" s="252"/>
    </row>
    <row r="2120" spans="13:13">
      <c r="M2120" s="252"/>
    </row>
    <row r="2121" spans="13:13">
      <c r="M2121" s="252"/>
    </row>
    <row r="2122" spans="13:13">
      <c r="M2122" s="252"/>
    </row>
    <row r="2123" spans="13:13">
      <c r="M2123" s="252"/>
    </row>
    <row r="2124" spans="13:13">
      <c r="M2124" s="252"/>
    </row>
    <row r="2125" spans="13:13">
      <c r="M2125" s="252"/>
    </row>
    <row r="2126" spans="13:13">
      <c r="M2126" s="252"/>
    </row>
    <row r="2127" spans="13:13">
      <c r="M2127" s="252"/>
    </row>
    <row r="2128" spans="13:13">
      <c r="M2128" s="252"/>
    </row>
    <row r="2129" spans="13:13">
      <c r="M2129" s="252"/>
    </row>
    <row r="2130" spans="13:13">
      <c r="M2130" s="252"/>
    </row>
    <row r="2131" spans="13:13">
      <c r="M2131" s="252"/>
    </row>
    <row r="2132" spans="13:13">
      <c r="M2132" s="252"/>
    </row>
    <row r="2133" spans="13:13">
      <c r="M2133" s="252"/>
    </row>
    <row r="2134" spans="13:13">
      <c r="M2134" s="252"/>
    </row>
    <row r="2135" spans="13:13">
      <c r="M2135" s="252"/>
    </row>
    <row r="2136" spans="13:13">
      <c r="M2136" s="252"/>
    </row>
    <row r="2137" spans="13:13">
      <c r="M2137" s="252"/>
    </row>
    <row r="2138" spans="13:13">
      <c r="M2138" s="252"/>
    </row>
    <row r="2139" spans="13:13">
      <c r="M2139" s="252"/>
    </row>
    <row r="2140" spans="13:13">
      <c r="M2140" s="252"/>
    </row>
    <row r="2141" spans="13:13">
      <c r="M2141" s="252"/>
    </row>
    <row r="2142" spans="13:13">
      <c r="M2142" s="252"/>
    </row>
    <row r="2143" spans="13:13">
      <c r="M2143" s="252"/>
    </row>
    <row r="2144" spans="13:13">
      <c r="M2144" s="252"/>
    </row>
    <row r="2145" spans="13:13">
      <c r="M2145" s="252"/>
    </row>
    <row r="2146" spans="13:13">
      <c r="M2146" s="252"/>
    </row>
    <row r="2147" spans="13:13">
      <c r="M2147" s="252"/>
    </row>
    <row r="2148" spans="13:13">
      <c r="M2148" s="252"/>
    </row>
    <row r="2149" spans="13:13">
      <c r="M2149" s="252"/>
    </row>
    <row r="2150" spans="13:13">
      <c r="M2150" s="252"/>
    </row>
    <row r="2151" spans="13:13">
      <c r="M2151" s="252"/>
    </row>
    <row r="2152" spans="13:13">
      <c r="M2152" s="252"/>
    </row>
    <row r="2153" spans="13:13">
      <c r="M2153" s="252"/>
    </row>
    <row r="2154" spans="13:13">
      <c r="M2154" s="252"/>
    </row>
    <row r="2155" spans="13:13">
      <c r="M2155" s="252"/>
    </row>
    <row r="2156" spans="13:13">
      <c r="M2156" s="252"/>
    </row>
    <row r="2157" spans="13:13">
      <c r="M2157" s="252"/>
    </row>
    <row r="2158" spans="13:13">
      <c r="M2158" s="252"/>
    </row>
    <row r="2159" spans="13:13">
      <c r="M2159" s="252"/>
    </row>
    <row r="2160" spans="13:13">
      <c r="M2160" s="252"/>
    </row>
    <row r="2161" spans="13:13">
      <c r="M2161" s="252"/>
    </row>
    <row r="2162" spans="13:13">
      <c r="M2162" s="252"/>
    </row>
    <row r="2163" spans="13:13">
      <c r="M2163" s="252"/>
    </row>
    <row r="2164" spans="13:13">
      <c r="M2164" s="252"/>
    </row>
    <row r="2165" spans="13:13">
      <c r="M2165" s="252"/>
    </row>
    <row r="2166" spans="13:13">
      <c r="M2166" s="252"/>
    </row>
    <row r="2167" spans="13:13">
      <c r="M2167" s="252"/>
    </row>
    <row r="2168" spans="13:13">
      <c r="M2168" s="252"/>
    </row>
    <row r="2169" spans="13:13">
      <c r="M2169" s="252"/>
    </row>
    <row r="2170" spans="13:13">
      <c r="M2170" s="252"/>
    </row>
    <row r="2171" spans="13:13">
      <c r="M2171" s="252"/>
    </row>
    <row r="2172" spans="13:13">
      <c r="M2172" s="252"/>
    </row>
    <row r="2173" spans="13:13">
      <c r="M2173" s="252"/>
    </row>
    <row r="2174" spans="13:13">
      <c r="M2174" s="252"/>
    </row>
    <row r="2175" spans="13:13">
      <c r="M2175" s="252"/>
    </row>
    <row r="2176" spans="13:13">
      <c r="M2176" s="252"/>
    </row>
    <row r="2177" spans="13:13">
      <c r="M2177" s="252"/>
    </row>
    <row r="2178" spans="13:13">
      <c r="M2178" s="252"/>
    </row>
    <row r="2179" spans="13:13">
      <c r="M2179" s="252"/>
    </row>
    <row r="2180" spans="13:13">
      <c r="M2180" s="252"/>
    </row>
    <row r="2181" spans="13:13">
      <c r="M2181" s="252"/>
    </row>
    <row r="2182" spans="13:13">
      <c r="M2182" s="252"/>
    </row>
    <row r="2183" spans="13:13">
      <c r="M2183" s="252"/>
    </row>
    <row r="2184" spans="13:13">
      <c r="M2184" s="252"/>
    </row>
    <row r="2185" spans="13:13">
      <c r="M2185" s="252"/>
    </row>
    <row r="2186" spans="13:13">
      <c r="M2186" s="252"/>
    </row>
    <row r="2187" spans="13:13">
      <c r="M2187" s="252"/>
    </row>
    <row r="2188" spans="13:13">
      <c r="M2188" s="252"/>
    </row>
    <row r="2189" spans="13:13">
      <c r="M2189" s="252"/>
    </row>
    <row r="2190" spans="13:13">
      <c r="M2190" s="252"/>
    </row>
    <row r="2191" spans="13:13">
      <c r="M2191" s="252"/>
    </row>
    <row r="2192" spans="13:13">
      <c r="M2192" s="252"/>
    </row>
    <row r="2193" spans="13:13">
      <c r="M2193" s="252"/>
    </row>
    <row r="2194" spans="13:13">
      <c r="M2194" s="252"/>
    </row>
    <row r="2195" spans="13:13">
      <c r="M2195" s="252"/>
    </row>
    <row r="2196" spans="13:13">
      <c r="M2196" s="252"/>
    </row>
    <row r="2197" spans="13:13">
      <c r="M2197" s="252"/>
    </row>
    <row r="2198" spans="13:13">
      <c r="M2198" s="252"/>
    </row>
    <row r="2199" spans="13:13">
      <c r="M2199" s="252"/>
    </row>
    <row r="2200" spans="13:13">
      <c r="M2200" s="252"/>
    </row>
    <row r="2201" spans="13:13">
      <c r="M2201" s="252"/>
    </row>
    <row r="2202" spans="13:13">
      <c r="M2202" s="252"/>
    </row>
    <row r="2203" spans="13:13">
      <c r="M2203" s="252"/>
    </row>
    <row r="2204" spans="13:13">
      <c r="M2204" s="252"/>
    </row>
    <row r="2205" spans="13:13">
      <c r="M2205" s="252"/>
    </row>
    <row r="2206" spans="13:13">
      <c r="M2206" s="252"/>
    </row>
    <row r="2207" spans="13:13">
      <c r="M2207" s="252"/>
    </row>
    <row r="2208" spans="13:13">
      <c r="M2208" s="252"/>
    </row>
    <row r="2209" spans="13:13">
      <c r="M2209" s="252"/>
    </row>
    <row r="2210" spans="13:13">
      <c r="M2210" s="252"/>
    </row>
    <row r="2211" spans="13:13">
      <c r="M2211" s="252"/>
    </row>
    <row r="2212" spans="13:13">
      <c r="M2212" s="252"/>
    </row>
    <row r="2213" spans="13:13">
      <c r="M2213" s="252"/>
    </row>
    <row r="2214" spans="13:13">
      <c r="M2214" s="252"/>
    </row>
    <row r="2215" spans="13:13">
      <c r="M2215" s="252"/>
    </row>
    <row r="2216" spans="13:13">
      <c r="M2216" s="252"/>
    </row>
    <row r="2217" spans="13:13">
      <c r="M2217" s="252"/>
    </row>
    <row r="2218" spans="13:13">
      <c r="M2218" s="252"/>
    </row>
    <row r="2219" spans="13:13">
      <c r="M2219" s="252"/>
    </row>
    <row r="2220" spans="13:13">
      <c r="M2220" s="252"/>
    </row>
    <row r="2221" spans="13:13">
      <c r="M2221" s="252"/>
    </row>
    <row r="2222" spans="13:13">
      <c r="M2222" s="252"/>
    </row>
    <row r="2223" spans="13:13">
      <c r="M2223" s="252"/>
    </row>
    <row r="2224" spans="13:13">
      <c r="M2224" s="252"/>
    </row>
    <row r="2225" spans="13:13">
      <c r="M2225" s="252"/>
    </row>
    <row r="2226" spans="13:13">
      <c r="M2226" s="252"/>
    </row>
    <row r="2227" spans="13:13">
      <c r="M2227" s="252"/>
    </row>
    <row r="2228" spans="13:13">
      <c r="M2228" s="252"/>
    </row>
    <row r="2229" spans="13:13">
      <c r="M2229" s="252"/>
    </row>
    <row r="2230" spans="13:13">
      <c r="M2230" s="252"/>
    </row>
    <row r="2231" spans="13:13">
      <c r="M2231" s="252"/>
    </row>
    <row r="2232" spans="13:13">
      <c r="M2232" s="252"/>
    </row>
    <row r="2233" spans="13:13">
      <c r="M2233" s="252"/>
    </row>
    <row r="2234" spans="13:13">
      <c r="M2234" s="252"/>
    </row>
    <row r="2235" spans="13:13">
      <c r="M2235" s="252"/>
    </row>
    <row r="2236" spans="13:13">
      <c r="M2236" s="252"/>
    </row>
    <row r="2237" spans="13:13">
      <c r="M2237" s="252"/>
    </row>
    <row r="2238" spans="13:13">
      <c r="M2238" s="252"/>
    </row>
    <row r="2239" spans="13:13">
      <c r="M2239" s="252"/>
    </row>
    <row r="2240" spans="13:13">
      <c r="M2240" s="252"/>
    </row>
    <row r="2241" spans="13:13">
      <c r="M2241" s="252"/>
    </row>
    <row r="2242" spans="13:13">
      <c r="M2242" s="252"/>
    </row>
    <row r="2243" spans="13:13">
      <c r="M2243" s="252"/>
    </row>
    <row r="2244" spans="13:13">
      <c r="M2244" s="252"/>
    </row>
    <row r="2245" spans="13:13">
      <c r="M2245" s="252"/>
    </row>
    <row r="2246" spans="13:13">
      <c r="M2246" s="252"/>
    </row>
    <row r="2247" spans="13:13">
      <c r="M2247" s="252"/>
    </row>
    <row r="2248" spans="13:13">
      <c r="M2248" s="252"/>
    </row>
    <row r="2249" spans="13:13">
      <c r="M2249" s="252"/>
    </row>
    <row r="2250" spans="13:13">
      <c r="M2250" s="252"/>
    </row>
    <row r="2251" spans="13:13">
      <c r="M2251" s="252"/>
    </row>
    <row r="2252" spans="13:13">
      <c r="M2252" s="252"/>
    </row>
    <row r="2253" spans="13:13">
      <c r="M2253" s="252"/>
    </row>
    <row r="2254" spans="13:13">
      <c r="M2254" s="252"/>
    </row>
    <row r="2255" spans="13:13">
      <c r="M2255" s="252"/>
    </row>
    <row r="2256" spans="13:13">
      <c r="M2256" s="252"/>
    </row>
    <row r="2257" spans="13:13">
      <c r="M2257" s="252"/>
    </row>
    <row r="2258" spans="13:13">
      <c r="M2258" s="252"/>
    </row>
    <row r="2259" spans="13:13">
      <c r="M2259" s="252"/>
    </row>
    <row r="2260" spans="13:13">
      <c r="M2260" s="252"/>
    </row>
    <row r="2261" spans="13:13">
      <c r="M2261" s="252"/>
    </row>
    <row r="2262" spans="13:13">
      <c r="M2262" s="252"/>
    </row>
    <row r="2263" spans="13:13">
      <c r="M2263" s="252"/>
    </row>
    <row r="2264" spans="13:13">
      <c r="M2264" s="252"/>
    </row>
    <row r="2265" spans="13:13">
      <c r="M2265" s="252"/>
    </row>
    <row r="2266" spans="13:13">
      <c r="M2266" s="252"/>
    </row>
    <row r="2267" spans="13:13">
      <c r="M2267" s="252"/>
    </row>
    <row r="2268" spans="13:13">
      <c r="M2268" s="252"/>
    </row>
    <row r="2269" spans="13:13">
      <c r="M2269" s="252"/>
    </row>
    <row r="2270" spans="13:13">
      <c r="M2270" s="252"/>
    </row>
    <row r="2271" spans="13:13">
      <c r="M2271" s="252"/>
    </row>
    <row r="2272" spans="13:13">
      <c r="M2272" s="252"/>
    </row>
    <row r="2273" spans="13:13">
      <c r="M2273" s="252"/>
    </row>
    <row r="2274" spans="13:13">
      <c r="M2274" s="252"/>
    </row>
    <row r="2275" spans="13:13">
      <c r="M2275" s="252"/>
    </row>
    <row r="2276" spans="13:13">
      <c r="M2276" s="252"/>
    </row>
    <row r="2277" spans="13:13">
      <c r="M2277" s="252"/>
    </row>
    <row r="2278" spans="13:13">
      <c r="M2278" s="252"/>
    </row>
    <row r="2279" spans="13:13">
      <c r="M2279" s="252"/>
    </row>
    <row r="2280" spans="13:13">
      <c r="M2280" s="252"/>
    </row>
    <row r="2281" spans="13:13">
      <c r="M2281" s="252"/>
    </row>
    <row r="2282" spans="13:13">
      <c r="M2282" s="252"/>
    </row>
    <row r="2283" spans="13:13">
      <c r="M2283" s="252"/>
    </row>
    <row r="2284" spans="13:13">
      <c r="M2284" s="252"/>
    </row>
    <row r="2285" spans="13:13">
      <c r="M2285" s="252"/>
    </row>
    <row r="2286" spans="13:13">
      <c r="M2286" s="252"/>
    </row>
    <row r="2287" spans="13:13">
      <c r="M2287" s="252"/>
    </row>
    <row r="2288" spans="13:13">
      <c r="M2288" s="252"/>
    </row>
    <row r="2289" spans="13:13">
      <c r="M2289" s="252"/>
    </row>
    <row r="2290" spans="13:13">
      <c r="M2290" s="252"/>
    </row>
    <row r="2291" spans="13:13">
      <c r="M2291" s="252"/>
    </row>
    <row r="2292" spans="13:13">
      <c r="M2292" s="252"/>
    </row>
    <row r="2293" spans="13:13">
      <c r="M2293" s="252"/>
    </row>
    <row r="2294" spans="13:13">
      <c r="M2294" s="252"/>
    </row>
    <row r="2295" spans="13:13">
      <c r="M2295" s="252"/>
    </row>
    <row r="2296" spans="13:13">
      <c r="M2296" s="252"/>
    </row>
    <row r="2297" spans="13:13">
      <c r="M2297" s="252"/>
    </row>
    <row r="2298" spans="13:13">
      <c r="M2298" s="252"/>
    </row>
    <row r="2299" spans="13:13">
      <c r="M2299" s="252"/>
    </row>
    <row r="2300" spans="13:13">
      <c r="M2300" s="252"/>
    </row>
    <row r="2301" spans="13:13">
      <c r="M2301" s="252"/>
    </row>
    <row r="2302" spans="13:13">
      <c r="M2302" s="252"/>
    </row>
    <row r="2303" spans="13:13">
      <c r="M2303" s="252"/>
    </row>
    <row r="2304" spans="13:13">
      <c r="M2304" s="252"/>
    </row>
    <row r="2305" spans="13:13">
      <c r="M2305" s="252"/>
    </row>
    <row r="2306" spans="13:13">
      <c r="M2306" s="252"/>
    </row>
    <row r="2307" spans="13:13">
      <c r="M2307" s="252"/>
    </row>
    <row r="2308" spans="13:13">
      <c r="M2308" s="252"/>
    </row>
    <row r="2309" spans="13:13">
      <c r="M2309" s="252"/>
    </row>
    <row r="2310" spans="13:13">
      <c r="M2310" s="252"/>
    </row>
    <row r="2311" spans="13:13">
      <c r="M2311" s="252"/>
    </row>
    <row r="2312" spans="13:13">
      <c r="M2312" s="252"/>
    </row>
    <row r="2313" spans="13:13">
      <c r="M2313" s="252"/>
    </row>
    <row r="2314" spans="13:13">
      <c r="M2314" s="252"/>
    </row>
    <row r="2315" spans="13:13">
      <c r="M2315" s="252"/>
    </row>
    <row r="2316" spans="13:13">
      <c r="M2316" s="252"/>
    </row>
    <row r="2317" spans="13:13">
      <c r="M2317" s="252"/>
    </row>
    <row r="2318" spans="13:13">
      <c r="M2318" s="252"/>
    </row>
    <row r="2319" spans="13:13">
      <c r="M2319" s="252"/>
    </row>
    <row r="2320" spans="13:13">
      <c r="M2320" s="252"/>
    </row>
    <row r="2321" spans="13:13">
      <c r="M2321" s="252"/>
    </row>
    <row r="2322" spans="13:13">
      <c r="M2322" s="252"/>
    </row>
    <row r="2323" spans="13:13">
      <c r="M2323" s="252"/>
    </row>
    <row r="2324" spans="13:13">
      <c r="M2324" s="252"/>
    </row>
    <row r="2325" spans="13:13">
      <c r="M2325" s="252"/>
    </row>
    <row r="2326" spans="13:13">
      <c r="M2326" s="252"/>
    </row>
    <row r="2327" spans="13:13">
      <c r="M2327" s="252"/>
    </row>
    <row r="2328" spans="13:13">
      <c r="M2328" s="252"/>
    </row>
    <row r="2329" spans="13:13">
      <c r="M2329" s="252"/>
    </row>
    <row r="2330" spans="13:13">
      <c r="M2330" s="252"/>
    </row>
    <row r="2331" spans="13:13">
      <c r="M2331" s="252"/>
    </row>
    <row r="2332" spans="13:13">
      <c r="M2332" s="252"/>
    </row>
    <row r="2333" spans="13:13">
      <c r="M2333" s="252"/>
    </row>
    <row r="2334" spans="13:13">
      <c r="M2334" s="252"/>
    </row>
    <row r="2335" spans="13:13">
      <c r="M2335" s="252"/>
    </row>
    <row r="2336" spans="13:13">
      <c r="M2336" s="252"/>
    </row>
    <row r="2337" spans="13:13">
      <c r="M2337" s="252"/>
    </row>
    <row r="2338" spans="13:13">
      <c r="M2338" s="252"/>
    </row>
    <row r="2339" spans="13:13">
      <c r="M2339" s="252"/>
    </row>
    <row r="2340" spans="13:13">
      <c r="M2340" s="252"/>
    </row>
    <row r="2341" spans="13:13">
      <c r="M2341" s="252"/>
    </row>
    <row r="2342" spans="13:13">
      <c r="M2342" s="252"/>
    </row>
    <row r="2343" spans="13:13">
      <c r="M2343" s="252"/>
    </row>
    <row r="2344" spans="13:13">
      <c r="M2344" s="252"/>
    </row>
    <row r="2345" spans="13:13">
      <c r="M2345" s="252"/>
    </row>
    <row r="2346" spans="13:13">
      <c r="M2346" s="252"/>
    </row>
    <row r="2347" spans="13:13">
      <c r="M2347" s="252"/>
    </row>
    <row r="2348" spans="13:13">
      <c r="M2348" s="252"/>
    </row>
    <row r="2349" spans="13:13">
      <c r="M2349" s="252"/>
    </row>
    <row r="2350" spans="13:13">
      <c r="M2350" s="252"/>
    </row>
    <row r="2351" spans="13:13">
      <c r="M2351" s="252"/>
    </row>
    <row r="2352" spans="13:13">
      <c r="M2352" s="252"/>
    </row>
    <row r="2353" spans="13:13">
      <c r="M2353" s="252"/>
    </row>
    <row r="2354" spans="13:13">
      <c r="M2354" s="252"/>
    </row>
    <row r="2355" spans="13:13">
      <c r="M2355" s="252"/>
    </row>
    <row r="2356" spans="13:13">
      <c r="M2356" s="252"/>
    </row>
    <row r="2357" spans="13:13">
      <c r="M2357" s="252"/>
    </row>
    <row r="2358" spans="13:13">
      <c r="M2358" s="252"/>
    </row>
    <row r="2359" spans="13:13">
      <c r="M2359" s="252"/>
    </row>
    <row r="2360" spans="13:13">
      <c r="M2360" s="252"/>
    </row>
    <row r="2361" spans="13:13">
      <c r="M2361" s="252"/>
    </row>
    <row r="2362" spans="13:13">
      <c r="M2362" s="252"/>
    </row>
    <row r="2363" spans="13:13">
      <c r="M2363" s="252"/>
    </row>
    <row r="2364" spans="13:13">
      <c r="M2364" s="252"/>
    </row>
    <row r="2365" spans="13:13">
      <c r="M2365" s="252"/>
    </row>
    <row r="2366" spans="13:13">
      <c r="M2366" s="252"/>
    </row>
    <row r="2367" spans="13:13">
      <c r="M2367" s="252"/>
    </row>
    <row r="2368" spans="13:13">
      <c r="M2368" s="252"/>
    </row>
    <row r="2369" spans="13:13">
      <c r="M2369" s="252"/>
    </row>
    <row r="2370" spans="13:13">
      <c r="M2370" s="252"/>
    </row>
    <row r="2371" spans="13:13">
      <c r="M2371" s="252"/>
    </row>
    <row r="2372" spans="13:13">
      <c r="M2372" s="252"/>
    </row>
    <row r="2373" spans="13:13">
      <c r="M2373" s="252"/>
    </row>
    <row r="2374" spans="13:13">
      <c r="M2374" s="252"/>
    </row>
    <row r="2375" spans="13:13">
      <c r="M2375" s="252"/>
    </row>
    <row r="2376" spans="13:13">
      <c r="M2376" s="252"/>
    </row>
    <row r="2377" spans="13:13">
      <c r="M2377" s="252"/>
    </row>
    <row r="2378" spans="13:13">
      <c r="M2378" s="252"/>
    </row>
    <row r="2379" spans="13:13">
      <c r="M2379" s="252"/>
    </row>
    <row r="2380" spans="13:13">
      <c r="M2380" s="252"/>
    </row>
    <row r="2381" spans="13:13">
      <c r="M2381" s="252"/>
    </row>
    <row r="2382" spans="13:13">
      <c r="M2382" s="252"/>
    </row>
    <row r="2383" spans="13:13">
      <c r="M2383" s="252"/>
    </row>
    <row r="2384" spans="13:13">
      <c r="M2384" s="252"/>
    </row>
    <row r="2385" spans="13:13">
      <c r="M2385" s="252"/>
    </row>
    <row r="2386" spans="13:13">
      <c r="M2386" s="252"/>
    </row>
    <row r="2387" spans="13:13">
      <c r="M2387" s="252"/>
    </row>
    <row r="2388" spans="13:13">
      <c r="M2388" s="252"/>
    </row>
    <row r="2389" spans="13:13">
      <c r="M2389" s="252"/>
    </row>
    <row r="2390" spans="13:13">
      <c r="M2390" s="252"/>
    </row>
    <row r="2391" spans="13:13">
      <c r="M2391" s="252"/>
    </row>
    <row r="2392" spans="13:13">
      <c r="M2392" s="252"/>
    </row>
    <row r="2393" spans="13:13">
      <c r="M2393" s="252"/>
    </row>
    <row r="2394" spans="13:13">
      <c r="M2394" s="252"/>
    </row>
    <row r="2395" spans="13:13">
      <c r="M2395" s="252"/>
    </row>
    <row r="2396" spans="13:13">
      <c r="M2396" s="252"/>
    </row>
    <row r="2397" spans="13:13">
      <c r="M2397" s="252"/>
    </row>
    <row r="2398" spans="13:13">
      <c r="M2398" s="252"/>
    </row>
    <row r="2399" spans="13:13">
      <c r="M2399" s="252"/>
    </row>
    <row r="2400" spans="13:13">
      <c r="M2400" s="252"/>
    </row>
    <row r="2401" spans="13:13">
      <c r="M2401" s="252"/>
    </row>
    <row r="2402" spans="13:13">
      <c r="M2402" s="252"/>
    </row>
    <row r="2403" spans="13:13">
      <c r="M2403" s="252"/>
    </row>
    <row r="2404" spans="13:13">
      <c r="M2404" s="252"/>
    </row>
    <row r="2405" spans="13:13">
      <c r="M2405" s="252"/>
    </row>
    <row r="2406" spans="13:13">
      <c r="M2406" s="252"/>
    </row>
    <row r="2407" spans="13:13">
      <c r="M2407" s="252"/>
    </row>
    <row r="2408" spans="13:13">
      <c r="M2408" s="252"/>
    </row>
    <row r="2409" spans="13:13">
      <c r="M2409" s="252"/>
    </row>
    <row r="2410" spans="13:13">
      <c r="M2410" s="252"/>
    </row>
    <row r="2411" spans="13:13">
      <c r="M2411" s="252"/>
    </row>
    <row r="2412" spans="13:13">
      <c r="M2412" s="252"/>
    </row>
    <row r="2413" spans="13:13">
      <c r="M2413" s="252"/>
    </row>
    <row r="2414" spans="13:13">
      <c r="M2414" s="252"/>
    </row>
    <row r="2415" spans="13:13">
      <c r="M2415" s="252"/>
    </row>
    <row r="2416" spans="13:13">
      <c r="M2416" s="252"/>
    </row>
    <row r="2417" spans="13:13">
      <c r="M2417" s="252"/>
    </row>
    <row r="2418" spans="13:13">
      <c r="M2418" s="252"/>
    </row>
    <row r="2419" spans="13:13">
      <c r="M2419" s="252"/>
    </row>
    <row r="2420" spans="13:13">
      <c r="M2420" s="252"/>
    </row>
    <row r="2421" spans="13:13">
      <c r="M2421" s="252"/>
    </row>
    <row r="2422" spans="13:13">
      <c r="M2422" s="252"/>
    </row>
    <row r="2423" spans="13:13">
      <c r="M2423" s="252"/>
    </row>
    <row r="2424" spans="13:13">
      <c r="M2424" s="252"/>
    </row>
    <row r="2425" spans="13:13">
      <c r="M2425" s="252"/>
    </row>
    <row r="2426" spans="13:13">
      <c r="M2426" s="252"/>
    </row>
    <row r="2427" spans="13:13">
      <c r="M2427" s="252"/>
    </row>
    <row r="2428" spans="13:13">
      <c r="M2428" s="252"/>
    </row>
    <row r="2429" spans="13:13">
      <c r="M2429" s="252"/>
    </row>
    <row r="2430" spans="13:13">
      <c r="M2430" s="252"/>
    </row>
    <row r="2431" spans="13:13">
      <c r="M2431" s="252"/>
    </row>
    <row r="2432" spans="13:13">
      <c r="M2432" s="252"/>
    </row>
    <row r="2433" spans="13:13">
      <c r="M2433" s="252"/>
    </row>
    <row r="2434" spans="13:13">
      <c r="M2434" s="252"/>
    </row>
    <row r="2435" spans="13:13">
      <c r="M2435" s="252"/>
    </row>
    <row r="2436" spans="13:13">
      <c r="M2436" s="252"/>
    </row>
    <row r="2437" spans="13:13">
      <c r="M2437" s="252"/>
    </row>
    <row r="2438" spans="13:13">
      <c r="M2438" s="252"/>
    </row>
    <row r="2439" spans="13:13">
      <c r="M2439" s="252"/>
    </row>
    <row r="2440" spans="13:13">
      <c r="M2440" s="252"/>
    </row>
    <row r="2441" spans="13:13">
      <c r="M2441" s="252"/>
    </row>
    <row r="2442" spans="13:13">
      <c r="M2442" s="252"/>
    </row>
    <row r="2443" spans="13:13">
      <c r="M2443" s="252"/>
    </row>
    <row r="2444" spans="13:13">
      <c r="M2444" s="252"/>
    </row>
    <row r="2445" spans="13:13">
      <c r="M2445" s="252"/>
    </row>
    <row r="2446" spans="13:13">
      <c r="M2446" s="252"/>
    </row>
    <row r="2447" spans="13:13">
      <c r="M2447" s="252"/>
    </row>
    <row r="2448" spans="13:13">
      <c r="M2448" s="252"/>
    </row>
    <row r="2449" spans="13:13">
      <c r="M2449" s="252"/>
    </row>
    <row r="2450" spans="13:13">
      <c r="M2450" s="252"/>
    </row>
    <row r="2451" spans="13:13">
      <c r="M2451" s="252"/>
    </row>
    <row r="2452" spans="13:13">
      <c r="M2452" s="252"/>
    </row>
    <row r="2453" spans="13:13">
      <c r="M2453" s="252"/>
    </row>
    <row r="2454" spans="13:13">
      <c r="M2454" s="252"/>
    </row>
    <row r="2455" spans="13:13">
      <c r="M2455" s="252"/>
    </row>
    <row r="2456" spans="13:13">
      <c r="M2456" s="252"/>
    </row>
    <row r="2457" spans="13:13">
      <c r="M2457" s="252"/>
    </row>
    <row r="2458" spans="13:13">
      <c r="M2458" s="252"/>
    </row>
    <row r="2459" spans="13:13">
      <c r="M2459" s="252"/>
    </row>
    <row r="2460" spans="13:13">
      <c r="M2460" s="252"/>
    </row>
    <row r="2461" spans="13:13">
      <c r="M2461" s="252"/>
    </row>
    <row r="2462" spans="13:13">
      <c r="M2462" s="252"/>
    </row>
    <row r="2463" spans="13:13">
      <c r="M2463" s="252"/>
    </row>
    <row r="2464" spans="13:13">
      <c r="M2464" s="252"/>
    </row>
    <row r="2465" spans="13:13">
      <c r="M2465" s="252"/>
    </row>
    <row r="2466" spans="13:13">
      <c r="M2466" s="252"/>
    </row>
    <row r="2467" spans="13:13">
      <c r="M2467" s="252"/>
    </row>
    <row r="2468" spans="13:13">
      <c r="M2468" s="252"/>
    </row>
    <row r="2469" spans="13:13">
      <c r="M2469" s="252"/>
    </row>
    <row r="2470" spans="13:13">
      <c r="M2470" s="252"/>
    </row>
    <row r="2471" spans="13:13">
      <c r="M2471" s="252"/>
    </row>
    <row r="2472" spans="13:13">
      <c r="M2472" s="252"/>
    </row>
    <row r="2473" spans="13:13">
      <c r="M2473" s="252"/>
    </row>
    <row r="2474" spans="13:13">
      <c r="M2474" s="252"/>
    </row>
    <row r="2475" spans="13:13">
      <c r="M2475" s="252"/>
    </row>
    <row r="2476" spans="13:13">
      <c r="M2476" s="252"/>
    </row>
    <row r="2477" spans="13:13">
      <c r="M2477" s="252"/>
    </row>
    <row r="2478" spans="13:13">
      <c r="M2478" s="252"/>
    </row>
    <row r="2479" spans="13:13">
      <c r="M2479" s="252"/>
    </row>
    <row r="2480" spans="13:13">
      <c r="M2480" s="252"/>
    </row>
    <row r="2481" spans="13:13">
      <c r="M2481" s="252"/>
    </row>
    <row r="2482" spans="13:13">
      <c r="M2482" s="252"/>
    </row>
    <row r="2483" spans="13:13">
      <c r="M2483" s="252"/>
    </row>
    <row r="2484" spans="13:13">
      <c r="M2484" s="252"/>
    </row>
    <row r="2485" spans="13:13">
      <c r="M2485" s="252"/>
    </row>
    <row r="2486" spans="13:13">
      <c r="M2486" s="252"/>
    </row>
    <row r="2487" spans="13:13">
      <c r="M2487" s="252"/>
    </row>
    <row r="2488" spans="13:13">
      <c r="M2488" s="252"/>
    </row>
    <row r="2489" spans="13:13">
      <c r="M2489" s="252"/>
    </row>
    <row r="2490" spans="13:13">
      <c r="M2490" s="252"/>
    </row>
    <row r="2491" spans="13:13">
      <c r="M2491" s="252"/>
    </row>
    <row r="2492" spans="13:13">
      <c r="M2492" s="252"/>
    </row>
    <row r="2493" spans="13:13">
      <c r="M2493" s="252"/>
    </row>
    <row r="2494" spans="13:13">
      <c r="M2494" s="252"/>
    </row>
    <row r="2495" spans="13:13">
      <c r="M2495" s="252"/>
    </row>
    <row r="2496" spans="13:13">
      <c r="M2496" s="252"/>
    </row>
    <row r="2497" spans="13:13">
      <c r="M2497" s="252"/>
    </row>
    <row r="2498" spans="13:13">
      <c r="M2498" s="252"/>
    </row>
    <row r="2499" spans="13:13">
      <c r="M2499" s="252"/>
    </row>
    <row r="2500" spans="13:13">
      <c r="M2500" s="252"/>
    </row>
    <row r="2501" spans="13:13">
      <c r="M2501" s="252"/>
    </row>
    <row r="2502" spans="13:13">
      <c r="M2502" s="252"/>
    </row>
    <row r="2503" spans="13:13">
      <c r="M2503" s="252"/>
    </row>
    <row r="2504" spans="13:13">
      <c r="M2504" s="252"/>
    </row>
    <row r="2505" spans="13:13">
      <c r="M2505" s="252"/>
    </row>
    <row r="2506" spans="13:13">
      <c r="M2506" s="252"/>
    </row>
    <row r="2507" spans="13:13">
      <c r="M2507" s="252"/>
    </row>
    <row r="2508" spans="13:13">
      <c r="M2508" s="252"/>
    </row>
    <row r="2509" spans="13:13">
      <c r="M2509" s="252"/>
    </row>
    <row r="2510" spans="13:13">
      <c r="M2510" s="252"/>
    </row>
    <row r="2511" spans="13:13">
      <c r="M2511" s="252"/>
    </row>
    <row r="2512" spans="13:13">
      <c r="M2512" s="252"/>
    </row>
    <row r="2513" spans="13:13">
      <c r="M2513" s="252"/>
    </row>
    <row r="2514" spans="13:13">
      <c r="M2514" s="252"/>
    </row>
    <row r="2515" spans="13:13">
      <c r="M2515" s="252"/>
    </row>
    <row r="2516" spans="13:13">
      <c r="M2516" s="252"/>
    </row>
    <row r="2517" spans="13:13">
      <c r="M2517" s="252"/>
    </row>
    <row r="2518" spans="13:13">
      <c r="M2518" s="252"/>
    </row>
    <row r="2519" spans="13:13">
      <c r="M2519" s="252"/>
    </row>
    <row r="2520" spans="13:13">
      <c r="M2520" s="252"/>
    </row>
    <row r="2521" spans="13:13">
      <c r="M2521" s="252"/>
    </row>
    <row r="2522" spans="13:13">
      <c r="M2522" s="252"/>
    </row>
    <row r="2523" spans="13:13">
      <c r="M2523" s="252"/>
    </row>
    <row r="2524" spans="13:13">
      <c r="M2524" s="252"/>
    </row>
    <row r="2525" spans="13:13">
      <c r="M2525" s="252"/>
    </row>
    <row r="2526" spans="13:13">
      <c r="M2526" s="252"/>
    </row>
    <row r="2527" spans="13:13">
      <c r="M2527" s="252"/>
    </row>
    <row r="2528" spans="13:13">
      <c r="M2528" s="252"/>
    </row>
    <row r="2529" spans="13:13">
      <c r="M2529" s="252"/>
    </row>
    <row r="2530" spans="13:13">
      <c r="M2530" s="252"/>
    </row>
    <row r="2531" spans="13:13">
      <c r="M2531" s="252"/>
    </row>
    <row r="2532" spans="13:13">
      <c r="M2532" s="252"/>
    </row>
    <row r="2533" spans="13:13">
      <c r="M2533" s="252"/>
    </row>
    <row r="2534" spans="13:13">
      <c r="M2534" s="252"/>
    </row>
    <row r="2535" spans="13:13">
      <c r="M2535" s="252"/>
    </row>
    <row r="2536" spans="13:13">
      <c r="M2536" s="252"/>
    </row>
    <row r="2537" spans="13:13">
      <c r="M2537" s="252"/>
    </row>
    <row r="2538" spans="13:13">
      <c r="M2538" s="252"/>
    </row>
    <row r="2539" spans="13:13">
      <c r="M2539" s="252"/>
    </row>
    <row r="2540" spans="13:13">
      <c r="M2540" s="252"/>
    </row>
    <row r="2541" spans="13:13">
      <c r="M2541" s="252"/>
    </row>
    <row r="2542" spans="13:13">
      <c r="M2542" s="252"/>
    </row>
    <row r="2543" spans="13:13">
      <c r="M2543" s="252"/>
    </row>
    <row r="2544" spans="13:13">
      <c r="M2544" s="252"/>
    </row>
    <row r="2545" spans="13:13">
      <c r="M2545" s="252"/>
    </row>
    <row r="2546" spans="13:13">
      <c r="M2546" s="252"/>
    </row>
    <row r="2547" spans="13:13">
      <c r="M2547" s="252"/>
    </row>
    <row r="2548" spans="13:13">
      <c r="M2548" s="252"/>
    </row>
    <row r="2549" spans="13:13">
      <c r="M2549" s="252"/>
    </row>
    <row r="2550" spans="13:13">
      <c r="M2550" s="252"/>
    </row>
    <row r="2551" spans="13:13">
      <c r="M2551" s="252"/>
    </row>
    <row r="2552" spans="13:13">
      <c r="M2552" s="252"/>
    </row>
    <row r="2553" spans="13:13">
      <c r="M2553" s="252"/>
    </row>
    <row r="2554" spans="13:13">
      <c r="M2554" s="252"/>
    </row>
    <row r="2555" spans="13:13">
      <c r="M2555" s="252"/>
    </row>
    <row r="2556" spans="13:13">
      <c r="M2556" s="252"/>
    </row>
    <row r="2557" spans="13:13">
      <c r="M2557" s="252"/>
    </row>
    <row r="2558" spans="13:13">
      <c r="M2558" s="252"/>
    </row>
    <row r="2559" spans="13:13">
      <c r="M2559" s="252"/>
    </row>
    <row r="2560" spans="13:13">
      <c r="M2560" s="252"/>
    </row>
    <row r="2561" spans="13:13">
      <c r="M2561" s="252"/>
    </row>
    <row r="2562" spans="13:13">
      <c r="M2562" s="252"/>
    </row>
    <row r="2563" spans="13:13">
      <c r="M2563" s="252"/>
    </row>
    <row r="2564" spans="13:13">
      <c r="M2564" s="252"/>
    </row>
    <row r="2565" spans="13:13">
      <c r="M2565" s="252"/>
    </row>
    <row r="2566" spans="13:13">
      <c r="M2566" s="252"/>
    </row>
    <row r="2567" spans="13:13">
      <c r="M2567" s="252"/>
    </row>
    <row r="2568" spans="13:13">
      <c r="M2568" s="252"/>
    </row>
    <row r="2569" spans="13:13">
      <c r="M2569" s="252"/>
    </row>
    <row r="2570" spans="13:13">
      <c r="M2570" s="252"/>
    </row>
    <row r="2571" spans="13:13">
      <c r="M2571" s="252"/>
    </row>
    <row r="2572" spans="13:13">
      <c r="M2572" s="252"/>
    </row>
    <row r="2573" spans="13:13">
      <c r="M2573" s="252"/>
    </row>
    <row r="2574" spans="13:13">
      <c r="M2574" s="252"/>
    </row>
    <row r="2575" spans="13:13">
      <c r="M2575" s="252"/>
    </row>
    <row r="2576" spans="13:13">
      <c r="M2576" s="252"/>
    </row>
    <row r="2577" spans="13:13">
      <c r="M2577" s="252"/>
    </row>
    <row r="2578" spans="13:13">
      <c r="M2578" s="252"/>
    </row>
    <row r="2579" spans="13:13">
      <c r="M2579" s="252"/>
    </row>
    <row r="2580" spans="13:13">
      <c r="M2580" s="252"/>
    </row>
    <row r="2581" spans="13:13">
      <c r="M2581" s="252"/>
    </row>
    <row r="2582" spans="13:13">
      <c r="M2582" s="252"/>
    </row>
    <row r="2583" spans="13:13">
      <c r="M2583" s="252"/>
    </row>
    <row r="2584" spans="13:13">
      <c r="M2584" s="252"/>
    </row>
    <row r="2585" spans="13:13">
      <c r="M2585" s="252"/>
    </row>
    <row r="2586" spans="13:13">
      <c r="M2586" s="252"/>
    </row>
    <row r="2587" spans="13:13">
      <c r="M2587" s="252"/>
    </row>
    <row r="2588" spans="13:13">
      <c r="M2588" s="252"/>
    </row>
    <row r="2589" spans="13:13">
      <c r="M2589" s="252"/>
    </row>
    <row r="2590" spans="13:13">
      <c r="M2590" s="252"/>
    </row>
    <row r="2591" spans="13:13">
      <c r="M2591" s="252"/>
    </row>
    <row r="2592" spans="13:13">
      <c r="M2592" s="252"/>
    </row>
    <row r="2593" spans="13:13">
      <c r="M2593" s="252"/>
    </row>
    <row r="2594" spans="13:13">
      <c r="M2594" s="252"/>
    </row>
    <row r="2595" spans="13:13">
      <c r="M2595" s="252"/>
    </row>
    <row r="2596" spans="13:13">
      <c r="M2596" s="252"/>
    </row>
    <row r="2597" spans="13:13">
      <c r="M2597" s="252"/>
    </row>
    <row r="2598" spans="13:13">
      <c r="M2598" s="252"/>
    </row>
    <row r="2599" spans="13:13">
      <c r="M2599" s="252"/>
    </row>
    <row r="2600" spans="13:13">
      <c r="M2600" s="252"/>
    </row>
    <row r="2601" spans="13:13">
      <c r="M2601" s="252"/>
    </row>
    <row r="2602" spans="13:13">
      <c r="M2602" s="252"/>
    </row>
    <row r="2603" spans="13:13">
      <c r="M2603" s="252"/>
    </row>
    <row r="2604" spans="13:13">
      <c r="M2604" s="252"/>
    </row>
    <row r="2605" spans="13:13">
      <c r="M2605" s="252"/>
    </row>
    <row r="2606" spans="13:13">
      <c r="M2606" s="252"/>
    </row>
    <row r="2607" spans="13:13">
      <c r="M2607" s="252"/>
    </row>
    <row r="2608" spans="13:13">
      <c r="M2608" s="252"/>
    </row>
    <row r="2609" spans="13:13">
      <c r="M2609" s="252"/>
    </row>
    <row r="2610" spans="13:13">
      <c r="M2610" s="252"/>
    </row>
    <row r="2611" spans="13:13">
      <c r="M2611" s="252"/>
    </row>
    <row r="2612" spans="13:13">
      <c r="M2612" s="252"/>
    </row>
    <row r="2613" spans="13:13">
      <c r="M2613" s="252"/>
    </row>
    <row r="2614" spans="13:13">
      <c r="M2614" s="252"/>
    </row>
    <row r="2615" spans="13:13">
      <c r="M2615" s="252"/>
    </row>
    <row r="2616" spans="13:13">
      <c r="M2616" s="252"/>
    </row>
    <row r="2617" spans="13:13">
      <c r="M2617" s="252"/>
    </row>
    <row r="2618" spans="13:13">
      <c r="M2618" s="252"/>
    </row>
    <row r="2619" spans="13:13">
      <c r="M2619" s="252"/>
    </row>
    <row r="2620" spans="13:13">
      <c r="M2620" s="252"/>
    </row>
    <row r="2621" spans="13:13">
      <c r="M2621" s="252"/>
    </row>
    <row r="2622" spans="13:13">
      <c r="M2622" s="252"/>
    </row>
    <row r="2623" spans="13:13">
      <c r="M2623" s="252"/>
    </row>
    <row r="2624" spans="13:13">
      <c r="M2624" s="252"/>
    </row>
    <row r="2625" spans="13:13">
      <c r="M2625" s="252"/>
    </row>
    <row r="2626" spans="13:13">
      <c r="M2626" s="252"/>
    </row>
    <row r="2627" spans="13:13">
      <c r="M2627" s="252"/>
    </row>
    <row r="2628" spans="13:13">
      <c r="M2628" s="252"/>
    </row>
    <row r="2629" spans="13:13">
      <c r="M2629" s="252"/>
    </row>
    <row r="2630" spans="13:13">
      <c r="M2630" s="252"/>
    </row>
    <row r="2631" spans="13:13">
      <c r="M2631" s="252"/>
    </row>
    <row r="2632" spans="13:13">
      <c r="M2632" s="252"/>
    </row>
    <row r="2633" spans="13:13">
      <c r="M2633" s="252"/>
    </row>
    <row r="2634" spans="13:13">
      <c r="M2634" s="252"/>
    </row>
    <row r="2635" spans="13:13">
      <c r="M2635" s="252"/>
    </row>
    <row r="2636" spans="13:13">
      <c r="M2636" s="252"/>
    </row>
    <row r="2637" spans="13:13">
      <c r="M2637" s="252"/>
    </row>
    <row r="2638" spans="13:13">
      <c r="M2638" s="252"/>
    </row>
    <row r="2639" spans="13:13">
      <c r="M2639" s="252"/>
    </row>
    <row r="2640" spans="13:13">
      <c r="M2640" s="252"/>
    </row>
    <row r="2641" spans="13:13">
      <c r="M2641" s="252"/>
    </row>
    <row r="2642" spans="13:13">
      <c r="M2642" s="252"/>
    </row>
    <row r="2643" spans="13:13">
      <c r="M2643" s="252"/>
    </row>
    <row r="2644" spans="13:13">
      <c r="M2644" s="252"/>
    </row>
    <row r="2645" spans="13:13">
      <c r="M2645" s="252"/>
    </row>
    <row r="2646" spans="13:13">
      <c r="M2646" s="252"/>
    </row>
    <row r="2647" spans="13:13">
      <c r="M2647" s="252"/>
    </row>
    <row r="2648" spans="13:13">
      <c r="M2648" s="252"/>
    </row>
    <row r="2649" spans="13:13">
      <c r="M2649" s="252"/>
    </row>
    <row r="2650" spans="13:13">
      <c r="M2650" s="252"/>
    </row>
    <row r="2651" spans="13:13">
      <c r="M2651" s="252"/>
    </row>
    <row r="2652" spans="13:13">
      <c r="M2652" s="252"/>
    </row>
    <row r="2653" spans="13:13">
      <c r="M2653" s="252"/>
    </row>
    <row r="2654" spans="13:13">
      <c r="M2654" s="252"/>
    </row>
    <row r="2655" spans="13:13">
      <c r="M2655" s="252"/>
    </row>
    <row r="2656" spans="13:13">
      <c r="M2656" s="252"/>
    </row>
    <row r="2657" spans="13:13">
      <c r="M2657" s="252"/>
    </row>
    <row r="2658" spans="13:13">
      <c r="M2658" s="252"/>
    </row>
    <row r="2659" spans="13:13">
      <c r="M2659" s="252"/>
    </row>
    <row r="2660" spans="13:13">
      <c r="M2660" s="252"/>
    </row>
    <row r="2661" spans="13:13">
      <c r="M2661" s="252"/>
    </row>
    <row r="2662" spans="13:13">
      <c r="M2662" s="252"/>
    </row>
    <row r="2663" spans="13:13">
      <c r="M2663" s="252"/>
    </row>
    <row r="2664" spans="13:13">
      <c r="M2664" s="252"/>
    </row>
    <row r="2665" spans="13:13">
      <c r="M2665" s="252"/>
    </row>
    <row r="2666" spans="13:13">
      <c r="M2666" s="252"/>
    </row>
    <row r="2667" spans="13:13">
      <c r="M2667" s="252"/>
    </row>
    <row r="2668" spans="13:13">
      <c r="M2668" s="252"/>
    </row>
    <row r="2669" spans="13:13">
      <c r="M2669" s="252"/>
    </row>
    <row r="2670" spans="13:13">
      <c r="M2670" s="252"/>
    </row>
    <row r="2671" spans="13:13">
      <c r="M2671" s="252"/>
    </row>
    <row r="2672" spans="13:13">
      <c r="M2672" s="252"/>
    </row>
    <row r="2673" spans="13:13">
      <c r="M2673" s="252"/>
    </row>
    <row r="2674" spans="13:13">
      <c r="M2674" s="252"/>
    </row>
    <row r="2675" spans="13:13">
      <c r="M2675" s="252"/>
    </row>
    <row r="2676" spans="13:13">
      <c r="M2676" s="252"/>
    </row>
    <row r="2677" spans="13:13">
      <c r="M2677" s="252"/>
    </row>
    <row r="2678" spans="13:13">
      <c r="M2678" s="252"/>
    </row>
    <row r="2679" spans="13:13">
      <c r="M2679" s="252"/>
    </row>
    <row r="2680" spans="13:13">
      <c r="M2680" s="252"/>
    </row>
    <row r="2681" spans="13:13">
      <c r="M2681" s="252"/>
    </row>
    <row r="2682" spans="13:13">
      <c r="M2682" s="252"/>
    </row>
    <row r="2683" spans="13:13">
      <c r="M2683" s="252"/>
    </row>
    <row r="2684" spans="13:13">
      <c r="M2684" s="252"/>
    </row>
    <row r="2685" spans="13:13">
      <c r="M2685" s="252"/>
    </row>
    <row r="2686" spans="13:13">
      <c r="M2686" s="252"/>
    </row>
    <row r="2687" spans="13:13">
      <c r="M2687" s="252"/>
    </row>
    <row r="2688" spans="13:13">
      <c r="M2688" s="252"/>
    </row>
    <row r="2689" spans="13:13">
      <c r="M2689" s="252"/>
    </row>
    <row r="2690" spans="13:13">
      <c r="M2690" s="252"/>
    </row>
    <row r="2691" spans="13:13">
      <c r="M2691" s="252"/>
    </row>
    <row r="2692" spans="13:13">
      <c r="M2692" s="252"/>
    </row>
    <row r="2693" spans="13:13">
      <c r="M2693" s="252"/>
    </row>
    <row r="2694" spans="13:13">
      <c r="M2694" s="252"/>
    </row>
    <row r="2695" spans="13:13">
      <c r="M2695" s="252"/>
    </row>
    <row r="2696" spans="13:13">
      <c r="M2696" s="252"/>
    </row>
    <row r="2697" spans="13:13">
      <c r="M2697" s="252"/>
    </row>
    <row r="2698" spans="13:13">
      <c r="M2698" s="252"/>
    </row>
    <row r="2699" spans="13:13">
      <c r="M2699" s="252"/>
    </row>
    <row r="2700" spans="13:13">
      <c r="M2700" s="252"/>
    </row>
    <row r="2701" spans="13:13">
      <c r="M2701" s="252"/>
    </row>
    <row r="2702" spans="13:13">
      <c r="M2702" s="252"/>
    </row>
    <row r="2703" spans="13:13">
      <c r="M2703" s="252"/>
    </row>
    <row r="2704" spans="13:13">
      <c r="M2704" s="252"/>
    </row>
    <row r="2705" spans="13:13">
      <c r="M2705" s="252"/>
    </row>
    <row r="2706" spans="13:13">
      <c r="M2706" s="252"/>
    </row>
    <row r="2707" spans="13:13">
      <c r="M2707" s="252"/>
    </row>
    <row r="2708" spans="13:13">
      <c r="M2708" s="252"/>
    </row>
    <row r="2709" spans="13:13">
      <c r="M2709" s="252"/>
    </row>
    <row r="2710" spans="13:13">
      <c r="M2710" s="252"/>
    </row>
    <row r="2711" spans="13:13">
      <c r="M2711" s="252"/>
    </row>
    <row r="2712" spans="13:13">
      <c r="M2712" s="252"/>
    </row>
    <row r="2713" spans="13:13">
      <c r="M2713" s="252"/>
    </row>
    <row r="2714" spans="13:13">
      <c r="M2714" s="252"/>
    </row>
    <row r="2715" spans="13:13">
      <c r="M2715" s="252"/>
    </row>
    <row r="2716" spans="13:13">
      <c r="M2716" s="252"/>
    </row>
    <row r="2717" spans="13:13">
      <c r="M2717" s="252"/>
    </row>
    <row r="2718" spans="13:13">
      <c r="M2718" s="252"/>
    </row>
    <row r="2719" spans="13:13">
      <c r="M2719" s="252"/>
    </row>
    <row r="2720" spans="13:13">
      <c r="M2720" s="252"/>
    </row>
    <row r="2721" spans="13:13">
      <c r="M2721" s="252"/>
    </row>
    <row r="2722" spans="13:13">
      <c r="M2722" s="252"/>
    </row>
    <row r="2723" spans="13:13">
      <c r="M2723" s="252"/>
    </row>
    <row r="2724" spans="13:13">
      <c r="M2724" s="252"/>
    </row>
    <row r="2725" spans="13:13">
      <c r="M2725" s="252"/>
    </row>
    <row r="2726" spans="13:13">
      <c r="M2726" s="252"/>
    </row>
    <row r="2727" spans="13:13">
      <c r="M2727" s="252"/>
    </row>
    <row r="2728" spans="13:13">
      <c r="M2728" s="252"/>
    </row>
    <row r="2729" spans="13:13">
      <c r="M2729" s="252"/>
    </row>
    <row r="2730" spans="13:13">
      <c r="M2730" s="252"/>
    </row>
    <row r="2731" spans="13:13">
      <c r="M2731" s="252"/>
    </row>
    <row r="2732" spans="13:13">
      <c r="M2732" s="252"/>
    </row>
    <row r="2733" spans="13:13">
      <c r="M2733" s="252"/>
    </row>
    <row r="2734" spans="13:13">
      <c r="M2734" s="252"/>
    </row>
    <row r="2735" spans="13:13">
      <c r="M2735" s="252"/>
    </row>
    <row r="2736" spans="13:13">
      <c r="M2736" s="252"/>
    </row>
    <row r="2737" spans="13:13">
      <c r="M2737" s="252"/>
    </row>
    <row r="2738" spans="13:13">
      <c r="M2738" s="252"/>
    </row>
    <row r="2739" spans="13:13">
      <c r="M2739" s="252"/>
    </row>
    <row r="2740" spans="13:13">
      <c r="M2740" s="252"/>
    </row>
    <row r="2741" spans="13:13">
      <c r="M2741" s="252"/>
    </row>
    <row r="2742" spans="13:13">
      <c r="M2742" s="252"/>
    </row>
    <row r="2743" spans="13:13">
      <c r="M2743" s="252"/>
    </row>
    <row r="2744" spans="13:13">
      <c r="M2744" s="252"/>
    </row>
    <row r="2745" spans="13:13">
      <c r="M2745" s="252"/>
    </row>
    <row r="2746" spans="13:13">
      <c r="M2746" s="252"/>
    </row>
    <row r="2747" spans="13:13">
      <c r="M2747" s="252"/>
    </row>
    <row r="2748" spans="13:13">
      <c r="M2748" s="252"/>
    </row>
    <row r="2749" spans="13:13">
      <c r="M2749" s="252"/>
    </row>
    <row r="2750" spans="13:13">
      <c r="M2750" s="252"/>
    </row>
    <row r="2751" spans="13:13">
      <c r="M2751" s="252"/>
    </row>
    <row r="2752" spans="13:13">
      <c r="M2752" s="252"/>
    </row>
    <row r="2753" spans="13:13">
      <c r="M2753" s="252"/>
    </row>
    <row r="2754" spans="13:13">
      <c r="M2754" s="252"/>
    </row>
    <row r="2755" spans="13:13">
      <c r="M2755" s="252"/>
    </row>
    <row r="2756" spans="13:13">
      <c r="M2756" s="252"/>
    </row>
    <row r="2757" spans="13:13">
      <c r="M2757" s="252"/>
    </row>
    <row r="2758" spans="13:13">
      <c r="M2758" s="252"/>
    </row>
    <row r="2759" spans="13:13">
      <c r="M2759" s="252"/>
    </row>
    <row r="2760" spans="13:13">
      <c r="M2760" s="252"/>
    </row>
    <row r="2761" spans="13:13">
      <c r="M2761" s="252"/>
    </row>
    <row r="2762" spans="13:13">
      <c r="M2762" s="252"/>
    </row>
    <row r="2763" spans="13:13">
      <c r="M2763" s="252"/>
    </row>
    <row r="2764" spans="13:13">
      <c r="M2764" s="252"/>
    </row>
    <row r="2765" spans="13:13">
      <c r="M2765" s="252"/>
    </row>
    <row r="2766" spans="13:13">
      <c r="M2766" s="252"/>
    </row>
    <row r="2767" spans="13:13">
      <c r="M2767" s="252"/>
    </row>
    <row r="2768" spans="13:13">
      <c r="M2768" s="252"/>
    </row>
    <row r="2769" spans="13:13">
      <c r="M2769" s="252"/>
    </row>
    <row r="2770" spans="13:13">
      <c r="M2770" s="252"/>
    </row>
    <row r="2771" spans="13:13">
      <c r="M2771" s="252"/>
    </row>
    <row r="2772" spans="13:13">
      <c r="M2772" s="252"/>
    </row>
    <row r="2773" spans="13:13">
      <c r="M2773" s="252"/>
    </row>
    <row r="2774" spans="13:13">
      <c r="M2774" s="252"/>
    </row>
    <row r="2775" spans="13:13">
      <c r="M2775" s="252"/>
    </row>
    <row r="2776" spans="13:13">
      <c r="M2776" s="252"/>
    </row>
    <row r="2777" spans="13:13">
      <c r="M2777" s="252"/>
    </row>
    <row r="2778" spans="13:13">
      <c r="M2778" s="252"/>
    </row>
    <row r="2779" spans="13:13">
      <c r="M2779" s="252"/>
    </row>
    <row r="2780" spans="13:13">
      <c r="M2780" s="252"/>
    </row>
    <row r="2781" spans="13:13">
      <c r="M2781" s="252"/>
    </row>
    <row r="2782" spans="13:13">
      <c r="M2782" s="252"/>
    </row>
    <row r="2783" spans="13:13">
      <c r="M2783" s="252"/>
    </row>
    <row r="2784" spans="13:13">
      <c r="M2784" s="252"/>
    </row>
    <row r="2785" spans="13:13">
      <c r="M2785" s="252"/>
    </row>
    <row r="2786" spans="13:13">
      <c r="M2786" s="252"/>
    </row>
    <row r="2787" spans="13:13">
      <c r="M2787" s="252"/>
    </row>
    <row r="2788" spans="13:13">
      <c r="M2788" s="252"/>
    </row>
    <row r="2789" spans="13:13">
      <c r="M2789" s="252"/>
    </row>
    <row r="2790" spans="13:13">
      <c r="M2790" s="252"/>
    </row>
    <row r="2791" spans="13:13">
      <c r="M2791" s="252"/>
    </row>
    <row r="2792" spans="13:13">
      <c r="M2792" s="252"/>
    </row>
    <row r="2793" spans="13:13">
      <c r="M2793" s="252"/>
    </row>
    <row r="2794" spans="13:13">
      <c r="M2794" s="252"/>
    </row>
    <row r="2795" spans="13:13">
      <c r="M2795" s="252"/>
    </row>
    <row r="2796" spans="13:13">
      <c r="M2796" s="252"/>
    </row>
    <row r="2797" spans="13:13">
      <c r="M2797" s="252"/>
    </row>
    <row r="2798" spans="13:13">
      <c r="M2798" s="252"/>
    </row>
    <row r="2799" spans="13:13">
      <c r="M2799" s="252"/>
    </row>
    <row r="2800" spans="13:13">
      <c r="M2800" s="252"/>
    </row>
    <row r="2801" spans="13:13">
      <c r="M2801" s="252"/>
    </row>
    <row r="2802" spans="13:13">
      <c r="M2802" s="252"/>
    </row>
    <row r="2803" spans="13:13">
      <c r="M2803" s="252"/>
    </row>
    <row r="2804" spans="13:13">
      <c r="M2804" s="252"/>
    </row>
    <row r="2805" spans="13:13">
      <c r="M2805" s="252"/>
    </row>
    <row r="2806" spans="13:13">
      <c r="M2806" s="252"/>
    </row>
    <row r="2807" spans="13:13">
      <c r="M2807" s="252"/>
    </row>
    <row r="2808" spans="13:13">
      <c r="M2808" s="252"/>
    </row>
    <row r="2809" spans="13:13">
      <c r="M2809" s="252"/>
    </row>
    <row r="2810" spans="13:13">
      <c r="M2810" s="252"/>
    </row>
    <row r="2811" spans="13:13">
      <c r="M2811" s="252"/>
    </row>
    <row r="2812" spans="13:13">
      <c r="M2812" s="252"/>
    </row>
    <row r="2813" spans="13:13">
      <c r="M2813" s="252"/>
    </row>
    <row r="2814" spans="13:13">
      <c r="M2814" s="252"/>
    </row>
    <row r="2815" spans="13:13">
      <c r="M2815" s="252"/>
    </row>
    <row r="2816" spans="13:13">
      <c r="M2816" s="252"/>
    </row>
    <row r="2817" spans="13:13">
      <c r="M2817" s="252"/>
    </row>
    <row r="2818" spans="13:13">
      <c r="M2818" s="252"/>
    </row>
    <row r="2819" spans="13:13">
      <c r="M2819" s="252"/>
    </row>
    <row r="2820" spans="13:13">
      <c r="M2820" s="252"/>
    </row>
    <row r="2821" spans="13:13">
      <c r="M2821" s="252"/>
    </row>
    <row r="2822" spans="13:13">
      <c r="M2822" s="252"/>
    </row>
    <row r="2823" spans="13:13">
      <c r="M2823" s="252"/>
    </row>
    <row r="2824" spans="13:13">
      <c r="M2824" s="252"/>
    </row>
    <row r="2825" spans="13:13">
      <c r="M2825" s="252"/>
    </row>
    <row r="2826" spans="13:13">
      <c r="M2826" s="252"/>
    </row>
    <row r="2827" spans="13:13">
      <c r="M2827" s="252"/>
    </row>
    <row r="2828" spans="13:13">
      <c r="M2828" s="252"/>
    </row>
    <row r="2829" spans="13:13">
      <c r="M2829" s="252"/>
    </row>
    <row r="2830" spans="13:13">
      <c r="M2830" s="252"/>
    </row>
    <row r="2831" spans="13:13">
      <c r="M2831" s="252"/>
    </row>
    <row r="2832" spans="13:13">
      <c r="M2832" s="252"/>
    </row>
    <row r="2833" spans="13:13">
      <c r="M2833" s="252"/>
    </row>
    <row r="2834" spans="13:13">
      <c r="M2834" s="252"/>
    </row>
    <row r="2835" spans="13:13">
      <c r="M2835" s="252"/>
    </row>
    <row r="2836" spans="13:13">
      <c r="M2836" s="252"/>
    </row>
    <row r="2837" spans="13:13">
      <c r="M2837" s="252"/>
    </row>
    <row r="2838" spans="13:13">
      <c r="M2838" s="252"/>
    </row>
    <row r="2839" spans="13:13">
      <c r="M2839" s="252"/>
    </row>
    <row r="2840" spans="13:13">
      <c r="M2840" s="252"/>
    </row>
    <row r="2841" spans="13:13">
      <c r="M2841" s="252"/>
    </row>
    <row r="2842" spans="13:13">
      <c r="M2842" s="252"/>
    </row>
    <row r="2843" spans="13:13">
      <c r="M2843" s="252"/>
    </row>
    <row r="2844" spans="13:13">
      <c r="M2844" s="252"/>
    </row>
    <row r="2845" spans="13:13">
      <c r="M2845" s="252"/>
    </row>
    <row r="2846" spans="13:13">
      <c r="M2846" s="252"/>
    </row>
    <row r="2847" spans="13:13">
      <c r="M2847" s="252"/>
    </row>
    <row r="2848" spans="13:13">
      <c r="M2848" s="252"/>
    </row>
    <row r="2849" spans="13:13">
      <c r="M2849" s="252"/>
    </row>
    <row r="2850" spans="13:13">
      <c r="M2850" s="252"/>
    </row>
    <row r="2851" spans="13:13">
      <c r="M2851" s="252"/>
    </row>
    <row r="2852" spans="13:13">
      <c r="M2852" s="252"/>
    </row>
    <row r="2853" spans="13:13">
      <c r="M2853" s="252"/>
    </row>
    <row r="2854" spans="13:13">
      <c r="M2854" s="252"/>
    </row>
    <row r="2855" spans="13:13">
      <c r="M2855" s="252"/>
    </row>
    <row r="2856" spans="13:13">
      <c r="M2856" s="252"/>
    </row>
    <row r="2857" spans="13:13">
      <c r="M2857" s="252"/>
    </row>
    <row r="2858" spans="13:13">
      <c r="M2858" s="252"/>
    </row>
    <row r="2859" spans="13:13">
      <c r="M2859" s="252"/>
    </row>
    <row r="2860" spans="13:13">
      <c r="M2860" s="252"/>
    </row>
    <row r="2861" spans="13:13">
      <c r="M2861" s="252"/>
    </row>
    <row r="2862" spans="13:13">
      <c r="M2862" s="252"/>
    </row>
    <row r="2863" spans="13:13">
      <c r="M2863" s="252"/>
    </row>
    <row r="2864" spans="13:13">
      <c r="M2864" s="252"/>
    </row>
    <row r="2865" spans="13:13">
      <c r="M2865" s="252"/>
    </row>
    <row r="2866" spans="13:13">
      <c r="M2866" s="252"/>
    </row>
    <row r="2867" spans="13:13">
      <c r="M2867" s="252"/>
    </row>
    <row r="2868" spans="13:13">
      <c r="M2868" s="252"/>
    </row>
    <row r="2869" spans="13:13">
      <c r="M2869" s="252"/>
    </row>
    <row r="2870" spans="13:13">
      <c r="M2870" s="252"/>
    </row>
    <row r="2871" spans="13:13">
      <c r="M2871" s="252"/>
    </row>
    <row r="2872" spans="13:13">
      <c r="M2872" s="252"/>
    </row>
    <row r="2873" spans="13:13">
      <c r="M2873" s="252"/>
    </row>
    <row r="2874" spans="13:13">
      <c r="M2874" s="252"/>
    </row>
    <row r="2875" spans="13:13">
      <c r="M2875" s="252"/>
    </row>
    <row r="2876" spans="13:13">
      <c r="M2876" s="252"/>
    </row>
    <row r="2877" spans="13:13">
      <c r="M2877" s="252"/>
    </row>
    <row r="2878" spans="13:13">
      <c r="M2878" s="252"/>
    </row>
    <row r="2879" spans="13:13">
      <c r="M2879" s="252"/>
    </row>
    <row r="2880" spans="13:13">
      <c r="M2880" s="252"/>
    </row>
    <row r="2881" spans="13:13">
      <c r="M2881" s="252"/>
    </row>
    <row r="2882" spans="13:13">
      <c r="M2882" s="252"/>
    </row>
    <row r="2883" spans="13:13">
      <c r="M2883" s="252"/>
    </row>
    <row r="2884" spans="13:13">
      <c r="M2884" s="252"/>
    </row>
    <row r="2885" spans="13:13">
      <c r="M2885" s="252"/>
    </row>
    <row r="2886" spans="13:13">
      <c r="M2886" s="252"/>
    </row>
    <row r="2887" spans="13:13">
      <c r="M2887" s="252"/>
    </row>
    <row r="2888" spans="13:13">
      <c r="M2888" s="252"/>
    </row>
    <row r="2889" spans="13:13">
      <c r="M2889" s="252"/>
    </row>
    <row r="2890" spans="13:13">
      <c r="M2890" s="252"/>
    </row>
    <row r="2891" spans="13:13">
      <c r="M2891" s="252"/>
    </row>
    <row r="2892" spans="13:13">
      <c r="M2892" s="252"/>
    </row>
    <row r="2893" spans="13:13">
      <c r="M2893" s="252"/>
    </row>
    <row r="2894" spans="13:13">
      <c r="M2894" s="252"/>
    </row>
    <row r="2895" spans="13:13">
      <c r="M2895" s="252"/>
    </row>
    <row r="2896" spans="13:13">
      <c r="M2896" s="252"/>
    </row>
    <row r="2897" spans="13:13">
      <c r="M2897" s="252"/>
    </row>
    <row r="2898" spans="13:13">
      <c r="M2898" s="252"/>
    </row>
    <row r="2899" spans="13:13">
      <c r="M2899" s="252"/>
    </row>
    <row r="2900" spans="13:13">
      <c r="M2900" s="252"/>
    </row>
    <row r="2901" spans="13:13">
      <c r="M2901" s="252"/>
    </row>
    <row r="2902" spans="13:13">
      <c r="M2902" s="252"/>
    </row>
    <row r="2903" spans="13:13">
      <c r="M2903" s="252"/>
    </row>
    <row r="2904" spans="13:13">
      <c r="M2904" s="252"/>
    </row>
    <row r="2905" spans="13:13">
      <c r="M2905" s="252"/>
    </row>
    <row r="2906" spans="13:13">
      <c r="M2906" s="252"/>
    </row>
    <row r="2907" spans="13:13">
      <c r="M2907" s="252"/>
    </row>
    <row r="2908" spans="13:13">
      <c r="M2908" s="252"/>
    </row>
    <row r="2909" spans="13:13">
      <c r="M2909" s="252"/>
    </row>
    <row r="2910" spans="13:13">
      <c r="M2910" s="252"/>
    </row>
    <row r="2911" spans="13:13">
      <c r="M2911" s="252"/>
    </row>
    <row r="2912" spans="13:13">
      <c r="M2912" s="252"/>
    </row>
    <row r="2913" spans="13:13">
      <c r="M2913" s="252"/>
    </row>
    <row r="2914" spans="13:13">
      <c r="M2914" s="252"/>
    </row>
    <row r="2915" spans="13:13">
      <c r="M2915" s="252"/>
    </row>
    <row r="2916" spans="13:13">
      <c r="M2916" s="252"/>
    </row>
    <row r="2917" spans="13:13">
      <c r="M2917" s="252"/>
    </row>
    <row r="2918" spans="13:13">
      <c r="M2918" s="252"/>
    </row>
    <row r="2919" spans="13:13">
      <c r="M2919" s="252"/>
    </row>
    <row r="2920" spans="13:13">
      <c r="M2920" s="252"/>
    </row>
    <row r="2921" spans="13:13">
      <c r="M2921" s="252"/>
    </row>
    <row r="2922" spans="13:13">
      <c r="M2922" s="252"/>
    </row>
    <row r="2923" spans="13:13">
      <c r="M2923" s="252"/>
    </row>
    <row r="2924" spans="13:13">
      <c r="M2924" s="252"/>
    </row>
    <row r="2925" spans="13:13">
      <c r="M2925" s="252"/>
    </row>
    <row r="2926" spans="13:13">
      <c r="M2926" s="252"/>
    </row>
    <row r="2927" spans="13:13">
      <c r="M2927" s="252"/>
    </row>
    <row r="2928" spans="13:13">
      <c r="M2928" s="252"/>
    </row>
    <row r="2929" spans="13:13">
      <c r="M2929" s="252"/>
    </row>
    <row r="2930" spans="13:13">
      <c r="M2930" s="252"/>
    </row>
    <row r="2931" spans="13:13">
      <c r="M2931" s="252"/>
    </row>
    <row r="2932" spans="13:13">
      <c r="M2932" s="252"/>
    </row>
    <row r="2933" spans="13:13">
      <c r="M2933" s="252"/>
    </row>
    <row r="2934" spans="13:13">
      <c r="M2934" s="252"/>
    </row>
    <row r="2935" spans="13:13">
      <c r="M2935" s="252"/>
    </row>
    <row r="2936" spans="13:13">
      <c r="M2936" s="252"/>
    </row>
    <row r="2937" spans="13:13">
      <c r="M2937" s="252"/>
    </row>
    <row r="2938" spans="13:13">
      <c r="M2938" s="252"/>
    </row>
    <row r="2939" spans="13:13">
      <c r="M2939" s="252"/>
    </row>
    <row r="2940" spans="13:13">
      <c r="M2940" s="252"/>
    </row>
    <row r="2941" spans="13:13">
      <c r="M2941" s="252"/>
    </row>
    <row r="2942" spans="13:13">
      <c r="M2942" s="252"/>
    </row>
    <row r="2943" spans="13:13">
      <c r="M2943" s="252"/>
    </row>
    <row r="2944" spans="13:13">
      <c r="M2944" s="252"/>
    </row>
    <row r="2945" spans="13:13">
      <c r="M2945" s="252"/>
    </row>
    <row r="2946" spans="13:13">
      <c r="M2946" s="252"/>
    </row>
    <row r="2947" spans="13:13">
      <c r="M2947" s="252"/>
    </row>
    <row r="2948" spans="13:13">
      <c r="M2948" s="252"/>
    </row>
    <row r="2949" spans="13:13">
      <c r="M2949" s="252"/>
    </row>
    <row r="2950" spans="13:13">
      <c r="M2950" s="252"/>
    </row>
    <row r="2951" spans="13:13">
      <c r="M2951" s="252"/>
    </row>
    <row r="2952" spans="13:13">
      <c r="M2952" s="252"/>
    </row>
    <row r="2953" spans="13:13">
      <c r="M2953" s="252"/>
    </row>
    <row r="2954" spans="13:13">
      <c r="M2954" s="252"/>
    </row>
    <row r="2955" spans="13:13">
      <c r="M2955" s="252"/>
    </row>
    <row r="2956" spans="13:13">
      <c r="M2956" s="252"/>
    </row>
    <row r="2957" spans="13:13">
      <c r="M2957" s="252"/>
    </row>
    <row r="2958" spans="13:13">
      <c r="M2958" s="252"/>
    </row>
    <row r="2959" spans="13:13">
      <c r="M2959" s="252"/>
    </row>
    <row r="2960" spans="13:13">
      <c r="M2960" s="252"/>
    </row>
    <row r="2961" spans="13:13">
      <c r="M2961" s="252"/>
    </row>
    <row r="2962" spans="13:13">
      <c r="M2962" s="252"/>
    </row>
    <row r="2963" spans="13:13">
      <c r="M2963" s="252"/>
    </row>
    <row r="2964" spans="13:13">
      <c r="M2964" s="252"/>
    </row>
    <row r="2965" spans="13:13">
      <c r="M2965" s="252"/>
    </row>
    <row r="2966" spans="13:13">
      <c r="M2966" s="252"/>
    </row>
    <row r="2967" spans="13:13">
      <c r="M2967" s="252"/>
    </row>
    <row r="2968" spans="13:13">
      <c r="M2968" s="252"/>
    </row>
    <row r="2969" spans="13:13">
      <c r="M2969" s="252"/>
    </row>
    <row r="2970" spans="13:13">
      <c r="M2970" s="252"/>
    </row>
    <row r="2971" spans="13:13">
      <c r="M2971" s="252"/>
    </row>
    <row r="2972" spans="13:13">
      <c r="M2972" s="252"/>
    </row>
    <row r="2973" spans="13:13">
      <c r="M2973" s="252"/>
    </row>
    <row r="2974" spans="13:13">
      <c r="M2974" s="252"/>
    </row>
    <row r="2975" spans="13:13">
      <c r="M2975" s="252"/>
    </row>
    <row r="2976" spans="13:13">
      <c r="M2976" s="252"/>
    </row>
    <row r="2977" spans="13:13">
      <c r="M2977" s="252"/>
    </row>
    <row r="2978" spans="13:13">
      <c r="M2978" s="252"/>
    </row>
    <row r="2979" spans="13:13">
      <c r="M2979" s="252"/>
    </row>
    <row r="2980" spans="13:13">
      <c r="M2980" s="252"/>
    </row>
    <row r="2981" spans="13:13">
      <c r="M2981" s="252"/>
    </row>
    <row r="2982" spans="13:13">
      <c r="M2982" s="252"/>
    </row>
    <row r="2983" spans="13:13">
      <c r="M2983" s="252"/>
    </row>
    <row r="2984" spans="13:13">
      <c r="M2984" s="252"/>
    </row>
    <row r="2985" spans="13:13">
      <c r="M2985" s="252"/>
    </row>
    <row r="2986" spans="13:13">
      <c r="M2986" s="252"/>
    </row>
    <row r="2987" spans="13:13">
      <c r="M2987" s="252"/>
    </row>
    <row r="2988" spans="13:13">
      <c r="M2988" s="252"/>
    </row>
    <row r="2989" spans="13:13">
      <c r="M2989" s="252"/>
    </row>
    <row r="2990" spans="13:13">
      <c r="M2990" s="252"/>
    </row>
    <row r="2991" spans="13:13">
      <c r="M2991" s="252"/>
    </row>
    <row r="2992" spans="13:13">
      <c r="M2992" s="252"/>
    </row>
    <row r="2993" spans="13:13">
      <c r="M2993" s="252"/>
    </row>
    <row r="2994" spans="13:13">
      <c r="M2994" s="252"/>
    </row>
    <row r="2995" spans="13:13">
      <c r="M2995" s="252"/>
    </row>
    <row r="2996" spans="13:13">
      <c r="M2996" s="252"/>
    </row>
    <row r="2997" spans="13:13">
      <c r="M2997" s="252"/>
    </row>
    <row r="2998" spans="13:13">
      <c r="M2998" s="252"/>
    </row>
    <row r="2999" spans="13:13">
      <c r="M2999" s="252"/>
    </row>
    <row r="3000" spans="13:13">
      <c r="M3000" s="252"/>
    </row>
    <row r="3001" spans="13:13">
      <c r="M3001" s="252"/>
    </row>
    <row r="3002" spans="13:13">
      <c r="M3002" s="252"/>
    </row>
    <row r="3003" spans="13:13">
      <c r="M3003" s="252"/>
    </row>
    <row r="3004" spans="13:13">
      <c r="M3004" s="252"/>
    </row>
    <row r="3005" spans="13:13">
      <c r="M3005" s="252"/>
    </row>
    <row r="3006" spans="13:13">
      <c r="M3006" s="252"/>
    </row>
    <row r="3007" spans="13:13">
      <c r="M3007" s="252"/>
    </row>
    <row r="3008" spans="13:13">
      <c r="M3008" s="252"/>
    </row>
    <row r="3009" spans="13:13">
      <c r="M3009" s="252"/>
    </row>
    <row r="3010" spans="13:13">
      <c r="M3010" s="252"/>
    </row>
    <row r="3011" spans="13:13">
      <c r="M3011" s="252"/>
    </row>
    <row r="3012" spans="13:13">
      <c r="M3012" s="252"/>
    </row>
    <row r="3013" spans="13:13">
      <c r="M3013" s="252"/>
    </row>
    <row r="3014" spans="13:13">
      <c r="M3014" s="252"/>
    </row>
    <row r="3015" spans="13:13">
      <c r="M3015" s="252"/>
    </row>
    <row r="3016" spans="13:13">
      <c r="M3016" s="252"/>
    </row>
    <row r="3017" spans="13:13">
      <c r="M3017" s="252"/>
    </row>
    <row r="3018" spans="13:13">
      <c r="M3018" s="252"/>
    </row>
    <row r="3019" spans="13:13">
      <c r="M3019" s="252"/>
    </row>
    <row r="3020" spans="13:13">
      <c r="M3020" s="252"/>
    </row>
    <row r="3021" spans="13:13">
      <c r="M3021" s="252"/>
    </row>
    <row r="3022" spans="13:13">
      <c r="M3022" s="252"/>
    </row>
    <row r="3023" spans="13:13">
      <c r="M3023" s="252"/>
    </row>
    <row r="3024" spans="13:13">
      <c r="M3024" s="252"/>
    </row>
    <row r="3025" spans="13:13">
      <c r="M3025" s="252"/>
    </row>
    <row r="3026" spans="13:13">
      <c r="M3026" s="252"/>
    </row>
    <row r="3027" spans="13:13">
      <c r="M3027" s="252"/>
    </row>
    <row r="3028" spans="13:13">
      <c r="M3028" s="252"/>
    </row>
    <row r="3029" spans="13:13">
      <c r="M3029" s="252"/>
    </row>
    <row r="3030" spans="13:13">
      <c r="M3030" s="252"/>
    </row>
    <row r="3031" spans="13:13">
      <c r="M3031" s="252"/>
    </row>
    <row r="3032" spans="13:13">
      <c r="M3032" s="252"/>
    </row>
    <row r="3033" spans="13:13">
      <c r="M3033" s="252"/>
    </row>
    <row r="3034" spans="13:13">
      <c r="M3034" s="252"/>
    </row>
    <row r="3035" spans="13:13">
      <c r="M3035" s="252"/>
    </row>
    <row r="3036" spans="13:13">
      <c r="M3036" s="252"/>
    </row>
    <row r="3037" spans="13:13">
      <c r="M3037" s="252"/>
    </row>
    <row r="3038" spans="13:13">
      <c r="M3038" s="252"/>
    </row>
    <row r="3039" spans="13:13">
      <c r="M3039" s="252"/>
    </row>
    <row r="3040" spans="13:13">
      <c r="M3040" s="252"/>
    </row>
    <row r="3041" spans="13:13">
      <c r="M3041" s="252"/>
    </row>
    <row r="3042" spans="13:13">
      <c r="M3042" s="252"/>
    </row>
    <row r="3043" spans="13:13">
      <c r="M3043" s="252"/>
    </row>
    <row r="3044" spans="13:13">
      <c r="M3044" s="252"/>
    </row>
    <row r="3045" spans="13:13">
      <c r="M3045" s="252"/>
    </row>
    <row r="3046" spans="13:13">
      <c r="M3046" s="252"/>
    </row>
    <row r="3047" spans="13:13">
      <c r="M3047" s="252"/>
    </row>
    <row r="3048" spans="13:13">
      <c r="M3048" s="252"/>
    </row>
    <row r="3049" spans="13:13">
      <c r="M3049" s="252"/>
    </row>
    <row r="3050" spans="13:13">
      <c r="M3050" s="252"/>
    </row>
    <row r="3051" spans="13:13">
      <c r="M3051" s="252"/>
    </row>
    <row r="3052" spans="13:13">
      <c r="M3052" s="252"/>
    </row>
    <row r="3053" spans="13:13">
      <c r="M3053" s="252"/>
    </row>
    <row r="3054" spans="13:13">
      <c r="M3054" s="252"/>
    </row>
    <row r="3055" spans="13:13">
      <c r="M3055" s="252"/>
    </row>
    <row r="3056" spans="13:13">
      <c r="M3056" s="252"/>
    </row>
    <row r="3057" spans="13:13">
      <c r="M3057" s="252"/>
    </row>
    <row r="3058" spans="13:13">
      <c r="M3058" s="252"/>
    </row>
    <row r="3059" spans="13:13">
      <c r="M3059" s="252"/>
    </row>
    <row r="3060" spans="13:13">
      <c r="M3060" s="252"/>
    </row>
    <row r="3061" spans="13:13">
      <c r="M3061" s="252"/>
    </row>
    <row r="3062" spans="13:13">
      <c r="M3062" s="252"/>
    </row>
    <row r="3063" spans="13:13">
      <c r="M3063" s="252"/>
    </row>
    <row r="3064" spans="13:13">
      <c r="M3064" s="252"/>
    </row>
    <row r="3065" spans="13:13">
      <c r="M3065" s="252"/>
    </row>
    <row r="3066" spans="13:13">
      <c r="M3066" s="252"/>
    </row>
    <row r="3067" spans="13:13">
      <c r="M3067" s="252"/>
    </row>
    <row r="3068" spans="13:13">
      <c r="M3068" s="252"/>
    </row>
    <row r="3069" spans="13:13">
      <c r="M3069" s="252"/>
    </row>
    <row r="3070" spans="13:13">
      <c r="M3070" s="252"/>
    </row>
    <row r="3071" spans="13:13">
      <c r="M3071" s="252"/>
    </row>
    <row r="3072" spans="13:13">
      <c r="M3072" s="252"/>
    </row>
    <row r="3073" spans="13:13">
      <c r="M3073" s="252"/>
    </row>
    <row r="3074" spans="13:13">
      <c r="M3074" s="252"/>
    </row>
    <row r="3075" spans="13:13">
      <c r="M3075" s="252"/>
    </row>
    <row r="3076" spans="13:13">
      <c r="M3076" s="252"/>
    </row>
    <row r="3077" spans="13:13">
      <c r="M3077" s="252"/>
    </row>
    <row r="3078" spans="13:13">
      <c r="M3078" s="252"/>
    </row>
    <row r="3079" spans="13:13">
      <c r="M3079" s="252"/>
    </row>
    <row r="3080" spans="13:13">
      <c r="M3080" s="252"/>
    </row>
    <row r="3081" spans="13:13">
      <c r="M3081" s="252"/>
    </row>
    <row r="3082" spans="13:13">
      <c r="M3082" s="252"/>
    </row>
    <row r="3083" spans="13:13">
      <c r="M3083" s="252"/>
    </row>
    <row r="3084" spans="13:13">
      <c r="M3084" s="252"/>
    </row>
    <row r="3085" spans="13:13">
      <c r="M3085" s="252"/>
    </row>
    <row r="3086" spans="13:13">
      <c r="M3086" s="252"/>
    </row>
    <row r="3087" spans="13:13">
      <c r="M3087" s="252"/>
    </row>
    <row r="3088" spans="13:13">
      <c r="M3088" s="252"/>
    </row>
    <row r="3089" spans="13:13">
      <c r="M3089" s="252"/>
    </row>
    <row r="3090" spans="13:13">
      <c r="M3090" s="252"/>
    </row>
    <row r="3091" spans="13:13">
      <c r="M3091" s="252"/>
    </row>
    <row r="3092" spans="13:13">
      <c r="M3092" s="252"/>
    </row>
    <row r="3093" spans="13:13">
      <c r="M3093" s="252"/>
    </row>
    <row r="3094" spans="13:13">
      <c r="M3094" s="252"/>
    </row>
    <row r="3095" spans="13:13">
      <c r="M3095" s="252"/>
    </row>
    <row r="3096" spans="13:13">
      <c r="M3096" s="252"/>
    </row>
    <row r="3097" spans="13:13">
      <c r="M3097" s="252"/>
    </row>
    <row r="3098" spans="13:13">
      <c r="M3098" s="252"/>
    </row>
    <row r="3099" spans="13:13">
      <c r="M3099" s="252"/>
    </row>
    <row r="3100" spans="13:13">
      <c r="M3100" s="252"/>
    </row>
    <row r="3101" spans="13:13">
      <c r="M3101" s="252"/>
    </row>
    <row r="3102" spans="13:13">
      <c r="M3102" s="252"/>
    </row>
    <row r="3103" spans="13:13">
      <c r="M3103" s="252"/>
    </row>
    <row r="3104" spans="13:13">
      <c r="M3104" s="252"/>
    </row>
    <row r="3105" spans="13:13">
      <c r="M3105" s="252"/>
    </row>
    <row r="3106" spans="13:13">
      <c r="M3106" s="252"/>
    </row>
    <row r="3107" spans="13:13">
      <c r="M3107" s="252"/>
    </row>
    <row r="3108" spans="13:13">
      <c r="M3108" s="252"/>
    </row>
    <row r="3109" spans="13:13">
      <c r="M3109" s="252"/>
    </row>
    <row r="3110" spans="13:13">
      <c r="M3110" s="252"/>
    </row>
    <row r="3111" spans="13:13">
      <c r="M3111" s="252"/>
    </row>
    <row r="3112" spans="13:13">
      <c r="M3112" s="252"/>
    </row>
    <row r="3113" spans="13:13">
      <c r="M3113" s="252"/>
    </row>
    <row r="3114" spans="13:13">
      <c r="M3114" s="252"/>
    </row>
    <row r="3115" spans="13:13">
      <c r="M3115" s="252"/>
    </row>
    <row r="3116" spans="13:13">
      <c r="M3116" s="252"/>
    </row>
    <row r="3117" spans="13:13">
      <c r="M3117" s="252"/>
    </row>
    <row r="3118" spans="13:13">
      <c r="M3118" s="252"/>
    </row>
    <row r="3119" spans="13:13">
      <c r="M3119" s="252"/>
    </row>
    <row r="3120" spans="13:13">
      <c r="M3120" s="252"/>
    </row>
    <row r="3121" spans="13:13">
      <c r="M3121" s="252"/>
    </row>
    <row r="3122" spans="13:13">
      <c r="M3122" s="252"/>
    </row>
    <row r="3123" spans="13:13">
      <c r="M3123" s="252"/>
    </row>
    <row r="3124" spans="13:13">
      <c r="M3124" s="252"/>
    </row>
    <row r="3125" spans="13:13">
      <c r="M3125" s="252"/>
    </row>
    <row r="3126" spans="13:13">
      <c r="M3126" s="252"/>
    </row>
    <row r="3127" spans="13:13">
      <c r="M3127" s="252"/>
    </row>
    <row r="3128" spans="13:13">
      <c r="M3128" s="252"/>
    </row>
    <row r="3129" spans="13:13">
      <c r="M3129" s="252"/>
    </row>
    <row r="3130" spans="13:13">
      <c r="M3130" s="252"/>
    </row>
    <row r="3131" spans="13:13">
      <c r="M3131" s="252"/>
    </row>
    <row r="3132" spans="13:13">
      <c r="M3132" s="252"/>
    </row>
    <row r="3133" spans="13:13">
      <c r="M3133" s="252"/>
    </row>
    <row r="3134" spans="13:13">
      <c r="M3134" s="252"/>
    </row>
    <row r="3135" spans="13:13">
      <c r="M3135" s="252"/>
    </row>
    <row r="3136" spans="13:13">
      <c r="M3136" s="252"/>
    </row>
    <row r="3137" spans="13:13">
      <c r="M3137" s="252"/>
    </row>
    <row r="3138" spans="13:13">
      <c r="M3138" s="252"/>
    </row>
    <row r="3139" spans="13:13">
      <c r="M3139" s="252"/>
    </row>
    <row r="3140" spans="13:13">
      <c r="M3140" s="252"/>
    </row>
    <row r="3141" spans="13:13">
      <c r="M3141" s="252"/>
    </row>
    <row r="3142" spans="13:13">
      <c r="M3142" s="252"/>
    </row>
    <row r="3143" spans="13:13">
      <c r="M3143" s="252"/>
    </row>
    <row r="3144" spans="13:13">
      <c r="M3144" s="252"/>
    </row>
    <row r="3145" spans="13:13">
      <c r="M3145" s="252"/>
    </row>
    <row r="3146" spans="13:13">
      <c r="M3146" s="252"/>
    </row>
    <row r="3147" spans="13:13">
      <c r="M3147" s="252"/>
    </row>
    <row r="3148" spans="13:13">
      <c r="M3148" s="252"/>
    </row>
    <row r="3149" spans="13:13">
      <c r="M3149" s="252"/>
    </row>
    <row r="3150" spans="13:13">
      <c r="M3150" s="252"/>
    </row>
    <row r="3151" spans="13:13">
      <c r="M3151" s="252"/>
    </row>
    <row r="3152" spans="13:13">
      <c r="M3152" s="252"/>
    </row>
    <row r="3153" spans="13:13">
      <c r="M3153" s="252"/>
    </row>
    <row r="3154" spans="13:13">
      <c r="M3154" s="252"/>
    </row>
    <row r="3155" spans="13:13">
      <c r="M3155" s="252"/>
    </row>
    <row r="3156" spans="13:13">
      <c r="M3156" s="252"/>
    </row>
    <row r="3157" spans="13:13">
      <c r="M3157" s="252"/>
    </row>
    <row r="3158" spans="13:13">
      <c r="M3158" s="252"/>
    </row>
    <row r="3159" spans="13:13">
      <c r="M3159" s="252"/>
    </row>
    <row r="3160" spans="13:13">
      <c r="M3160" s="252"/>
    </row>
    <row r="3161" spans="13:13">
      <c r="M3161" s="252"/>
    </row>
    <row r="3162" spans="13:13">
      <c r="M3162" s="252"/>
    </row>
    <row r="3163" spans="13:13">
      <c r="M3163" s="252"/>
    </row>
    <row r="3164" spans="13:13">
      <c r="M3164" s="252"/>
    </row>
    <row r="3165" spans="13:13">
      <c r="M3165" s="252"/>
    </row>
    <row r="3166" spans="13:13">
      <c r="M3166" s="252"/>
    </row>
    <row r="3167" spans="13:13">
      <c r="M3167" s="252"/>
    </row>
    <row r="3168" spans="13:13">
      <c r="M3168" s="252"/>
    </row>
    <row r="3169" spans="13:13">
      <c r="M3169" s="252"/>
    </row>
    <row r="3170" spans="13:13">
      <c r="M3170" s="252"/>
    </row>
    <row r="3171" spans="13:13">
      <c r="M3171" s="252"/>
    </row>
    <row r="3172" spans="13:13">
      <c r="M3172" s="252"/>
    </row>
    <row r="3173" spans="13:13">
      <c r="M3173" s="252"/>
    </row>
    <row r="3174" spans="13:13">
      <c r="M3174" s="252"/>
    </row>
    <row r="3175" spans="13:13">
      <c r="M3175" s="252"/>
    </row>
    <row r="3176" spans="13:13">
      <c r="M3176" s="252"/>
    </row>
    <row r="3177" spans="13:13">
      <c r="M3177" s="252"/>
    </row>
    <row r="3178" spans="13:13">
      <c r="M3178" s="252"/>
    </row>
    <row r="3179" spans="13:13">
      <c r="M3179" s="252"/>
    </row>
    <row r="3180" spans="13:13">
      <c r="M3180" s="252"/>
    </row>
    <row r="3181" spans="13:13">
      <c r="M3181" s="252"/>
    </row>
    <row r="3182" spans="13:13">
      <c r="M3182" s="252"/>
    </row>
    <row r="3183" spans="13:13">
      <c r="M3183" s="252"/>
    </row>
    <row r="3184" spans="13:13">
      <c r="M3184" s="252"/>
    </row>
    <row r="3185" spans="13:13">
      <c r="M3185" s="252"/>
    </row>
    <row r="3186" spans="13:13">
      <c r="M3186" s="252"/>
    </row>
    <row r="3187" spans="13:13">
      <c r="M3187" s="252"/>
    </row>
    <row r="3188" spans="13:13">
      <c r="M3188" s="252"/>
    </row>
    <row r="3189" spans="13:13">
      <c r="M3189" s="252"/>
    </row>
    <row r="3190" spans="13:13">
      <c r="M3190" s="252"/>
    </row>
    <row r="3191" spans="13:13">
      <c r="M3191" s="252"/>
    </row>
    <row r="3192" spans="13:13">
      <c r="M3192" s="252"/>
    </row>
    <row r="3193" spans="13:13">
      <c r="M3193" s="252"/>
    </row>
    <row r="3194" spans="13:13">
      <c r="M3194" s="252"/>
    </row>
    <row r="3195" spans="13:13">
      <c r="M3195" s="252"/>
    </row>
    <row r="3196" spans="13:13">
      <c r="M3196" s="252"/>
    </row>
    <row r="3197" spans="13:13">
      <c r="M3197" s="252"/>
    </row>
    <row r="3198" spans="13:13">
      <c r="M3198" s="252"/>
    </row>
    <row r="3199" spans="13:13">
      <c r="M3199" s="252"/>
    </row>
    <row r="3200" spans="13:13">
      <c r="M3200" s="252"/>
    </row>
    <row r="3201" spans="13:13">
      <c r="M3201" s="252"/>
    </row>
    <row r="3202" spans="13:13">
      <c r="M3202" s="252"/>
    </row>
    <row r="3203" spans="13:13">
      <c r="M3203" s="252"/>
    </row>
    <row r="3204" spans="13:13">
      <c r="M3204" s="252"/>
    </row>
    <row r="3205" spans="13:13">
      <c r="M3205" s="252"/>
    </row>
    <row r="3206" spans="13:13">
      <c r="M3206" s="252"/>
    </row>
    <row r="3207" spans="13:13">
      <c r="M3207" s="252"/>
    </row>
    <row r="3208" spans="13:13">
      <c r="M3208" s="252"/>
    </row>
    <row r="3209" spans="13:13">
      <c r="M3209" s="252"/>
    </row>
    <row r="3210" spans="13:13">
      <c r="M3210" s="252"/>
    </row>
    <row r="3211" spans="13:13">
      <c r="M3211" s="252"/>
    </row>
    <row r="3212" spans="13:13">
      <c r="M3212" s="252"/>
    </row>
    <row r="3213" spans="13:13">
      <c r="M3213" s="252"/>
    </row>
    <row r="3214" spans="13:13">
      <c r="M3214" s="252"/>
    </row>
    <row r="3215" spans="13:13">
      <c r="M3215" s="252"/>
    </row>
    <row r="3216" spans="13:13">
      <c r="M3216" s="252"/>
    </row>
    <row r="3217" spans="13:13">
      <c r="M3217" s="252"/>
    </row>
    <row r="3218" spans="13:13">
      <c r="M3218" s="252"/>
    </row>
    <row r="3219" spans="13:13">
      <c r="M3219" s="252"/>
    </row>
    <row r="3220" spans="13:13">
      <c r="M3220" s="252"/>
    </row>
    <row r="3221" spans="13:13">
      <c r="M3221" s="252"/>
    </row>
    <row r="3222" spans="13:13">
      <c r="M3222" s="252"/>
    </row>
    <row r="3223" spans="13:13">
      <c r="M3223" s="252"/>
    </row>
    <row r="3224" spans="13:13">
      <c r="M3224" s="252"/>
    </row>
    <row r="3225" spans="13:13">
      <c r="M3225" s="252"/>
    </row>
    <row r="3226" spans="13:13">
      <c r="M3226" s="252"/>
    </row>
    <row r="3227" spans="13:13">
      <c r="M3227" s="252"/>
    </row>
    <row r="3228" spans="13:13">
      <c r="M3228" s="252"/>
    </row>
    <row r="3229" spans="13:13">
      <c r="M3229" s="252"/>
    </row>
    <row r="3230" spans="13:13">
      <c r="M3230" s="252"/>
    </row>
    <row r="3231" spans="13:13">
      <c r="M3231" s="252"/>
    </row>
    <row r="3232" spans="13:13">
      <c r="M3232" s="252"/>
    </row>
    <row r="3233" spans="13:13">
      <c r="M3233" s="252"/>
    </row>
    <row r="3234" spans="13:13">
      <c r="M3234" s="252"/>
    </row>
    <row r="3235" spans="13:13">
      <c r="M3235" s="252"/>
    </row>
    <row r="3236" spans="13:13">
      <c r="M3236" s="252"/>
    </row>
    <row r="3237" spans="13:13">
      <c r="M3237" s="252"/>
    </row>
    <row r="3238" spans="13:13">
      <c r="M3238" s="252"/>
    </row>
    <row r="3239" spans="13:13">
      <c r="M3239" s="252"/>
    </row>
    <row r="3240" spans="13:13">
      <c r="M3240" s="252"/>
    </row>
    <row r="3241" spans="13:13">
      <c r="M3241" s="252"/>
    </row>
    <row r="3242" spans="13:13">
      <c r="M3242" s="252"/>
    </row>
    <row r="3243" spans="13:13">
      <c r="M3243" s="252"/>
    </row>
    <row r="3244" spans="13:13">
      <c r="M3244" s="252"/>
    </row>
    <row r="3245" spans="13:13">
      <c r="M3245" s="252"/>
    </row>
    <row r="3246" spans="13:13">
      <c r="M3246" s="252"/>
    </row>
    <row r="3247" spans="13:13">
      <c r="M3247" s="252"/>
    </row>
    <row r="3248" spans="13:13">
      <c r="M3248" s="252"/>
    </row>
    <row r="3249" spans="13:13">
      <c r="M3249" s="252"/>
    </row>
    <row r="3250" spans="13:13">
      <c r="M3250" s="252"/>
    </row>
    <row r="3251" spans="13:13">
      <c r="M3251" s="252"/>
    </row>
    <row r="3252" spans="13:13">
      <c r="M3252" s="252"/>
    </row>
    <row r="3253" spans="13:13">
      <c r="M3253" s="252"/>
    </row>
    <row r="3254" spans="13:13">
      <c r="M3254" s="252"/>
    </row>
    <row r="3255" spans="13:13">
      <c r="M3255" s="252"/>
    </row>
    <row r="3256" spans="13:13">
      <c r="M3256" s="252"/>
    </row>
    <row r="3257" spans="13:13">
      <c r="M3257" s="252"/>
    </row>
    <row r="3258" spans="13:13">
      <c r="M3258" s="252"/>
    </row>
    <row r="3259" spans="13:13">
      <c r="M3259" s="252"/>
    </row>
    <row r="3260" spans="13:13">
      <c r="M3260" s="252"/>
    </row>
    <row r="3261" spans="13:13">
      <c r="M3261" s="252"/>
    </row>
    <row r="3262" spans="13:13">
      <c r="M3262" s="252"/>
    </row>
    <row r="3263" spans="13:13">
      <c r="M3263" s="252"/>
    </row>
    <row r="3264" spans="13:13">
      <c r="M3264" s="252"/>
    </row>
    <row r="3265" spans="13:13">
      <c r="M3265" s="252"/>
    </row>
    <row r="3266" spans="13:13">
      <c r="M3266" s="252"/>
    </row>
    <row r="3267" spans="13:13">
      <c r="M3267" s="252"/>
    </row>
    <row r="3268" spans="13:13">
      <c r="M3268" s="252"/>
    </row>
    <row r="3269" spans="13:13">
      <c r="M3269" s="252"/>
    </row>
    <row r="3270" spans="13:13">
      <c r="M3270" s="252"/>
    </row>
    <row r="3271" spans="13:13">
      <c r="M3271" s="252"/>
    </row>
    <row r="3272" spans="13:13">
      <c r="M3272" s="252"/>
    </row>
    <row r="3273" spans="13:13">
      <c r="M3273" s="252"/>
    </row>
    <row r="3274" spans="13:13">
      <c r="M3274" s="252"/>
    </row>
    <row r="3275" spans="13:13">
      <c r="M3275" s="252"/>
    </row>
    <row r="3276" spans="13:13">
      <c r="M3276" s="252"/>
    </row>
    <row r="3277" spans="13:13">
      <c r="M3277" s="252"/>
    </row>
    <row r="3278" spans="13:13">
      <c r="M3278" s="252"/>
    </row>
    <row r="3279" spans="13:13">
      <c r="M3279" s="252"/>
    </row>
    <row r="3280" spans="13:13">
      <c r="M3280" s="252"/>
    </row>
    <row r="3281" spans="13:13">
      <c r="M3281" s="252"/>
    </row>
    <row r="3282" spans="13:13">
      <c r="M3282" s="252"/>
    </row>
    <row r="3283" spans="13:13">
      <c r="M3283" s="252"/>
    </row>
    <row r="3284" spans="13:13">
      <c r="M3284" s="252"/>
    </row>
    <row r="3285" spans="13:13">
      <c r="M3285" s="252"/>
    </row>
    <row r="3286" spans="13:13">
      <c r="M3286" s="252"/>
    </row>
    <row r="3287" spans="13:13">
      <c r="M3287" s="252"/>
    </row>
    <row r="3288" spans="13:13">
      <c r="M3288" s="252"/>
    </row>
    <row r="3289" spans="13:13">
      <c r="M3289" s="252"/>
    </row>
    <row r="3290" spans="13:13">
      <c r="M3290" s="252"/>
    </row>
    <row r="3291" spans="13:13">
      <c r="M3291" s="252"/>
    </row>
    <row r="3292" spans="13:13">
      <c r="M3292" s="252"/>
    </row>
    <row r="3293" spans="13:13">
      <c r="M3293" s="252"/>
    </row>
    <row r="3294" spans="13:13">
      <c r="M3294" s="252"/>
    </row>
    <row r="3295" spans="13:13">
      <c r="M3295" s="252"/>
    </row>
    <row r="3296" spans="13:13">
      <c r="M3296" s="252"/>
    </row>
    <row r="3297" spans="13:13">
      <c r="M3297" s="252"/>
    </row>
    <row r="3298" spans="13:13">
      <c r="M3298" s="252"/>
    </row>
    <row r="3299" spans="13:13">
      <c r="M3299" s="252"/>
    </row>
    <row r="3300" spans="13:13">
      <c r="M3300" s="252"/>
    </row>
    <row r="3301" spans="13:13">
      <c r="M3301" s="252"/>
    </row>
    <row r="3302" spans="13:13">
      <c r="M3302" s="252"/>
    </row>
    <row r="3303" spans="13:13">
      <c r="M3303" s="252"/>
    </row>
    <row r="3304" spans="13:13">
      <c r="M3304" s="252"/>
    </row>
    <row r="3305" spans="13:13">
      <c r="M3305" s="252"/>
    </row>
    <row r="3306" spans="13:13">
      <c r="M3306" s="252"/>
    </row>
    <row r="3307" spans="13:13">
      <c r="M3307" s="252"/>
    </row>
    <row r="3308" spans="13:13">
      <c r="M3308" s="252"/>
    </row>
    <row r="3309" spans="13:13">
      <c r="M3309" s="252"/>
    </row>
    <row r="3310" spans="13:13">
      <c r="M3310" s="252"/>
    </row>
    <row r="3311" spans="13:13">
      <c r="M3311" s="252"/>
    </row>
    <row r="3312" spans="13:13">
      <c r="M3312" s="252"/>
    </row>
    <row r="3313" spans="13:13">
      <c r="M3313" s="252"/>
    </row>
    <row r="3314" spans="13:13">
      <c r="M3314" s="252"/>
    </row>
    <row r="3315" spans="13:13">
      <c r="M3315" s="252"/>
    </row>
    <row r="3316" spans="13:13">
      <c r="M3316" s="252"/>
    </row>
    <row r="3317" spans="13:13">
      <c r="M3317" s="252"/>
    </row>
    <row r="3318" spans="13:13">
      <c r="M3318" s="252"/>
    </row>
    <row r="3319" spans="13:13">
      <c r="M3319" s="252"/>
    </row>
    <row r="3320" spans="13:13">
      <c r="M3320" s="252"/>
    </row>
    <row r="3321" spans="13:13">
      <c r="M3321" s="252"/>
    </row>
    <row r="3322" spans="13:13">
      <c r="M3322" s="252"/>
    </row>
    <row r="3323" spans="13:13">
      <c r="M3323" s="252"/>
    </row>
    <row r="3324" spans="13:13">
      <c r="M3324" s="252"/>
    </row>
    <row r="3325" spans="13:13">
      <c r="M3325" s="252"/>
    </row>
    <row r="3326" spans="13:13">
      <c r="M3326" s="252"/>
    </row>
    <row r="3327" spans="13:13">
      <c r="M3327" s="252"/>
    </row>
    <row r="3328" spans="13:13">
      <c r="M3328" s="252"/>
    </row>
    <row r="3329" spans="13:13">
      <c r="M3329" s="252"/>
    </row>
    <row r="3330" spans="13:13">
      <c r="M3330" s="252"/>
    </row>
    <row r="3331" spans="13:13">
      <c r="M3331" s="252"/>
    </row>
    <row r="3332" spans="13:13">
      <c r="M3332" s="252"/>
    </row>
    <row r="3333" spans="13:13">
      <c r="M3333" s="252"/>
    </row>
    <row r="3334" spans="13:13">
      <c r="M3334" s="252"/>
    </row>
    <row r="3335" spans="13:13">
      <c r="M3335" s="252"/>
    </row>
    <row r="3336" spans="13:13">
      <c r="M3336" s="252"/>
    </row>
    <row r="3337" spans="13:13">
      <c r="M3337" s="252"/>
    </row>
    <row r="3338" spans="13:13">
      <c r="M3338" s="252"/>
    </row>
    <row r="3339" spans="13:13">
      <c r="M3339" s="252"/>
    </row>
    <row r="3340" spans="13:13">
      <c r="M3340" s="252"/>
    </row>
    <row r="3341" spans="13:13">
      <c r="M3341" s="252"/>
    </row>
    <row r="3342" spans="13:13">
      <c r="M3342" s="252"/>
    </row>
    <row r="3343" spans="13:13">
      <c r="M3343" s="252"/>
    </row>
    <row r="3344" spans="13:13">
      <c r="M3344" s="252"/>
    </row>
    <row r="3345" spans="13:13">
      <c r="M3345" s="252"/>
    </row>
    <row r="3346" spans="13:13">
      <c r="M3346" s="252"/>
    </row>
    <row r="3347" spans="13:13">
      <c r="M3347" s="252"/>
    </row>
    <row r="3348" spans="13:13">
      <c r="M3348" s="252"/>
    </row>
    <row r="3349" spans="13:13">
      <c r="M3349" s="252"/>
    </row>
    <row r="3350" spans="13:13">
      <c r="M3350" s="252"/>
    </row>
    <row r="3351" spans="13:13">
      <c r="M3351" s="252"/>
    </row>
    <row r="3352" spans="13:13">
      <c r="M3352" s="252"/>
    </row>
    <row r="3353" spans="13:13">
      <c r="M3353" s="252"/>
    </row>
    <row r="3354" spans="13:13">
      <c r="M3354" s="252"/>
    </row>
    <row r="3355" spans="13:13">
      <c r="M3355" s="252"/>
    </row>
    <row r="3356" spans="13:13">
      <c r="M3356" s="252"/>
    </row>
    <row r="3357" spans="13:13">
      <c r="M3357" s="252"/>
    </row>
    <row r="3358" spans="13:13">
      <c r="M3358" s="252"/>
    </row>
    <row r="3359" spans="13:13">
      <c r="M3359" s="252"/>
    </row>
    <row r="3360" spans="13:13">
      <c r="M3360" s="252"/>
    </row>
    <row r="3361" spans="13:13">
      <c r="M3361" s="252"/>
    </row>
    <row r="3362" spans="13:13">
      <c r="M3362" s="252"/>
    </row>
    <row r="3363" spans="13:13">
      <c r="M3363" s="252"/>
    </row>
    <row r="3364" spans="13:13">
      <c r="M3364" s="252"/>
    </row>
    <row r="3365" spans="13:13">
      <c r="M3365" s="252"/>
    </row>
    <row r="3366" spans="13:13">
      <c r="M3366" s="252"/>
    </row>
    <row r="3367" spans="13:13">
      <c r="M3367" s="252"/>
    </row>
    <row r="3368" spans="13:13">
      <c r="M3368" s="252"/>
    </row>
    <row r="3369" spans="13:13">
      <c r="M3369" s="252"/>
    </row>
    <row r="3370" spans="13:13">
      <c r="M3370" s="252"/>
    </row>
    <row r="3371" spans="13:13">
      <c r="M3371" s="252"/>
    </row>
    <row r="3372" spans="13:13">
      <c r="M3372" s="252"/>
    </row>
    <row r="3373" spans="13:13">
      <c r="M3373" s="252"/>
    </row>
    <row r="3374" spans="13:13">
      <c r="M3374" s="252"/>
    </row>
    <row r="3375" spans="13:13">
      <c r="M3375" s="252"/>
    </row>
    <row r="3376" spans="13:13">
      <c r="M3376" s="252"/>
    </row>
    <row r="3377" spans="13:13">
      <c r="M3377" s="252"/>
    </row>
    <row r="3378" spans="13:13">
      <c r="M3378" s="252"/>
    </row>
    <row r="3379" spans="13:13">
      <c r="M3379" s="252"/>
    </row>
    <row r="3380" spans="13:13">
      <c r="M3380" s="252"/>
    </row>
    <row r="3381" spans="13:13">
      <c r="M3381" s="252"/>
    </row>
    <row r="3382" spans="13:13">
      <c r="M3382" s="252"/>
    </row>
    <row r="3383" spans="13:13">
      <c r="M3383" s="252"/>
    </row>
    <row r="3384" spans="13:13">
      <c r="M3384" s="252"/>
    </row>
    <row r="3385" spans="13:13">
      <c r="M3385" s="252"/>
    </row>
    <row r="3386" spans="13:13">
      <c r="M3386" s="252"/>
    </row>
    <row r="3387" spans="13:13">
      <c r="M3387" s="252"/>
    </row>
    <row r="3388" spans="13:13">
      <c r="M3388" s="252"/>
    </row>
    <row r="3389" spans="13:13">
      <c r="M3389" s="252"/>
    </row>
    <row r="3390" spans="13:13">
      <c r="M3390" s="252"/>
    </row>
    <row r="3391" spans="13:13">
      <c r="M3391" s="252"/>
    </row>
    <row r="3392" spans="13:13">
      <c r="M3392" s="252"/>
    </row>
    <row r="3393" spans="13:13">
      <c r="M3393" s="252"/>
    </row>
    <row r="3394" spans="13:13">
      <c r="M3394" s="252"/>
    </row>
    <row r="3395" spans="13:13">
      <c r="M3395" s="252"/>
    </row>
    <row r="3396" spans="13:13">
      <c r="M3396" s="252"/>
    </row>
    <row r="3397" spans="13:13">
      <c r="M3397" s="252"/>
    </row>
    <row r="3398" spans="13:13">
      <c r="M3398" s="252"/>
    </row>
    <row r="3399" spans="13:13">
      <c r="M3399" s="252"/>
    </row>
    <row r="3400" spans="13:13">
      <c r="M3400" s="252"/>
    </row>
    <row r="3401" spans="13:13">
      <c r="M3401" s="252"/>
    </row>
    <row r="3402" spans="13:13">
      <c r="M3402" s="252"/>
    </row>
    <row r="3403" spans="13:13">
      <c r="M3403" s="252"/>
    </row>
    <row r="3404" spans="13:13">
      <c r="M3404" s="252"/>
    </row>
    <row r="3405" spans="13:13">
      <c r="M3405" s="252"/>
    </row>
    <row r="3406" spans="13:13">
      <c r="M3406" s="252"/>
    </row>
    <row r="3407" spans="13:13">
      <c r="M3407" s="252"/>
    </row>
    <row r="3408" spans="13:13">
      <c r="M3408" s="252"/>
    </row>
    <row r="3409" spans="13:13">
      <c r="M3409" s="252"/>
    </row>
    <row r="3410" spans="13:13">
      <c r="M3410" s="252"/>
    </row>
    <row r="3411" spans="13:13">
      <c r="M3411" s="252"/>
    </row>
    <row r="3412" spans="13:13">
      <c r="M3412" s="252"/>
    </row>
    <row r="3413" spans="13:13">
      <c r="M3413" s="252"/>
    </row>
    <row r="3414" spans="13:13">
      <c r="M3414" s="252"/>
    </row>
    <row r="3415" spans="13:13">
      <c r="M3415" s="252"/>
    </row>
    <row r="3416" spans="13:13">
      <c r="M3416" s="252"/>
    </row>
    <row r="3417" spans="13:13">
      <c r="M3417" s="252"/>
    </row>
    <row r="3418" spans="13:13">
      <c r="M3418" s="252"/>
    </row>
    <row r="3419" spans="13:13">
      <c r="M3419" s="252"/>
    </row>
    <row r="3420" spans="13:13">
      <c r="M3420" s="252"/>
    </row>
    <row r="3421" spans="13:13">
      <c r="M3421" s="252"/>
    </row>
    <row r="3422" spans="13:13">
      <c r="M3422" s="252"/>
    </row>
    <row r="3423" spans="13:13">
      <c r="M3423" s="252"/>
    </row>
    <row r="3424" spans="13:13">
      <c r="M3424" s="252"/>
    </row>
    <row r="3425" spans="13:13">
      <c r="M3425" s="252"/>
    </row>
    <row r="3426" spans="13:13">
      <c r="M3426" s="252"/>
    </row>
    <row r="3427" spans="13:13">
      <c r="M3427" s="252"/>
    </row>
    <row r="3428" spans="13:13">
      <c r="M3428" s="252"/>
    </row>
    <row r="3429" spans="13:13">
      <c r="M3429" s="252"/>
    </row>
    <row r="3430" spans="13:13">
      <c r="M3430" s="252"/>
    </row>
    <row r="3431" spans="13:13">
      <c r="M3431" s="252"/>
    </row>
    <row r="3432" spans="13:13">
      <c r="M3432" s="252"/>
    </row>
    <row r="3433" spans="13:13">
      <c r="M3433" s="252"/>
    </row>
    <row r="3434" spans="13:13">
      <c r="M3434" s="252"/>
    </row>
    <row r="3435" spans="13:13">
      <c r="M3435" s="252"/>
    </row>
    <row r="3436" spans="13:13">
      <c r="M3436" s="252"/>
    </row>
    <row r="3437" spans="13:13">
      <c r="M3437" s="252"/>
    </row>
    <row r="3438" spans="13:13">
      <c r="M3438" s="252"/>
    </row>
    <row r="3439" spans="13:13">
      <c r="M3439" s="252"/>
    </row>
    <row r="3440" spans="13:13">
      <c r="M3440" s="252"/>
    </row>
    <row r="3441" spans="13:13">
      <c r="M3441" s="252"/>
    </row>
    <row r="3442" spans="13:13">
      <c r="M3442" s="252"/>
    </row>
    <row r="3443" spans="13:13">
      <c r="M3443" s="252"/>
    </row>
    <row r="3444" spans="13:13">
      <c r="M3444" s="252"/>
    </row>
    <row r="3445" spans="13:13">
      <c r="M3445" s="252"/>
    </row>
    <row r="3446" spans="13:13">
      <c r="M3446" s="252"/>
    </row>
    <row r="3447" spans="13:13">
      <c r="M3447" s="252"/>
    </row>
    <row r="3448" spans="13:13">
      <c r="M3448" s="252"/>
    </row>
    <row r="3449" spans="13:13">
      <c r="M3449" s="252"/>
    </row>
    <row r="3450" spans="13:13">
      <c r="M3450" s="252"/>
    </row>
    <row r="3451" spans="13:13">
      <c r="M3451" s="252"/>
    </row>
    <row r="3452" spans="13:13">
      <c r="M3452" s="252"/>
    </row>
    <row r="3453" spans="13:13">
      <c r="M3453" s="252"/>
    </row>
    <row r="3454" spans="13:13">
      <c r="M3454" s="252"/>
    </row>
    <row r="3455" spans="13:13">
      <c r="M3455" s="252"/>
    </row>
    <row r="3456" spans="13:13">
      <c r="M3456" s="252"/>
    </row>
    <row r="3457" spans="13:13">
      <c r="M3457" s="252"/>
    </row>
    <row r="3458" spans="13:13">
      <c r="M3458" s="252"/>
    </row>
    <row r="3459" spans="13:13">
      <c r="M3459" s="252"/>
    </row>
    <row r="3460" spans="13:13">
      <c r="M3460" s="252"/>
    </row>
    <row r="3461" spans="13:13">
      <c r="M3461" s="252"/>
    </row>
    <row r="3462" spans="13:13">
      <c r="M3462" s="252"/>
    </row>
    <row r="3463" spans="13:13">
      <c r="M3463" s="252"/>
    </row>
    <row r="3464" spans="13:13">
      <c r="M3464" s="252"/>
    </row>
    <row r="3465" spans="13:13">
      <c r="M3465" s="252"/>
    </row>
    <row r="3466" spans="13:13">
      <c r="M3466" s="252"/>
    </row>
    <row r="3467" spans="13:13">
      <c r="M3467" s="252"/>
    </row>
    <row r="3468" spans="13:13">
      <c r="M3468" s="252"/>
    </row>
    <row r="3469" spans="13:13">
      <c r="M3469" s="252"/>
    </row>
    <row r="3470" spans="13:13">
      <c r="M3470" s="252"/>
    </row>
    <row r="3471" spans="13:13">
      <c r="M3471" s="252"/>
    </row>
    <row r="3472" spans="13:13">
      <c r="M3472" s="252"/>
    </row>
    <row r="3473" spans="13:13">
      <c r="M3473" s="252"/>
    </row>
    <row r="3474" spans="13:13">
      <c r="M3474" s="252"/>
    </row>
    <row r="3475" spans="13:13">
      <c r="M3475" s="252"/>
    </row>
    <row r="3476" spans="13:13">
      <c r="M3476" s="252"/>
    </row>
    <row r="3477" spans="13:13">
      <c r="M3477" s="252"/>
    </row>
    <row r="3478" spans="13:13">
      <c r="M3478" s="252"/>
    </row>
    <row r="3479" spans="13:13">
      <c r="M3479" s="252"/>
    </row>
    <row r="3480" spans="13:13">
      <c r="M3480" s="252"/>
    </row>
    <row r="3481" spans="13:13">
      <c r="M3481" s="252"/>
    </row>
    <row r="3482" spans="13:13">
      <c r="M3482" s="252"/>
    </row>
    <row r="3483" spans="13:13">
      <c r="M3483" s="252"/>
    </row>
    <row r="3484" spans="13:13">
      <c r="M3484" s="252"/>
    </row>
    <row r="3485" spans="13:13">
      <c r="M3485" s="252"/>
    </row>
    <row r="3486" spans="13:13">
      <c r="M3486" s="252"/>
    </row>
    <row r="3487" spans="13:13">
      <c r="M3487" s="252"/>
    </row>
    <row r="3488" spans="13:13">
      <c r="M3488" s="252"/>
    </row>
    <row r="3489" spans="13:13">
      <c r="M3489" s="252"/>
    </row>
    <row r="3490" spans="13:13">
      <c r="M3490" s="252"/>
    </row>
    <row r="3491" spans="13:13">
      <c r="M3491" s="252"/>
    </row>
    <row r="3492" spans="13:13">
      <c r="M3492" s="252"/>
    </row>
    <row r="3493" spans="13:13">
      <c r="M3493" s="252"/>
    </row>
    <row r="3494" spans="13:13">
      <c r="M3494" s="252"/>
    </row>
    <row r="3495" spans="13:13">
      <c r="M3495" s="252"/>
    </row>
    <row r="3496" spans="13:13">
      <c r="M3496" s="252"/>
    </row>
    <row r="3497" spans="13:13">
      <c r="M3497" s="252"/>
    </row>
    <row r="3498" spans="13:13">
      <c r="M3498" s="252"/>
    </row>
    <row r="3499" spans="13:13">
      <c r="M3499" s="252"/>
    </row>
    <row r="3500" spans="13:13">
      <c r="M3500" s="252"/>
    </row>
    <row r="3501" spans="13:13">
      <c r="M3501" s="252"/>
    </row>
    <row r="3502" spans="13:13">
      <c r="M3502" s="252"/>
    </row>
    <row r="3503" spans="13:13">
      <c r="M3503" s="252"/>
    </row>
    <row r="3504" spans="13:13">
      <c r="M3504" s="252"/>
    </row>
    <row r="3505" spans="13:13">
      <c r="M3505" s="252"/>
    </row>
    <row r="3506" spans="13:13">
      <c r="M3506" s="252"/>
    </row>
    <row r="3507" spans="13:13">
      <c r="M3507" s="252"/>
    </row>
    <row r="3508" spans="13:13">
      <c r="M3508" s="252"/>
    </row>
    <row r="3509" spans="13:13">
      <c r="M3509" s="252"/>
    </row>
    <row r="3510" spans="13:13">
      <c r="M3510" s="252"/>
    </row>
    <row r="3511" spans="13:13">
      <c r="M3511" s="252"/>
    </row>
    <row r="3512" spans="13:13">
      <c r="M3512" s="252"/>
    </row>
    <row r="3513" spans="13:13">
      <c r="M3513" s="252"/>
    </row>
    <row r="3514" spans="13:13">
      <c r="M3514" s="252"/>
    </row>
    <row r="3515" spans="13:13">
      <c r="M3515" s="252"/>
    </row>
    <row r="3516" spans="13:13">
      <c r="M3516" s="252"/>
    </row>
    <row r="3517" spans="13:13">
      <c r="M3517" s="252"/>
    </row>
    <row r="3518" spans="13:13">
      <c r="M3518" s="252"/>
    </row>
    <row r="3519" spans="13:13">
      <c r="M3519" s="252"/>
    </row>
    <row r="3520" spans="13:13">
      <c r="M3520" s="252"/>
    </row>
    <row r="3521" spans="13:13">
      <c r="M3521" s="252"/>
    </row>
    <row r="3522" spans="13:13">
      <c r="M3522" s="252"/>
    </row>
    <row r="3523" spans="13:13">
      <c r="M3523" s="252"/>
    </row>
    <row r="3524" spans="13:13">
      <c r="M3524" s="252"/>
    </row>
    <row r="3525" spans="13:13">
      <c r="M3525" s="252"/>
    </row>
    <row r="3526" spans="13:13">
      <c r="M3526" s="252"/>
    </row>
    <row r="3527" spans="13:13">
      <c r="M3527" s="252"/>
    </row>
    <row r="3528" spans="13:13">
      <c r="M3528" s="252"/>
    </row>
    <row r="3529" spans="13:13">
      <c r="M3529" s="252"/>
    </row>
    <row r="3530" spans="13:13">
      <c r="M3530" s="252"/>
    </row>
    <row r="3531" spans="13:13">
      <c r="M3531" s="252"/>
    </row>
    <row r="3532" spans="13:13">
      <c r="M3532" s="252"/>
    </row>
    <row r="3533" spans="13:13">
      <c r="M3533" s="252"/>
    </row>
    <row r="3534" spans="13:13">
      <c r="M3534" s="252"/>
    </row>
    <row r="3535" spans="13:13">
      <c r="M3535" s="252"/>
    </row>
    <row r="3536" spans="13:13">
      <c r="M3536" s="252"/>
    </row>
    <row r="3537" spans="13:13">
      <c r="M3537" s="252"/>
    </row>
    <row r="3538" spans="13:13">
      <c r="M3538" s="252"/>
    </row>
    <row r="3539" spans="13:13">
      <c r="M3539" s="252"/>
    </row>
    <row r="3540" spans="13:13">
      <c r="M3540" s="252"/>
    </row>
    <row r="3541" spans="13:13">
      <c r="M3541" s="252"/>
    </row>
    <row r="3542" spans="13:13">
      <c r="M3542" s="252"/>
    </row>
    <row r="3543" spans="13:13">
      <c r="M3543" s="252"/>
    </row>
    <row r="3544" spans="13:13">
      <c r="M3544" s="252"/>
    </row>
    <row r="3545" spans="13:13">
      <c r="M3545" s="252"/>
    </row>
    <row r="3546" spans="13:13">
      <c r="M3546" s="252"/>
    </row>
    <row r="3547" spans="13:13">
      <c r="M3547" s="252"/>
    </row>
    <row r="3548" spans="13:13">
      <c r="M3548" s="252"/>
    </row>
    <row r="3549" spans="13:13">
      <c r="M3549" s="252"/>
    </row>
    <row r="3550" spans="13:13">
      <c r="M3550" s="252"/>
    </row>
    <row r="3551" spans="13:13">
      <c r="M3551" s="252"/>
    </row>
    <row r="3552" spans="13:13">
      <c r="M3552" s="252"/>
    </row>
    <row r="3553" spans="13:13">
      <c r="M3553" s="252"/>
    </row>
    <row r="3554" spans="13:13">
      <c r="M3554" s="252"/>
    </row>
    <row r="3555" spans="13:13">
      <c r="M3555" s="252"/>
    </row>
    <row r="3556" spans="13:13">
      <c r="M3556" s="252"/>
    </row>
    <row r="3557" spans="13:13">
      <c r="M3557" s="252"/>
    </row>
    <row r="3558" spans="13:13">
      <c r="M3558" s="252"/>
    </row>
    <row r="3559" spans="13:13">
      <c r="M3559" s="252"/>
    </row>
    <row r="3560" spans="13:13">
      <c r="M3560" s="252"/>
    </row>
    <row r="3561" spans="13:13">
      <c r="M3561" s="252"/>
    </row>
    <row r="3562" spans="13:13">
      <c r="M3562" s="252"/>
    </row>
    <row r="3563" spans="13:13">
      <c r="M3563" s="252"/>
    </row>
    <row r="3564" spans="13:13">
      <c r="M3564" s="252"/>
    </row>
    <row r="3565" spans="13:13">
      <c r="M3565" s="252"/>
    </row>
    <row r="3566" spans="13:13">
      <c r="M3566" s="252"/>
    </row>
    <row r="3567" spans="13:13">
      <c r="M3567" s="252"/>
    </row>
    <row r="3568" spans="13:13">
      <c r="M3568" s="252"/>
    </row>
    <row r="3569" spans="13:13">
      <c r="M3569" s="252"/>
    </row>
    <row r="3570" spans="13:13">
      <c r="M3570" s="252"/>
    </row>
    <row r="3571" spans="13:13">
      <c r="M3571" s="252"/>
    </row>
    <row r="3572" spans="13:13">
      <c r="M3572" s="252"/>
    </row>
    <row r="3573" spans="13:13">
      <c r="M3573" s="252"/>
    </row>
    <row r="3574" spans="13:13">
      <c r="M3574" s="252"/>
    </row>
    <row r="3575" spans="13:13">
      <c r="M3575" s="252"/>
    </row>
    <row r="3576" spans="13:13">
      <c r="M3576" s="252"/>
    </row>
    <row r="3577" spans="13:13">
      <c r="M3577" s="252"/>
    </row>
    <row r="3578" spans="13:13">
      <c r="M3578" s="252"/>
    </row>
    <row r="3579" spans="13:13">
      <c r="M3579" s="252"/>
    </row>
    <row r="3580" spans="13:13">
      <c r="M3580" s="252"/>
    </row>
    <row r="3581" spans="13:13">
      <c r="M3581" s="252"/>
    </row>
    <row r="3582" spans="13:13">
      <c r="M3582" s="252"/>
    </row>
    <row r="3583" spans="13:13">
      <c r="M3583" s="252"/>
    </row>
    <row r="3584" spans="13:13">
      <c r="M3584" s="252"/>
    </row>
    <row r="3585" spans="13:13">
      <c r="M3585" s="252"/>
    </row>
    <row r="3586" spans="13:13">
      <c r="M3586" s="252"/>
    </row>
    <row r="3587" spans="13:13">
      <c r="M3587" s="252"/>
    </row>
    <row r="3588" spans="13:13">
      <c r="M3588" s="252"/>
    </row>
    <row r="3589" spans="13:13">
      <c r="M3589" s="252"/>
    </row>
    <row r="3590" spans="13:13">
      <c r="M3590" s="252"/>
    </row>
    <row r="3591" spans="13:13">
      <c r="M3591" s="252"/>
    </row>
    <row r="3592" spans="13:13">
      <c r="M3592" s="252"/>
    </row>
    <row r="3593" spans="13:13">
      <c r="M3593" s="252"/>
    </row>
    <row r="3594" spans="13:13">
      <c r="M3594" s="252"/>
    </row>
    <row r="3595" spans="13:13">
      <c r="M3595" s="252"/>
    </row>
    <row r="3596" spans="13:13">
      <c r="M3596" s="252"/>
    </row>
    <row r="3597" spans="13:13">
      <c r="M3597" s="252"/>
    </row>
    <row r="3598" spans="13:13">
      <c r="M3598" s="252"/>
    </row>
    <row r="3599" spans="13:13">
      <c r="M3599" s="252"/>
    </row>
    <row r="3600" spans="13:13">
      <c r="M3600" s="252"/>
    </row>
    <row r="3601" spans="13:13">
      <c r="M3601" s="252"/>
    </row>
    <row r="3602" spans="13:13">
      <c r="M3602" s="252"/>
    </row>
    <row r="3603" spans="13:13">
      <c r="M3603" s="252"/>
    </row>
    <row r="3604" spans="13:13">
      <c r="M3604" s="252"/>
    </row>
    <row r="3605" spans="13:13">
      <c r="M3605" s="252"/>
    </row>
    <row r="3606" spans="13:13">
      <c r="M3606" s="252"/>
    </row>
    <row r="3607" spans="13:13">
      <c r="M3607" s="252"/>
    </row>
    <row r="3608" spans="13:13">
      <c r="M3608" s="252"/>
    </row>
    <row r="3609" spans="13:13">
      <c r="M3609" s="252"/>
    </row>
    <row r="3610" spans="13:13">
      <c r="M3610" s="252"/>
    </row>
    <row r="3611" spans="13:13">
      <c r="M3611" s="252"/>
    </row>
    <row r="3612" spans="13:13">
      <c r="M3612" s="252"/>
    </row>
    <row r="3613" spans="13:13">
      <c r="M3613" s="252"/>
    </row>
    <row r="3614" spans="13:13">
      <c r="M3614" s="252"/>
    </row>
    <row r="3615" spans="13:13">
      <c r="M3615" s="252"/>
    </row>
    <row r="3616" spans="13:13">
      <c r="M3616" s="252"/>
    </row>
    <row r="3617" spans="13:13">
      <c r="M3617" s="252"/>
    </row>
    <row r="3618" spans="13:13">
      <c r="M3618" s="252"/>
    </row>
    <row r="3619" spans="13:13">
      <c r="M3619" s="252"/>
    </row>
    <row r="3620" spans="13:13">
      <c r="M3620" s="252"/>
    </row>
    <row r="3621" spans="13:13">
      <c r="M3621" s="252"/>
    </row>
    <row r="3622" spans="13:13">
      <c r="M3622" s="252"/>
    </row>
    <row r="3623" spans="13:13">
      <c r="M3623" s="252"/>
    </row>
    <row r="3624" spans="13:13">
      <c r="M3624" s="252"/>
    </row>
    <row r="3625" spans="13:13">
      <c r="M3625" s="252"/>
    </row>
    <row r="3626" spans="13:13">
      <c r="M3626" s="252"/>
    </row>
    <row r="3627" spans="13:13">
      <c r="M3627" s="252"/>
    </row>
    <row r="3628" spans="13:13">
      <c r="M3628" s="252"/>
    </row>
    <row r="3629" spans="13:13">
      <c r="M3629" s="252"/>
    </row>
    <row r="3630" spans="13:13">
      <c r="M3630" s="252"/>
    </row>
    <row r="3631" spans="13:13">
      <c r="M3631" s="252"/>
    </row>
    <row r="3632" spans="13:13">
      <c r="M3632" s="252"/>
    </row>
    <row r="3633" spans="13:13">
      <c r="M3633" s="252"/>
    </row>
    <row r="3634" spans="13:13">
      <c r="M3634" s="252"/>
    </row>
    <row r="3635" spans="13:13">
      <c r="M3635" s="252"/>
    </row>
    <row r="3636" spans="13:13">
      <c r="M3636" s="252"/>
    </row>
    <row r="3637" spans="13:13">
      <c r="M3637" s="252"/>
    </row>
    <row r="3638" spans="13:13">
      <c r="M3638" s="252"/>
    </row>
    <row r="3639" spans="13:13">
      <c r="M3639" s="252"/>
    </row>
    <row r="3640" spans="13:13">
      <c r="M3640" s="252"/>
    </row>
    <row r="3641" spans="13:13">
      <c r="M3641" s="252"/>
    </row>
    <row r="3642" spans="13:13">
      <c r="M3642" s="252"/>
    </row>
    <row r="3643" spans="13:13">
      <c r="M3643" s="252"/>
    </row>
    <row r="3644" spans="13:13">
      <c r="M3644" s="252"/>
    </row>
    <row r="3645" spans="13:13">
      <c r="M3645" s="252"/>
    </row>
    <row r="3646" spans="13:13">
      <c r="M3646" s="252"/>
    </row>
    <row r="3647" spans="13:13">
      <c r="M3647" s="252"/>
    </row>
    <row r="3648" spans="13:13">
      <c r="M3648" s="252"/>
    </row>
    <row r="3649" spans="13:13">
      <c r="M3649" s="252"/>
    </row>
    <row r="3650" spans="13:13">
      <c r="M3650" s="252"/>
    </row>
    <row r="3651" spans="13:13">
      <c r="M3651" s="252"/>
    </row>
    <row r="3652" spans="13:13">
      <c r="M3652" s="252"/>
    </row>
    <row r="3653" spans="13:13">
      <c r="M3653" s="252"/>
    </row>
    <row r="3654" spans="13:13">
      <c r="M3654" s="252"/>
    </row>
    <row r="3655" spans="13:13">
      <c r="M3655" s="252"/>
    </row>
    <row r="3656" spans="13:13">
      <c r="M3656" s="252"/>
    </row>
    <row r="3657" spans="13:13">
      <c r="M3657" s="252"/>
    </row>
    <row r="3658" spans="13:13">
      <c r="M3658" s="252"/>
    </row>
    <row r="3659" spans="13:13">
      <c r="M3659" s="252"/>
    </row>
    <row r="3660" spans="13:13">
      <c r="M3660" s="252"/>
    </row>
    <row r="3661" spans="13:13">
      <c r="M3661" s="252"/>
    </row>
    <row r="3662" spans="13:13">
      <c r="M3662" s="252"/>
    </row>
    <row r="3663" spans="13:13">
      <c r="M3663" s="252"/>
    </row>
    <row r="3664" spans="13:13">
      <c r="M3664" s="252"/>
    </row>
    <row r="3665" spans="13:13">
      <c r="M3665" s="252"/>
    </row>
    <row r="3666" spans="13:13">
      <c r="M3666" s="252"/>
    </row>
    <row r="3667" spans="13:13">
      <c r="M3667" s="252"/>
    </row>
    <row r="3668" spans="13:13">
      <c r="M3668" s="252"/>
    </row>
    <row r="3669" spans="13:13">
      <c r="M3669" s="252"/>
    </row>
    <row r="3670" spans="13:13">
      <c r="M3670" s="252"/>
    </row>
    <row r="3671" spans="13:13">
      <c r="M3671" s="252"/>
    </row>
    <row r="3672" spans="13:13">
      <c r="M3672" s="252"/>
    </row>
    <row r="3673" spans="13:13">
      <c r="M3673" s="252"/>
    </row>
    <row r="3674" spans="13:13">
      <c r="M3674" s="252"/>
    </row>
    <row r="3675" spans="13:13">
      <c r="M3675" s="252"/>
    </row>
    <row r="3676" spans="13:13">
      <c r="M3676" s="252"/>
    </row>
    <row r="3677" spans="13:13">
      <c r="M3677" s="252"/>
    </row>
    <row r="3678" spans="13:13">
      <c r="M3678" s="252"/>
    </row>
    <row r="3679" spans="13:13">
      <c r="M3679" s="252"/>
    </row>
    <row r="3680" spans="13:13">
      <c r="M3680" s="252"/>
    </row>
    <row r="3681" spans="13:13">
      <c r="M3681" s="252"/>
    </row>
    <row r="3682" spans="13:13">
      <c r="M3682" s="252"/>
    </row>
    <row r="3683" spans="13:13">
      <c r="M3683" s="252"/>
    </row>
    <row r="3684" spans="13:13">
      <c r="M3684" s="252"/>
    </row>
    <row r="3685" spans="13:13">
      <c r="M3685" s="252"/>
    </row>
    <row r="3686" spans="13:13">
      <c r="M3686" s="252"/>
    </row>
    <row r="3687" spans="13:13">
      <c r="M3687" s="252"/>
    </row>
    <row r="3688" spans="13:13">
      <c r="M3688" s="252"/>
    </row>
    <row r="3689" spans="13:13">
      <c r="M3689" s="252"/>
    </row>
    <row r="3690" spans="13:13">
      <c r="M3690" s="252"/>
    </row>
    <row r="3691" spans="13:13">
      <c r="M3691" s="252"/>
    </row>
    <row r="3692" spans="13:13">
      <c r="M3692" s="252"/>
    </row>
    <row r="3693" spans="13:13">
      <c r="M3693" s="252"/>
    </row>
    <row r="3694" spans="13:13">
      <c r="M3694" s="252"/>
    </row>
    <row r="3695" spans="13:13">
      <c r="M3695" s="252"/>
    </row>
    <row r="3696" spans="13:13">
      <c r="M3696" s="252"/>
    </row>
    <row r="3697" spans="13:13">
      <c r="M3697" s="252"/>
    </row>
    <row r="3698" spans="13:13">
      <c r="M3698" s="252"/>
    </row>
    <row r="3699" spans="13:13">
      <c r="M3699" s="252"/>
    </row>
    <row r="3700" spans="13:13">
      <c r="M3700" s="252"/>
    </row>
    <row r="3701" spans="13:13">
      <c r="M3701" s="252"/>
    </row>
    <row r="3702" spans="13:13">
      <c r="M3702" s="252"/>
    </row>
    <row r="3703" spans="13:13">
      <c r="M3703" s="252"/>
    </row>
    <row r="3704" spans="13:13">
      <c r="M3704" s="252"/>
    </row>
    <row r="3705" spans="13:13">
      <c r="M3705" s="252"/>
    </row>
    <row r="3706" spans="13:13">
      <c r="M3706" s="252"/>
    </row>
    <row r="3707" spans="13:13">
      <c r="M3707" s="252"/>
    </row>
    <row r="3708" spans="13:13">
      <c r="M3708" s="252"/>
    </row>
    <row r="3709" spans="13:13">
      <c r="M3709" s="252"/>
    </row>
    <row r="3710" spans="13:13">
      <c r="M3710" s="252"/>
    </row>
    <row r="3711" spans="13:13">
      <c r="M3711" s="252"/>
    </row>
    <row r="3712" spans="13:13">
      <c r="M3712" s="252"/>
    </row>
    <row r="3713" spans="13:13">
      <c r="M3713" s="252"/>
    </row>
    <row r="3714" spans="13:13">
      <c r="M3714" s="252"/>
    </row>
    <row r="3715" spans="13:13">
      <c r="M3715" s="252"/>
    </row>
    <row r="3716" spans="13:13">
      <c r="M3716" s="252"/>
    </row>
    <row r="3717" spans="13:13">
      <c r="M3717" s="252"/>
    </row>
    <row r="3718" spans="13:13">
      <c r="M3718" s="252"/>
    </row>
    <row r="3719" spans="13:13">
      <c r="M3719" s="252"/>
    </row>
    <row r="3720" spans="13:13">
      <c r="M3720" s="252"/>
    </row>
    <row r="3721" spans="13:13">
      <c r="M3721" s="252"/>
    </row>
    <row r="3722" spans="13:13">
      <c r="M3722" s="252"/>
    </row>
    <row r="3723" spans="13:13">
      <c r="M3723" s="252"/>
    </row>
    <row r="3724" spans="13:13">
      <c r="M3724" s="252"/>
    </row>
    <row r="3725" spans="13:13">
      <c r="M3725" s="252"/>
    </row>
    <row r="3726" spans="13:13">
      <c r="M3726" s="252"/>
    </row>
    <row r="3727" spans="13:13">
      <c r="M3727" s="252"/>
    </row>
    <row r="3728" spans="13:13">
      <c r="M3728" s="252"/>
    </row>
    <row r="3729" spans="13:13">
      <c r="M3729" s="252"/>
    </row>
    <row r="3730" spans="13:13">
      <c r="M3730" s="252"/>
    </row>
    <row r="3731" spans="13:13">
      <c r="M3731" s="252"/>
    </row>
    <row r="3732" spans="13:13">
      <c r="M3732" s="252"/>
    </row>
    <row r="3733" spans="13:13">
      <c r="M3733" s="252"/>
    </row>
    <row r="3734" spans="13:13">
      <c r="M3734" s="252"/>
    </row>
    <row r="3735" spans="13:13">
      <c r="M3735" s="252"/>
    </row>
    <row r="3736" spans="13:13">
      <c r="M3736" s="252"/>
    </row>
    <row r="3737" spans="13:13">
      <c r="M3737" s="252"/>
    </row>
    <row r="3738" spans="13:13">
      <c r="M3738" s="252"/>
    </row>
    <row r="3739" spans="13:13">
      <c r="M3739" s="252"/>
    </row>
    <row r="3740" spans="13:13">
      <c r="M3740" s="252"/>
    </row>
    <row r="3741" spans="13:13">
      <c r="M3741" s="252"/>
    </row>
    <row r="3742" spans="13:13">
      <c r="M3742" s="252"/>
    </row>
    <row r="3743" spans="13:13">
      <c r="M3743" s="252"/>
    </row>
    <row r="3744" spans="13:13">
      <c r="M3744" s="252"/>
    </row>
    <row r="3745" spans="13:13">
      <c r="M3745" s="252"/>
    </row>
    <row r="3746" spans="13:13">
      <c r="M3746" s="252"/>
    </row>
    <row r="3747" spans="13:13">
      <c r="M3747" s="252"/>
    </row>
    <row r="3748" spans="13:13">
      <c r="M3748" s="252"/>
    </row>
    <row r="3749" spans="13:13">
      <c r="M3749" s="252"/>
    </row>
    <row r="3750" spans="13:13">
      <c r="M3750" s="252"/>
    </row>
    <row r="3751" spans="13:13">
      <c r="M3751" s="252"/>
    </row>
    <row r="3752" spans="13:13">
      <c r="M3752" s="252"/>
    </row>
    <row r="3753" spans="13:13">
      <c r="M3753" s="252"/>
    </row>
    <row r="3754" spans="13:13">
      <c r="M3754" s="252"/>
    </row>
    <row r="3755" spans="13:13">
      <c r="M3755" s="252"/>
    </row>
    <row r="3756" spans="13:13">
      <c r="M3756" s="252"/>
    </row>
    <row r="3757" spans="13:13">
      <c r="M3757" s="252"/>
    </row>
    <row r="3758" spans="13:13">
      <c r="M3758" s="252"/>
    </row>
    <row r="3759" spans="13:13">
      <c r="M3759" s="252"/>
    </row>
    <row r="3760" spans="13:13">
      <c r="M3760" s="252"/>
    </row>
    <row r="3761" spans="13:13">
      <c r="M3761" s="252"/>
    </row>
    <row r="3762" spans="13:13">
      <c r="M3762" s="252"/>
    </row>
    <row r="3763" spans="13:13">
      <c r="M3763" s="252"/>
    </row>
    <row r="3764" spans="13:13">
      <c r="M3764" s="252"/>
    </row>
    <row r="3765" spans="13:13">
      <c r="M3765" s="252"/>
    </row>
    <row r="3766" spans="13:13">
      <c r="M3766" s="252"/>
    </row>
    <row r="3767" spans="13:13">
      <c r="M3767" s="252"/>
    </row>
    <row r="3768" spans="13:13">
      <c r="M3768" s="252"/>
    </row>
    <row r="3769" spans="13:13">
      <c r="M3769" s="252"/>
    </row>
    <row r="3770" spans="13:13">
      <c r="M3770" s="252"/>
    </row>
    <row r="3771" spans="13:13">
      <c r="M3771" s="252"/>
    </row>
    <row r="3772" spans="13:13">
      <c r="M3772" s="252"/>
    </row>
    <row r="3773" spans="13:13">
      <c r="M3773" s="252"/>
    </row>
    <row r="3774" spans="13:13">
      <c r="M3774" s="252"/>
    </row>
    <row r="3775" spans="13:13">
      <c r="M3775" s="252"/>
    </row>
    <row r="3776" spans="13:13">
      <c r="M3776" s="252"/>
    </row>
    <row r="3777" spans="13:13">
      <c r="M3777" s="252"/>
    </row>
    <row r="3778" spans="13:13">
      <c r="M3778" s="252"/>
    </row>
    <row r="3779" spans="13:13">
      <c r="M3779" s="252"/>
    </row>
    <row r="3780" spans="13:13">
      <c r="M3780" s="252"/>
    </row>
    <row r="3781" spans="13:13">
      <c r="M3781" s="252"/>
    </row>
    <row r="3782" spans="13:13">
      <c r="M3782" s="252"/>
    </row>
    <row r="3783" spans="13:13">
      <c r="M3783" s="252"/>
    </row>
    <row r="3784" spans="13:13">
      <c r="M3784" s="252"/>
    </row>
    <row r="3785" spans="13:13">
      <c r="M3785" s="252"/>
    </row>
    <row r="3786" spans="13:13">
      <c r="M3786" s="252"/>
    </row>
    <row r="3787" spans="13:13">
      <c r="M3787" s="252"/>
    </row>
    <row r="3788" spans="13:13">
      <c r="M3788" s="252"/>
    </row>
    <row r="3789" spans="13:13">
      <c r="M3789" s="252"/>
    </row>
    <row r="3790" spans="13:13">
      <c r="M3790" s="252"/>
    </row>
    <row r="3791" spans="13:13">
      <c r="M3791" s="252"/>
    </row>
    <row r="3792" spans="13:13">
      <c r="M3792" s="252"/>
    </row>
    <row r="3793" spans="13:13">
      <c r="M3793" s="252"/>
    </row>
    <row r="3794" spans="13:13">
      <c r="M3794" s="252"/>
    </row>
    <row r="3795" spans="13:13">
      <c r="M3795" s="252"/>
    </row>
    <row r="3796" spans="13:13">
      <c r="M3796" s="252"/>
    </row>
    <row r="3797" spans="13:13">
      <c r="M3797" s="252"/>
    </row>
    <row r="3798" spans="13:13">
      <c r="M3798" s="252"/>
    </row>
    <row r="3799" spans="13:13">
      <c r="M3799" s="252"/>
    </row>
    <row r="3800" spans="13:13">
      <c r="M3800" s="252"/>
    </row>
    <row r="3801" spans="13:13">
      <c r="M3801" s="252"/>
    </row>
    <row r="3802" spans="13:13">
      <c r="M3802" s="252"/>
    </row>
    <row r="3803" spans="13:13">
      <c r="M3803" s="252"/>
    </row>
    <row r="3804" spans="13:13">
      <c r="M3804" s="252"/>
    </row>
    <row r="3805" spans="13:13">
      <c r="M3805" s="252"/>
    </row>
    <row r="3806" spans="13:13">
      <c r="M3806" s="252"/>
    </row>
    <row r="3807" spans="13:13">
      <c r="M3807" s="252"/>
    </row>
    <row r="3808" spans="13:13">
      <c r="M3808" s="252"/>
    </row>
    <row r="3809" spans="13:13">
      <c r="M3809" s="252"/>
    </row>
    <row r="3810" spans="13:13">
      <c r="M3810" s="252"/>
    </row>
    <row r="3811" spans="13:13">
      <c r="M3811" s="252"/>
    </row>
    <row r="3812" spans="13:13">
      <c r="M3812" s="252"/>
    </row>
    <row r="3813" spans="13:13">
      <c r="M3813" s="252"/>
    </row>
    <row r="3814" spans="13:13">
      <c r="M3814" s="252"/>
    </row>
    <row r="3815" spans="13:13">
      <c r="M3815" s="252"/>
    </row>
    <row r="3816" spans="13:13">
      <c r="M3816" s="252"/>
    </row>
    <row r="3817" spans="13:13">
      <c r="M3817" s="252"/>
    </row>
    <row r="3818" spans="13:13">
      <c r="M3818" s="252"/>
    </row>
    <row r="3819" spans="13:13">
      <c r="M3819" s="252"/>
    </row>
    <row r="3820" spans="13:13">
      <c r="M3820" s="252"/>
    </row>
    <row r="3821" spans="13:13">
      <c r="M3821" s="252"/>
    </row>
    <row r="3822" spans="13:13">
      <c r="M3822" s="252"/>
    </row>
    <row r="3823" spans="13:13">
      <c r="M3823" s="252"/>
    </row>
    <row r="3824" spans="13:13">
      <c r="M3824" s="252"/>
    </row>
    <row r="3825" spans="13:13">
      <c r="M3825" s="252"/>
    </row>
    <row r="3826" spans="13:13">
      <c r="M3826" s="252"/>
    </row>
    <row r="3827" spans="13:13">
      <c r="M3827" s="252"/>
    </row>
    <row r="3828" spans="13:13">
      <c r="M3828" s="252"/>
    </row>
    <row r="3829" spans="13:13">
      <c r="M3829" s="252"/>
    </row>
    <row r="3830" spans="13:13">
      <c r="M3830" s="252"/>
    </row>
    <row r="3831" spans="13:13">
      <c r="M3831" s="252"/>
    </row>
    <row r="3832" spans="13:13">
      <c r="M3832" s="252"/>
    </row>
    <row r="3833" spans="13:13">
      <c r="M3833" s="252"/>
    </row>
    <row r="3834" spans="13:13">
      <c r="M3834" s="252"/>
    </row>
    <row r="3835" spans="13:13">
      <c r="M3835" s="252"/>
    </row>
    <row r="3836" spans="13:13">
      <c r="M3836" s="252"/>
    </row>
    <row r="3837" spans="13:13">
      <c r="M3837" s="252"/>
    </row>
    <row r="3838" spans="13:13">
      <c r="M3838" s="252"/>
    </row>
    <row r="3839" spans="13:13">
      <c r="M3839" s="252"/>
    </row>
    <row r="3840" spans="13:13">
      <c r="M3840" s="252"/>
    </row>
    <row r="3841" spans="13:13">
      <c r="M3841" s="252"/>
    </row>
    <row r="3842" spans="13:13">
      <c r="M3842" s="252"/>
    </row>
    <row r="3843" spans="13:13">
      <c r="M3843" s="252"/>
    </row>
    <row r="3844" spans="13:13">
      <c r="M3844" s="252"/>
    </row>
    <row r="3845" spans="13:13">
      <c r="M3845" s="252"/>
    </row>
    <row r="3846" spans="13:13">
      <c r="M3846" s="252"/>
    </row>
    <row r="3847" spans="13:13">
      <c r="M3847" s="252"/>
    </row>
    <row r="3848" spans="13:13">
      <c r="M3848" s="252"/>
    </row>
    <row r="3849" spans="13:13">
      <c r="M3849" s="252"/>
    </row>
    <row r="3850" spans="13:13">
      <c r="M3850" s="252"/>
    </row>
    <row r="3851" spans="13:13">
      <c r="M3851" s="252"/>
    </row>
    <row r="3852" spans="13:13">
      <c r="M3852" s="252"/>
    </row>
    <row r="3853" spans="13:13">
      <c r="M3853" s="252"/>
    </row>
    <row r="3854" spans="13:13">
      <c r="M3854" s="252"/>
    </row>
    <row r="3855" spans="13:13">
      <c r="M3855" s="252"/>
    </row>
    <row r="3856" spans="13:13">
      <c r="M3856" s="252"/>
    </row>
    <row r="3857" spans="13:13">
      <c r="M3857" s="252"/>
    </row>
    <row r="3858" spans="13:13">
      <c r="M3858" s="252"/>
    </row>
    <row r="3859" spans="13:13">
      <c r="M3859" s="252"/>
    </row>
    <row r="3860" spans="13:13">
      <c r="M3860" s="252"/>
    </row>
    <row r="3861" spans="13:13">
      <c r="M3861" s="252"/>
    </row>
    <row r="3862" spans="13:13">
      <c r="M3862" s="252"/>
    </row>
    <row r="3863" spans="13:13">
      <c r="M3863" s="252"/>
    </row>
    <row r="3864" spans="13:13">
      <c r="M3864" s="252"/>
    </row>
    <row r="3865" spans="13:13">
      <c r="M3865" s="252"/>
    </row>
    <row r="3866" spans="13:13">
      <c r="M3866" s="252"/>
    </row>
    <row r="3867" spans="13:13">
      <c r="M3867" s="252"/>
    </row>
    <row r="3868" spans="13:13">
      <c r="M3868" s="252"/>
    </row>
    <row r="3869" spans="13:13">
      <c r="M3869" s="252"/>
    </row>
    <row r="3870" spans="13:13">
      <c r="M3870" s="252"/>
    </row>
    <row r="3871" spans="13:13">
      <c r="M3871" s="252"/>
    </row>
    <row r="3872" spans="13:13">
      <c r="M3872" s="252"/>
    </row>
    <row r="3873" spans="13:13">
      <c r="M3873" s="252"/>
    </row>
    <row r="3874" spans="13:13">
      <c r="M3874" s="252"/>
    </row>
    <row r="3875" spans="13:13">
      <c r="M3875" s="252"/>
    </row>
    <row r="3876" spans="13:13">
      <c r="M3876" s="252"/>
    </row>
    <row r="3877" spans="13:13">
      <c r="M3877" s="252"/>
    </row>
    <row r="3878" spans="13:13">
      <c r="M3878" s="252"/>
    </row>
    <row r="3879" spans="13:13">
      <c r="M3879" s="252"/>
    </row>
    <row r="3880" spans="13:13">
      <c r="M3880" s="252"/>
    </row>
    <row r="3881" spans="13:13">
      <c r="M3881" s="252"/>
    </row>
    <row r="3882" spans="13:13">
      <c r="M3882" s="252"/>
    </row>
    <row r="3883" spans="13:13">
      <c r="M3883" s="252"/>
    </row>
    <row r="3884" spans="13:13">
      <c r="M3884" s="252"/>
    </row>
    <row r="3885" spans="13:13">
      <c r="M3885" s="252"/>
    </row>
    <row r="3886" spans="13:13">
      <c r="M3886" s="252"/>
    </row>
    <row r="3887" spans="13:13">
      <c r="M3887" s="252"/>
    </row>
    <row r="3888" spans="13:13">
      <c r="M3888" s="252"/>
    </row>
    <row r="3889" spans="13:13">
      <c r="M3889" s="252"/>
    </row>
    <row r="3890" spans="13:13">
      <c r="M3890" s="252"/>
    </row>
    <row r="3891" spans="13:13">
      <c r="M3891" s="252"/>
    </row>
    <row r="3892" spans="13:13">
      <c r="M3892" s="252"/>
    </row>
    <row r="3893" spans="13:13">
      <c r="M3893" s="252"/>
    </row>
    <row r="3894" spans="13:13">
      <c r="M3894" s="252"/>
    </row>
    <row r="3895" spans="13:13">
      <c r="M3895" s="252"/>
    </row>
    <row r="3896" spans="13:13">
      <c r="M3896" s="252"/>
    </row>
    <row r="3897" spans="13:13">
      <c r="M3897" s="252"/>
    </row>
    <row r="3898" spans="13:13">
      <c r="M3898" s="252"/>
    </row>
    <row r="3899" spans="13:13">
      <c r="M3899" s="252"/>
    </row>
    <row r="3900" spans="13:13">
      <c r="M3900" s="252"/>
    </row>
    <row r="3901" spans="13:13">
      <c r="M3901" s="252"/>
    </row>
    <row r="3902" spans="13:13">
      <c r="M3902" s="252"/>
    </row>
    <row r="3903" spans="13:13">
      <c r="M3903" s="252"/>
    </row>
    <row r="3904" spans="13:13">
      <c r="M3904" s="252"/>
    </row>
    <row r="3905" spans="13:13">
      <c r="M3905" s="252"/>
    </row>
    <row r="3906" spans="13:13">
      <c r="M3906" s="252"/>
    </row>
    <row r="3907" spans="13:13">
      <c r="M3907" s="252"/>
    </row>
    <row r="3908" spans="13:13">
      <c r="M3908" s="252"/>
    </row>
    <row r="3909" spans="13:13">
      <c r="M3909" s="252"/>
    </row>
    <row r="3910" spans="13:13">
      <c r="M3910" s="252"/>
    </row>
    <row r="3911" spans="13:13">
      <c r="M3911" s="252"/>
    </row>
    <row r="3912" spans="13:13">
      <c r="M3912" s="252"/>
    </row>
    <row r="3913" spans="13:13">
      <c r="M3913" s="252"/>
    </row>
    <row r="3914" spans="13:13">
      <c r="M3914" s="252"/>
    </row>
    <row r="3915" spans="13:13">
      <c r="M3915" s="252"/>
    </row>
    <row r="3916" spans="13:13">
      <c r="M3916" s="252"/>
    </row>
    <row r="3917" spans="13:13">
      <c r="M3917" s="252"/>
    </row>
    <row r="3918" spans="13:13">
      <c r="M3918" s="252"/>
    </row>
    <row r="3919" spans="13:13">
      <c r="M3919" s="252"/>
    </row>
    <row r="3920" spans="13:13">
      <c r="M3920" s="252"/>
    </row>
    <row r="3921" spans="13:13">
      <c r="M3921" s="252"/>
    </row>
    <row r="3922" spans="13:13">
      <c r="M3922" s="252"/>
    </row>
    <row r="3923" spans="13:13">
      <c r="M3923" s="252"/>
    </row>
    <row r="3924" spans="13:13">
      <c r="M3924" s="252"/>
    </row>
    <row r="3925" spans="13:13">
      <c r="M3925" s="252"/>
    </row>
    <row r="3926" spans="13:13">
      <c r="M3926" s="252"/>
    </row>
    <row r="3927" spans="13:13">
      <c r="M3927" s="252"/>
    </row>
    <row r="3928" spans="13:13">
      <c r="M3928" s="252"/>
    </row>
    <row r="3929" spans="13:13">
      <c r="M3929" s="252"/>
    </row>
    <row r="3930" spans="13:13">
      <c r="M3930" s="252"/>
    </row>
    <row r="3931" spans="13:13">
      <c r="M3931" s="252"/>
    </row>
    <row r="3932" spans="13:13">
      <c r="M3932" s="252"/>
    </row>
    <row r="3933" spans="13:13">
      <c r="M3933" s="252"/>
    </row>
    <row r="3934" spans="13:13">
      <c r="M3934" s="252"/>
    </row>
    <row r="3935" spans="13:13">
      <c r="M3935" s="252"/>
    </row>
    <row r="3936" spans="13:13">
      <c r="M3936" s="252"/>
    </row>
    <row r="3937" spans="13:13">
      <c r="M3937" s="252"/>
    </row>
    <row r="3938" spans="13:13">
      <c r="M3938" s="252"/>
    </row>
    <row r="3939" spans="13:13">
      <c r="M3939" s="252"/>
    </row>
    <row r="3940" spans="13:13">
      <c r="M3940" s="252"/>
    </row>
    <row r="3941" spans="13:13">
      <c r="M3941" s="252"/>
    </row>
    <row r="3942" spans="13:13">
      <c r="M3942" s="252"/>
    </row>
    <row r="3943" spans="13:13">
      <c r="M3943" s="252"/>
    </row>
    <row r="3944" spans="13:13">
      <c r="M3944" s="252"/>
    </row>
    <row r="3945" spans="13:13">
      <c r="M3945" s="252"/>
    </row>
    <row r="3946" spans="13:13">
      <c r="M3946" s="252"/>
    </row>
    <row r="3947" spans="13:13">
      <c r="M3947" s="252"/>
    </row>
    <row r="3948" spans="13:13">
      <c r="M3948" s="252"/>
    </row>
    <row r="3949" spans="13:13">
      <c r="M3949" s="252"/>
    </row>
    <row r="3950" spans="13:13">
      <c r="M3950" s="252"/>
    </row>
    <row r="3951" spans="13:13">
      <c r="M3951" s="252"/>
    </row>
    <row r="3952" spans="13:13">
      <c r="M3952" s="252"/>
    </row>
    <row r="3953" spans="13:13">
      <c r="M3953" s="252"/>
    </row>
    <row r="3954" spans="13:13">
      <c r="M3954" s="252"/>
    </row>
    <row r="3955" spans="13:13">
      <c r="M3955" s="252"/>
    </row>
    <row r="3956" spans="13:13">
      <c r="M3956" s="252"/>
    </row>
    <row r="3957" spans="13:13">
      <c r="M3957" s="252"/>
    </row>
    <row r="3958" spans="13:13">
      <c r="M3958" s="252"/>
    </row>
    <row r="3959" spans="13:13">
      <c r="M3959" s="252"/>
    </row>
    <row r="3960" spans="13:13">
      <c r="M3960" s="252"/>
    </row>
    <row r="3961" spans="13:13">
      <c r="M3961" s="252"/>
    </row>
    <row r="3962" spans="13:13">
      <c r="M3962" s="252"/>
    </row>
    <row r="3963" spans="13:13">
      <c r="M3963" s="252"/>
    </row>
    <row r="3964" spans="13:13">
      <c r="M3964" s="252"/>
    </row>
    <row r="3965" spans="13:13">
      <c r="M3965" s="252"/>
    </row>
    <row r="3966" spans="13:13">
      <c r="M3966" s="252"/>
    </row>
    <row r="3967" spans="13:13">
      <c r="M3967" s="252"/>
    </row>
    <row r="3968" spans="13:13">
      <c r="M3968" s="252"/>
    </row>
    <row r="3969" spans="13:13">
      <c r="M3969" s="252"/>
    </row>
    <row r="3970" spans="13:13">
      <c r="M3970" s="252"/>
    </row>
    <row r="3971" spans="13:13">
      <c r="M3971" s="252"/>
    </row>
    <row r="3972" spans="13:13">
      <c r="M3972" s="252"/>
    </row>
    <row r="3973" spans="13:13">
      <c r="M3973" s="252"/>
    </row>
    <row r="3974" spans="13:13">
      <c r="M3974" s="252"/>
    </row>
    <row r="3975" spans="13:13">
      <c r="M3975" s="252"/>
    </row>
    <row r="3976" spans="13:13">
      <c r="M3976" s="252"/>
    </row>
    <row r="3977" spans="13:13">
      <c r="M3977" s="252"/>
    </row>
    <row r="3978" spans="13:13">
      <c r="M3978" s="252"/>
    </row>
    <row r="3979" spans="13:13">
      <c r="M3979" s="252"/>
    </row>
    <row r="3980" spans="13:13">
      <c r="M3980" s="252"/>
    </row>
    <row r="3981" spans="13:13">
      <c r="M3981" s="252"/>
    </row>
    <row r="3982" spans="13:13">
      <c r="M3982" s="252"/>
    </row>
    <row r="3983" spans="13:13">
      <c r="M3983" s="252"/>
    </row>
    <row r="3984" spans="13:13">
      <c r="M3984" s="252"/>
    </row>
    <row r="3985" spans="13:13">
      <c r="M3985" s="252"/>
    </row>
    <row r="3986" spans="13:13">
      <c r="M3986" s="252"/>
    </row>
    <row r="3987" spans="13:13">
      <c r="M3987" s="252"/>
    </row>
    <row r="3988" spans="13:13">
      <c r="M3988" s="252"/>
    </row>
    <row r="3989" spans="13:13">
      <c r="M3989" s="252"/>
    </row>
    <row r="3990" spans="13:13">
      <c r="M3990" s="252"/>
    </row>
    <row r="3991" spans="13:13">
      <c r="M3991" s="252"/>
    </row>
    <row r="3992" spans="13:13">
      <c r="M3992" s="252"/>
    </row>
    <row r="3993" spans="13:13">
      <c r="M3993" s="252"/>
    </row>
    <row r="3994" spans="13:13">
      <c r="M3994" s="252"/>
    </row>
    <row r="3995" spans="13:13">
      <c r="M3995" s="252"/>
    </row>
    <row r="3996" spans="13:13">
      <c r="M3996" s="252"/>
    </row>
    <row r="3997" spans="13:13">
      <c r="M3997" s="252"/>
    </row>
    <row r="3998" spans="13:13">
      <c r="M3998" s="252"/>
    </row>
    <row r="3999" spans="13:13">
      <c r="M3999" s="252"/>
    </row>
    <row r="4000" spans="13:13">
      <c r="M4000" s="252"/>
    </row>
    <row r="4001" spans="13:13">
      <c r="M4001" s="252"/>
    </row>
    <row r="4002" spans="13:13">
      <c r="M4002" s="252"/>
    </row>
    <row r="4003" spans="13:13">
      <c r="M4003" s="252"/>
    </row>
    <row r="4004" spans="13:13">
      <c r="M4004" s="252"/>
    </row>
    <row r="4005" spans="13:13">
      <c r="M4005" s="252"/>
    </row>
    <row r="4006" spans="13:13">
      <c r="M4006" s="252"/>
    </row>
    <row r="4007" spans="13:13">
      <c r="M4007" s="252"/>
    </row>
    <row r="4008" spans="13:13">
      <c r="M4008" s="252"/>
    </row>
    <row r="4009" spans="13:13">
      <c r="M4009" s="252"/>
    </row>
    <row r="4010" spans="13:13">
      <c r="M4010" s="252"/>
    </row>
    <row r="4011" spans="13:13">
      <c r="M4011" s="252"/>
    </row>
    <row r="4012" spans="13:13">
      <c r="M4012" s="252"/>
    </row>
    <row r="4013" spans="13:13">
      <c r="M4013" s="252"/>
    </row>
    <row r="4014" spans="13:13">
      <c r="M4014" s="252"/>
    </row>
    <row r="4015" spans="13:13">
      <c r="M4015" s="252"/>
    </row>
    <row r="4016" spans="13:13">
      <c r="M4016" s="252"/>
    </row>
    <row r="4017" spans="13:13">
      <c r="M4017" s="252"/>
    </row>
    <row r="4018" spans="13:13">
      <c r="M4018" s="252"/>
    </row>
    <row r="4019" spans="13:13">
      <c r="M4019" s="252"/>
    </row>
    <row r="4020" spans="13:13">
      <c r="M4020" s="252"/>
    </row>
    <row r="4021" spans="13:13">
      <c r="M4021" s="252"/>
    </row>
    <row r="4022" spans="13:13">
      <c r="M4022" s="252"/>
    </row>
    <row r="4023" spans="13:13">
      <c r="M4023" s="252"/>
    </row>
    <row r="4024" spans="13:13">
      <c r="M4024" s="252"/>
    </row>
    <row r="4025" spans="13:13">
      <c r="M4025" s="252"/>
    </row>
    <row r="4026" spans="13:13">
      <c r="M4026" s="252"/>
    </row>
    <row r="4027" spans="13:13">
      <c r="M4027" s="252"/>
    </row>
    <row r="4028" spans="13:13">
      <c r="M4028" s="252"/>
    </row>
    <row r="4029" spans="13:13">
      <c r="M4029" s="252"/>
    </row>
    <row r="4030" spans="13:13">
      <c r="M4030" s="252"/>
    </row>
    <row r="4031" spans="13:13">
      <c r="M4031" s="252"/>
    </row>
    <row r="4032" spans="13:13">
      <c r="M4032" s="252"/>
    </row>
    <row r="4033" spans="13:13">
      <c r="M4033" s="252"/>
    </row>
    <row r="4034" spans="13:13">
      <c r="M4034" s="252"/>
    </row>
    <row r="4035" spans="13:13">
      <c r="M4035" s="252"/>
    </row>
    <row r="4036" spans="13:13">
      <c r="M4036" s="252"/>
    </row>
    <row r="4037" spans="13:13">
      <c r="M4037" s="252"/>
    </row>
    <row r="4038" spans="13:13">
      <c r="M4038" s="252"/>
    </row>
    <row r="4039" spans="13:13">
      <c r="M4039" s="252"/>
    </row>
    <row r="4040" spans="13:13">
      <c r="M4040" s="252"/>
    </row>
    <row r="4041" spans="13:13">
      <c r="M4041" s="252"/>
    </row>
    <row r="4042" spans="13:13">
      <c r="M4042" s="252"/>
    </row>
    <row r="4043" spans="13:13">
      <c r="M4043" s="252"/>
    </row>
    <row r="4044" spans="13:13">
      <c r="M4044" s="252"/>
    </row>
    <row r="4045" spans="13:13">
      <c r="M4045" s="252"/>
    </row>
    <row r="4046" spans="13:13">
      <c r="M4046" s="252"/>
    </row>
    <row r="4047" spans="13:13">
      <c r="M4047" s="252"/>
    </row>
    <row r="4048" spans="13:13">
      <c r="M4048" s="252"/>
    </row>
    <row r="4049" spans="13:13">
      <c r="M4049" s="252"/>
    </row>
    <row r="4050" spans="13:13">
      <c r="M4050" s="252"/>
    </row>
    <row r="4051" spans="13:13">
      <c r="M4051" s="252"/>
    </row>
    <row r="4052" spans="13:13">
      <c r="M4052" s="252"/>
    </row>
    <row r="4053" spans="13:13">
      <c r="M4053" s="252"/>
    </row>
    <row r="4054" spans="13:13">
      <c r="M4054" s="252"/>
    </row>
    <row r="4055" spans="13:13">
      <c r="M4055" s="252"/>
    </row>
    <row r="4056" spans="13:13">
      <c r="M4056" s="252"/>
    </row>
    <row r="4057" spans="13:13">
      <c r="M4057" s="252"/>
    </row>
    <row r="4058" spans="13:13">
      <c r="M4058" s="252"/>
    </row>
    <row r="4059" spans="13:13">
      <c r="M4059" s="252"/>
    </row>
    <row r="4060" spans="13:13">
      <c r="M4060" s="252"/>
    </row>
    <row r="4061" spans="13:13">
      <c r="M4061" s="252"/>
    </row>
    <row r="4062" spans="13:13">
      <c r="M4062" s="252"/>
    </row>
    <row r="4063" spans="13:13">
      <c r="M4063" s="252"/>
    </row>
    <row r="4064" spans="13:13">
      <c r="M4064" s="252"/>
    </row>
    <row r="4065" spans="13:13">
      <c r="M4065" s="252"/>
    </row>
    <row r="4066" spans="13:13">
      <c r="M4066" s="252"/>
    </row>
    <row r="4067" spans="13:13">
      <c r="M4067" s="252"/>
    </row>
    <row r="4068" spans="13:13">
      <c r="M4068" s="252"/>
    </row>
    <row r="4069" spans="13:13">
      <c r="M4069" s="252"/>
    </row>
    <row r="4070" spans="13:13">
      <c r="M4070" s="252"/>
    </row>
    <row r="4071" spans="13:13">
      <c r="M4071" s="252"/>
    </row>
    <row r="4072" spans="13:13">
      <c r="M4072" s="252"/>
    </row>
    <row r="4073" spans="13:13">
      <c r="M4073" s="252"/>
    </row>
    <row r="4074" spans="13:13">
      <c r="M4074" s="252"/>
    </row>
    <row r="4075" spans="13:13">
      <c r="M4075" s="252"/>
    </row>
    <row r="4076" spans="13:13">
      <c r="M4076" s="252"/>
    </row>
    <row r="4077" spans="13:13">
      <c r="M4077" s="252"/>
    </row>
    <row r="4078" spans="13:13">
      <c r="M4078" s="252"/>
    </row>
    <row r="4079" spans="13:13">
      <c r="M4079" s="252"/>
    </row>
    <row r="4080" spans="13:13">
      <c r="M4080" s="252"/>
    </row>
    <row r="4081" spans="13:13">
      <c r="M4081" s="252"/>
    </row>
    <row r="4082" spans="13:13">
      <c r="M4082" s="252"/>
    </row>
    <row r="4083" spans="13:13">
      <c r="M4083" s="252"/>
    </row>
    <row r="4084" spans="13:13">
      <c r="M4084" s="252"/>
    </row>
    <row r="4085" spans="13:13">
      <c r="M4085" s="252"/>
    </row>
    <row r="4086" spans="13:13">
      <c r="M4086" s="252"/>
    </row>
    <row r="4087" spans="13:13">
      <c r="M4087" s="252"/>
    </row>
    <row r="4088" spans="13:13">
      <c r="M4088" s="252"/>
    </row>
    <row r="4089" spans="13:13">
      <c r="M4089" s="252"/>
    </row>
    <row r="4090" spans="13:13">
      <c r="M4090" s="252"/>
    </row>
    <row r="4091" spans="13:13">
      <c r="M4091" s="252"/>
    </row>
    <row r="4092" spans="13:13">
      <c r="M4092" s="252"/>
    </row>
    <row r="4093" spans="13:13">
      <c r="M4093" s="252"/>
    </row>
    <row r="4094" spans="13:13">
      <c r="M4094" s="252"/>
    </row>
    <row r="4095" spans="13:13">
      <c r="M4095" s="252"/>
    </row>
    <row r="4096" spans="13:13">
      <c r="M4096" s="252"/>
    </row>
    <row r="4097" spans="13:13">
      <c r="M4097" s="252"/>
    </row>
    <row r="4098" spans="13:13">
      <c r="M4098" s="252"/>
    </row>
    <row r="4099" spans="13:13">
      <c r="M4099" s="252"/>
    </row>
    <row r="4100" spans="13:13">
      <c r="M4100" s="252"/>
    </row>
    <row r="4101" spans="13:13">
      <c r="M4101" s="252"/>
    </row>
    <row r="4102" spans="13:13">
      <c r="M4102" s="252"/>
    </row>
    <row r="4103" spans="13:13">
      <c r="M4103" s="252"/>
    </row>
    <row r="4104" spans="13:13">
      <c r="M4104" s="252"/>
    </row>
    <row r="4105" spans="13:13">
      <c r="M4105" s="252"/>
    </row>
    <row r="4106" spans="13:13">
      <c r="M4106" s="252"/>
    </row>
    <row r="4107" spans="13:13">
      <c r="M4107" s="252"/>
    </row>
    <row r="4108" spans="13:13">
      <c r="M4108" s="252"/>
    </row>
    <row r="4109" spans="13:13">
      <c r="M4109" s="252"/>
    </row>
    <row r="4110" spans="13:13">
      <c r="M4110" s="252"/>
    </row>
    <row r="4111" spans="13:13">
      <c r="M4111" s="252"/>
    </row>
    <row r="4112" spans="13:13">
      <c r="M4112" s="252"/>
    </row>
    <row r="4113" spans="13:13">
      <c r="M4113" s="252"/>
    </row>
    <row r="4114" spans="13:13">
      <c r="M4114" s="252"/>
    </row>
    <row r="4115" spans="13:13">
      <c r="M4115" s="252"/>
    </row>
    <row r="4116" spans="13:13">
      <c r="M4116" s="252"/>
    </row>
    <row r="4117" spans="13:13">
      <c r="M4117" s="252"/>
    </row>
    <row r="4118" spans="13:13">
      <c r="M4118" s="252"/>
    </row>
    <row r="4119" spans="13:13">
      <c r="M4119" s="252"/>
    </row>
    <row r="4120" spans="13:13">
      <c r="M4120" s="252"/>
    </row>
    <row r="4121" spans="13:13">
      <c r="M4121" s="252"/>
    </row>
    <row r="4122" spans="13:13">
      <c r="M4122" s="252"/>
    </row>
    <row r="4123" spans="13:13">
      <c r="M4123" s="252"/>
    </row>
    <row r="4124" spans="13:13">
      <c r="M4124" s="252"/>
    </row>
    <row r="4125" spans="13:13">
      <c r="M4125" s="252"/>
    </row>
    <row r="4126" spans="13:13">
      <c r="M4126" s="252"/>
    </row>
    <row r="4127" spans="13:13">
      <c r="M4127" s="252"/>
    </row>
    <row r="4128" spans="13:13">
      <c r="M4128" s="252"/>
    </row>
    <row r="4129" spans="13:13">
      <c r="M4129" s="252"/>
    </row>
    <row r="4130" spans="13:13">
      <c r="M4130" s="252"/>
    </row>
    <row r="4131" spans="13:13">
      <c r="M4131" s="252"/>
    </row>
    <row r="4132" spans="13:13">
      <c r="M4132" s="252"/>
    </row>
    <row r="4133" spans="13:13">
      <c r="M4133" s="252"/>
    </row>
    <row r="4134" spans="13:13">
      <c r="M4134" s="252"/>
    </row>
    <row r="4135" spans="13:13">
      <c r="M4135" s="252"/>
    </row>
    <row r="4136" spans="13:13">
      <c r="M4136" s="252"/>
    </row>
    <row r="4137" spans="13:13">
      <c r="M4137" s="252"/>
    </row>
    <row r="4138" spans="13:13">
      <c r="M4138" s="252"/>
    </row>
    <row r="4139" spans="13:13">
      <c r="M4139" s="252"/>
    </row>
    <row r="4140" spans="13:13">
      <c r="M4140" s="252"/>
    </row>
    <row r="4141" spans="13:13">
      <c r="M4141" s="252"/>
    </row>
    <row r="4142" spans="13:13">
      <c r="M4142" s="252"/>
    </row>
    <row r="4143" spans="13:13">
      <c r="M4143" s="252"/>
    </row>
    <row r="4144" spans="13:13">
      <c r="M4144" s="252"/>
    </row>
    <row r="4145" spans="13:13">
      <c r="M4145" s="252"/>
    </row>
    <row r="4146" spans="13:13">
      <c r="M4146" s="252"/>
    </row>
    <row r="4147" spans="13:13">
      <c r="M4147" s="252"/>
    </row>
    <row r="4148" spans="13:13">
      <c r="M4148" s="252"/>
    </row>
    <row r="4149" spans="13:13">
      <c r="M4149" s="252"/>
    </row>
    <row r="4150" spans="13:13">
      <c r="M4150" s="252"/>
    </row>
    <row r="4151" spans="13:13">
      <c r="M4151" s="252"/>
    </row>
    <row r="4152" spans="13:13">
      <c r="M4152" s="252"/>
    </row>
    <row r="4153" spans="13:13">
      <c r="M4153" s="252"/>
    </row>
    <row r="4154" spans="13:13">
      <c r="M4154" s="252"/>
    </row>
    <row r="4155" spans="13:13">
      <c r="M4155" s="252"/>
    </row>
    <row r="4156" spans="13:13">
      <c r="M4156" s="252"/>
    </row>
    <row r="4157" spans="13:13">
      <c r="M4157" s="252"/>
    </row>
    <row r="4158" spans="13:13">
      <c r="M4158" s="252"/>
    </row>
    <row r="4159" spans="13:13">
      <c r="M4159" s="252"/>
    </row>
    <row r="4160" spans="13:13">
      <c r="M4160" s="252"/>
    </row>
    <row r="4161" spans="13:13">
      <c r="M4161" s="252"/>
    </row>
    <row r="4162" spans="13:13">
      <c r="M4162" s="252"/>
    </row>
    <row r="4163" spans="13:13">
      <c r="M4163" s="252"/>
    </row>
    <row r="4164" spans="13:13">
      <c r="M4164" s="252"/>
    </row>
    <row r="4165" spans="13:13">
      <c r="M4165" s="252"/>
    </row>
    <row r="4166" spans="13:13">
      <c r="M4166" s="252"/>
    </row>
    <row r="4167" spans="13:13">
      <c r="M4167" s="252"/>
    </row>
    <row r="4168" spans="13:13">
      <c r="M4168" s="252"/>
    </row>
    <row r="4169" spans="13:13">
      <c r="M4169" s="252"/>
    </row>
    <row r="4170" spans="13:13">
      <c r="M4170" s="252"/>
    </row>
    <row r="4171" spans="13:13">
      <c r="M4171" s="252"/>
    </row>
    <row r="4172" spans="13:13">
      <c r="M4172" s="252"/>
    </row>
    <row r="4173" spans="13:13">
      <c r="M4173" s="252"/>
    </row>
    <row r="4174" spans="13:13">
      <c r="M4174" s="252"/>
    </row>
    <row r="4175" spans="13:13">
      <c r="M4175" s="252"/>
    </row>
    <row r="4176" spans="13:13">
      <c r="M4176" s="252"/>
    </row>
    <row r="4177" spans="13:13">
      <c r="M4177" s="252"/>
    </row>
    <row r="4178" spans="13:13">
      <c r="M4178" s="252"/>
    </row>
    <row r="4179" spans="13:13">
      <c r="M4179" s="252"/>
    </row>
    <row r="4180" spans="13:13">
      <c r="M4180" s="252"/>
    </row>
    <row r="4181" spans="13:13">
      <c r="M4181" s="252"/>
    </row>
    <row r="4182" spans="13:13">
      <c r="M4182" s="252"/>
    </row>
    <row r="4183" spans="13:13">
      <c r="M4183" s="252"/>
    </row>
    <row r="4184" spans="13:13">
      <c r="M4184" s="252"/>
    </row>
    <row r="4185" spans="13:13">
      <c r="M4185" s="252"/>
    </row>
    <row r="4186" spans="13:13">
      <c r="M4186" s="252"/>
    </row>
    <row r="4187" spans="13:13">
      <c r="M4187" s="252"/>
    </row>
    <row r="4188" spans="13:13">
      <c r="M4188" s="252"/>
    </row>
    <row r="4189" spans="13:13">
      <c r="M4189" s="252"/>
    </row>
    <row r="4190" spans="13:13">
      <c r="M4190" s="252"/>
    </row>
    <row r="4191" spans="13:13">
      <c r="M4191" s="252"/>
    </row>
    <row r="4192" spans="13:13">
      <c r="M4192" s="252"/>
    </row>
    <row r="4193" spans="13:13">
      <c r="M4193" s="252"/>
    </row>
    <row r="4194" spans="13:13">
      <c r="M4194" s="252"/>
    </row>
    <row r="4195" spans="13:13">
      <c r="M4195" s="252"/>
    </row>
    <row r="4196" spans="13:13">
      <c r="M4196" s="252"/>
    </row>
    <row r="4197" spans="13:13">
      <c r="M4197" s="252"/>
    </row>
    <row r="4198" spans="13:13">
      <c r="M4198" s="252"/>
    </row>
    <row r="4199" spans="13:13">
      <c r="M4199" s="252"/>
    </row>
    <row r="4200" spans="13:13">
      <c r="M4200" s="252"/>
    </row>
    <row r="4201" spans="13:13">
      <c r="M4201" s="252"/>
    </row>
    <row r="4202" spans="13:13">
      <c r="M4202" s="252"/>
    </row>
    <row r="4203" spans="13:13">
      <c r="M4203" s="252"/>
    </row>
    <row r="4204" spans="13:13">
      <c r="M4204" s="252"/>
    </row>
    <row r="4205" spans="13:13">
      <c r="M4205" s="252"/>
    </row>
    <row r="4206" spans="13:13">
      <c r="M4206" s="252"/>
    </row>
    <row r="4207" spans="13:13">
      <c r="M4207" s="252"/>
    </row>
    <row r="4208" spans="13:13">
      <c r="M4208" s="252"/>
    </row>
    <row r="4209" spans="13:13">
      <c r="M4209" s="252"/>
    </row>
    <row r="4210" spans="13:13">
      <c r="M4210" s="252"/>
    </row>
    <row r="4211" spans="13:13">
      <c r="M4211" s="252"/>
    </row>
    <row r="4212" spans="13:13">
      <c r="M4212" s="252"/>
    </row>
    <row r="4213" spans="13:13">
      <c r="M4213" s="252"/>
    </row>
    <row r="4214" spans="13:13">
      <c r="M4214" s="252"/>
    </row>
    <row r="4215" spans="13:13">
      <c r="M4215" s="252"/>
    </row>
    <row r="4216" spans="13:13">
      <c r="M4216" s="252"/>
    </row>
    <row r="4217" spans="13:13">
      <c r="M4217" s="252"/>
    </row>
    <row r="4218" spans="13:13">
      <c r="M4218" s="252"/>
    </row>
    <row r="4219" spans="13:13">
      <c r="M4219" s="252"/>
    </row>
    <row r="4220" spans="13:13">
      <c r="M4220" s="252"/>
    </row>
    <row r="4221" spans="13:13">
      <c r="M4221" s="252"/>
    </row>
    <row r="4222" spans="13:13">
      <c r="M4222" s="252"/>
    </row>
    <row r="4223" spans="13:13">
      <c r="M4223" s="252"/>
    </row>
    <row r="4224" spans="13:13">
      <c r="M4224" s="252"/>
    </row>
    <row r="4225" spans="13:13">
      <c r="M4225" s="252"/>
    </row>
    <row r="4226" spans="13:13">
      <c r="M4226" s="252"/>
    </row>
    <row r="4227" spans="13:13">
      <c r="M4227" s="252"/>
    </row>
    <row r="4228" spans="13:13">
      <c r="M4228" s="252"/>
    </row>
    <row r="4229" spans="13:13">
      <c r="M4229" s="252"/>
    </row>
    <row r="4230" spans="13:13">
      <c r="M4230" s="252"/>
    </row>
    <row r="4231" spans="13:13">
      <c r="M4231" s="252"/>
    </row>
    <row r="4232" spans="13:13">
      <c r="M4232" s="252"/>
    </row>
    <row r="4233" spans="13:13">
      <c r="M4233" s="252"/>
    </row>
    <row r="4234" spans="13:13">
      <c r="M4234" s="252"/>
    </row>
    <row r="4235" spans="13:13">
      <c r="M4235" s="252"/>
    </row>
    <row r="4236" spans="13:13">
      <c r="M4236" s="252"/>
    </row>
    <row r="4237" spans="13:13">
      <c r="M4237" s="252"/>
    </row>
    <row r="4238" spans="13:13">
      <c r="M4238" s="252"/>
    </row>
    <row r="4239" spans="13:13">
      <c r="M4239" s="252"/>
    </row>
    <row r="4240" spans="13:13">
      <c r="M4240" s="252"/>
    </row>
    <row r="4241" spans="13:13">
      <c r="M4241" s="252"/>
    </row>
    <row r="4242" spans="13:13">
      <c r="M4242" s="252"/>
    </row>
    <row r="4243" spans="13:13">
      <c r="M4243" s="252"/>
    </row>
    <row r="4244" spans="13:13">
      <c r="M4244" s="252"/>
    </row>
    <row r="4245" spans="13:13">
      <c r="M4245" s="252"/>
    </row>
    <row r="4246" spans="13:13">
      <c r="M4246" s="252"/>
    </row>
    <row r="4247" spans="13:13">
      <c r="M4247" s="252"/>
    </row>
    <row r="4248" spans="13:13">
      <c r="M4248" s="252"/>
    </row>
    <row r="4249" spans="13:13">
      <c r="M4249" s="252"/>
    </row>
    <row r="4250" spans="13:13">
      <c r="M4250" s="252"/>
    </row>
    <row r="4251" spans="13:13">
      <c r="M4251" s="252"/>
    </row>
    <row r="4252" spans="13:13">
      <c r="M4252" s="252"/>
    </row>
    <row r="4253" spans="13:13">
      <c r="M4253" s="252"/>
    </row>
    <row r="4254" spans="13:13">
      <c r="M4254" s="252"/>
    </row>
    <row r="4255" spans="13:13">
      <c r="M4255" s="252"/>
    </row>
    <row r="4256" spans="13:13">
      <c r="M4256" s="252"/>
    </row>
    <row r="4257" spans="13:13">
      <c r="M4257" s="252"/>
    </row>
    <row r="4258" spans="13:13">
      <c r="M4258" s="252"/>
    </row>
    <row r="4259" spans="13:13">
      <c r="M4259" s="252"/>
    </row>
    <row r="4260" spans="13:13">
      <c r="M4260" s="252"/>
    </row>
    <row r="4261" spans="13:13">
      <c r="M4261" s="252"/>
    </row>
    <row r="4262" spans="13:13">
      <c r="M4262" s="252"/>
    </row>
    <row r="4263" spans="13:13">
      <c r="M4263" s="252"/>
    </row>
    <row r="4264" spans="13:13">
      <c r="M4264" s="252"/>
    </row>
    <row r="4265" spans="13:13">
      <c r="M4265" s="252"/>
    </row>
    <row r="4266" spans="13:13">
      <c r="M4266" s="252"/>
    </row>
    <row r="4267" spans="13:13">
      <c r="M4267" s="252"/>
    </row>
    <row r="4268" spans="13:13">
      <c r="M4268" s="252"/>
    </row>
    <row r="4269" spans="13:13">
      <c r="M4269" s="252"/>
    </row>
    <row r="4270" spans="13:13">
      <c r="M4270" s="252"/>
    </row>
    <row r="4271" spans="13:13">
      <c r="M4271" s="252"/>
    </row>
    <row r="4272" spans="13:13">
      <c r="M4272" s="252"/>
    </row>
    <row r="4273" spans="13:13">
      <c r="M4273" s="252"/>
    </row>
    <row r="4274" spans="13:13">
      <c r="M4274" s="252"/>
    </row>
    <row r="4275" spans="13:13">
      <c r="M4275" s="252"/>
    </row>
    <row r="4276" spans="13:13">
      <c r="M4276" s="252"/>
    </row>
    <row r="4277" spans="13:13">
      <c r="M4277" s="252"/>
    </row>
    <row r="4278" spans="13:13">
      <c r="M4278" s="252"/>
    </row>
    <row r="4279" spans="13:13">
      <c r="M4279" s="252"/>
    </row>
    <row r="4280" spans="13:13">
      <c r="M4280" s="252"/>
    </row>
    <row r="4281" spans="13:13">
      <c r="M4281" s="252"/>
    </row>
    <row r="4282" spans="13:13">
      <c r="M4282" s="252"/>
    </row>
    <row r="4283" spans="13:13">
      <c r="M4283" s="252"/>
    </row>
    <row r="4284" spans="13:13">
      <c r="M4284" s="252"/>
    </row>
    <row r="4285" spans="13:13">
      <c r="M4285" s="252"/>
    </row>
    <row r="4286" spans="13:13">
      <c r="M4286" s="252"/>
    </row>
    <row r="4287" spans="13:13">
      <c r="M4287" s="252"/>
    </row>
    <row r="4288" spans="13:13">
      <c r="M4288" s="252"/>
    </row>
    <row r="4289" spans="13:13">
      <c r="M4289" s="252"/>
    </row>
    <row r="4290" spans="13:13">
      <c r="M4290" s="252"/>
    </row>
    <row r="4291" spans="13:13">
      <c r="M4291" s="252"/>
    </row>
    <row r="4292" spans="13:13">
      <c r="M4292" s="252"/>
    </row>
    <row r="4293" spans="13:13">
      <c r="M4293" s="252"/>
    </row>
    <row r="4294" spans="13:13">
      <c r="M4294" s="252"/>
    </row>
    <row r="4295" spans="13:13">
      <c r="M4295" s="252"/>
    </row>
    <row r="4296" spans="13:13">
      <c r="M4296" s="252"/>
    </row>
    <row r="4297" spans="13:13">
      <c r="M4297" s="252"/>
    </row>
    <row r="4298" spans="13:13">
      <c r="M4298" s="252"/>
    </row>
    <row r="4299" spans="13:13">
      <c r="M4299" s="252"/>
    </row>
    <row r="4300" spans="13:13">
      <c r="M4300" s="252"/>
    </row>
    <row r="4301" spans="13:13">
      <c r="M4301" s="252"/>
    </row>
    <row r="4302" spans="13:13">
      <c r="M4302" s="252"/>
    </row>
    <row r="4303" spans="13:13">
      <c r="M4303" s="252"/>
    </row>
    <row r="4304" spans="13:13">
      <c r="M4304" s="252"/>
    </row>
    <row r="4305" spans="13:13">
      <c r="M4305" s="252"/>
    </row>
    <row r="4306" spans="13:13">
      <c r="M4306" s="252"/>
    </row>
    <row r="4307" spans="13:13">
      <c r="M4307" s="252"/>
    </row>
    <row r="4308" spans="13:13">
      <c r="M4308" s="252"/>
    </row>
    <row r="4309" spans="13:13">
      <c r="M4309" s="252"/>
    </row>
    <row r="4310" spans="13:13">
      <c r="M4310" s="252"/>
    </row>
    <row r="4311" spans="13:13">
      <c r="M4311" s="252"/>
    </row>
    <row r="4312" spans="13:13">
      <c r="M4312" s="252"/>
    </row>
    <row r="4313" spans="13:13">
      <c r="M4313" s="252"/>
    </row>
    <row r="4314" spans="13:13">
      <c r="M4314" s="252"/>
    </row>
    <row r="4315" spans="13:13">
      <c r="M4315" s="252"/>
    </row>
    <row r="4316" spans="13:13">
      <c r="M4316" s="252"/>
    </row>
    <row r="4317" spans="13:13">
      <c r="M4317" s="252"/>
    </row>
    <row r="4318" spans="13:13">
      <c r="M4318" s="252"/>
    </row>
    <row r="4319" spans="13:13">
      <c r="M4319" s="252"/>
    </row>
    <row r="4320" spans="13:13">
      <c r="M4320" s="252"/>
    </row>
    <row r="4321" spans="13:13">
      <c r="M4321" s="252"/>
    </row>
    <row r="4322" spans="13:13">
      <c r="M4322" s="252"/>
    </row>
    <row r="4323" spans="13:13">
      <c r="M4323" s="252"/>
    </row>
    <row r="4324" spans="13:13">
      <c r="M4324" s="252"/>
    </row>
    <row r="4325" spans="13:13">
      <c r="M4325" s="252"/>
    </row>
    <row r="4326" spans="13:13">
      <c r="M4326" s="252"/>
    </row>
    <row r="4327" spans="13:13">
      <c r="M4327" s="252"/>
    </row>
    <row r="4328" spans="13:13">
      <c r="M4328" s="252"/>
    </row>
    <row r="4329" spans="13:13">
      <c r="M4329" s="252"/>
    </row>
    <row r="4330" spans="13:13">
      <c r="M4330" s="252"/>
    </row>
    <row r="4331" spans="13:13">
      <c r="M4331" s="252"/>
    </row>
    <row r="4332" spans="13:13">
      <c r="M4332" s="252"/>
    </row>
    <row r="4333" spans="13:13">
      <c r="M4333" s="252"/>
    </row>
    <row r="4334" spans="13:13">
      <c r="M4334" s="252"/>
    </row>
    <row r="4335" spans="13:13">
      <c r="M4335" s="252"/>
    </row>
    <row r="4336" spans="13:13">
      <c r="M4336" s="252"/>
    </row>
    <row r="4337" spans="13:13">
      <c r="M4337" s="252"/>
    </row>
    <row r="4338" spans="13:13">
      <c r="M4338" s="252"/>
    </row>
    <row r="4339" spans="13:13">
      <c r="M4339" s="252"/>
    </row>
    <row r="4340" spans="13:13">
      <c r="M4340" s="252"/>
    </row>
    <row r="4341" spans="13:13">
      <c r="M4341" s="252"/>
    </row>
    <row r="4342" spans="13:13">
      <c r="M4342" s="252"/>
    </row>
    <row r="4343" spans="13:13">
      <c r="M4343" s="252"/>
    </row>
    <row r="4344" spans="13:13">
      <c r="M4344" s="252"/>
    </row>
    <row r="4345" spans="13:13">
      <c r="M4345" s="252"/>
    </row>
    <row r="4346" spans="13:13">
      <c r="M4346" s="252"/>
    </row>
    <row r="4347" spans="13:13">
      <c r="M4347" s="252"/>
    </row>
    <row r="4348" spans="13:13">
      <c r="M4348" s="252"/>
    </row>
    <row r="4349" spans="13:13">
      <c r="M4349" s="252"/>
    </row>
    <row r="4350" spans="13:13">
      <c r="M4350" s="252"/>
    </row>
    <row r="4351" spans="13:13">
      <c r="M4351" s="252"/>
    </row>
    <row r="4352" spans="13:13">
      <c r="M4352" s="252"/>
    </row>
    <row r="4353" spans="13:13">
      <c r="M4353" s="252"/>
    </row>
    <row r="4354" spans="13:13">
      <c r="M4354" s="252"/>
    </row>
    <row r="4355" spans="13:13">
      <c r="M4355" s="252"/>
    </row>
    <row r="4356" spans="13:13">
      <c r="M4356" s="252"/>
    </row>
    <row r="4357" spans="13:13">
      <c r="M4357" s="252"/>
    </row>
    <row r="4358" spans="13:13">
      <c r="M4358" s="252"/>
    </row>
    <row r="4359" spans="13:13">
      <c r="M4359" s="252"/>
    </row>
    <row r="4360" spans="13:13">
      <c r="M4360" s="252"/>
    </row>
    <row r="4361" spans="13:13">
      <c r="M4361" s="252"/>
    </row>
    <row r="4362" spans="13:13">
      <c r="M4362" s="252"/>
    </row>
    <row r="4363" spans="13:13">
      <c r="M4363" s="252"/>
    </row>
    <row r="4364" spans="13:13">
      <c r="M4364" s="252"/>
    </row>
    <row r="4365" spans="13:13">
      <c r="M4365" s="252"/>
    </row>
    <row r="4366" spans="13:13">
      <c r="M4366" s="252"/>
    </row>
    <row r="4367" spans="13:13">
      <c r="M4367" s="252"/>
    </row>
    <row r="4368" spans="13:13">
      <c r="M4368" s="252"/>
    </row>
    <row r="4369" spans="13:13">
      <c r="M4369" s="252"/>
    </row>
    <row r="4370" spans="13:13">
      <c r="M4370" s="252"/>
    </row>
    <row r="4371" spans="13:13">
      <c r="M4371" s="252"/>
    </row>
    <row r="4372" spans="13:13">
      <c r="M4372" s="252"/>
    </row>
    <row r="4373" spans="13:13">
      <c r="M4373" s="252"/>
    </row>
    <row r="4374" spans="13:13">
      <c r="M4374" s="252"/>
    </row>
    <row r="4375" spans="13:13">
      <c r="M4375" s="252"/>
    </row>
    <row r="4376" spans="13:13">
      <c r="M4376" s="252"/>
    </row>
    <row r="4377" spans="13:13">
      <c r="M4377" s="252"/>
    </row>
    <row r="4378" spans="13:13">
      <c r="M4378" s="252"/>
    </row>
    <row r="4379" spans="13:13">
      <c r="M4379" s="252"/>
    </row>
    <row r="4380" spans="13:13">
      <c r="M4380" s="252"/>
    </row>
    <row r="4381" spans="13:13">
      <c r="M4381" s="252"/>
    </row>
    <row r="4382" spans="13:13">
      <c r="M4382" s="252"/>
    </row>
    <row r="4383" spans="13:13">
      <c r="M4383" s="252"/>
    </row>
    <row r="4384" spans="13:13">
      <c r="M4384" s="252"/>
    </row>
    <row r="4385" spans="13:13">
      <c r="M4385" s="252"/>
    </row>
    <row r="4386" spans="13:13">
      <c r="M4386" s="252"/>
    </row>
    <row r="4387" spans="13:13">
      <c r="M4387" s="252"/>
    </row>
    <row r="4388" spans="13:13">
      <c r="M4388" s="252"/>
    </row>
    <row r="4389" spans="13:13">
      <c r="M4389" s="252"/>
    </row>
    <row r="4390" spans="13:13">
      <c r="M4390" s="252"/>
    </row>
    <row r="4391" spans="13:13">
      <c r="M4391" s="252"/>
    </row>
    <row r="4392" spans="13:13">
      <c r="M4392" s="252"/>
    </row>
    <row r="4393" spans="13:13">
      <c r="M4393" s="252"/>
    </row>
    <row r="4394" spans="13:13">
      <c r="M4394" s="252"/>
    </row>
    <row r="4395" spans="13:13">
      <c r="M4395" s="252"/>
    </row>
    <row r="4396" spans="13:13">
      <c r="M4396" s="252"/>
    </row>
    <row r="4397" spans="13:13">
      <c r="M4397" s="252"/>
    </row>
    <row r="4398" spans="13:13">
      <c r="M4398" s="252"/>
    </row>
    <row r="4399" spans="13:13">
      <c r="M4399" s="252"/>
    </row>
    <row r="4400" spans="13:13">
      <c r="M4400" s="252"/>
    </row>
    <row r="4401" spans="13:13">
      <c r="M4401" s="252"/>
    </row>
    <row r="4402" spans="13:13">
      <c r="M4402" s="252"/>
    </row>
    <row r="4403" spans="13:13">
      <c r="M4403" s="252"/>
    </row>
    <row r="4404" spans="13:13">
      <c r="M4404" s="252"/>
    </row>
    <row r="4405" spans="13:13">
      <c r="M4405" s="252"/>
    </row>
    <row r="4406" spans="13:13">
      <c r="M4406" s="252"/>
    </row>
    <row r="4407" spans="13:13">
      <c r="M4407" s="252"/>
    </row>
    <row r="4408" spans="13:13">
      <c r="M4408" s="252"/>
    </row>
    <row r="4409" spans="13:13">
      <c r="M4409" s="252"/>
    </row>
    <row r="4410" spans="13:13">
      <c r="M4410" s="252"/>
    </row>
    <row r="4411" spans="13:13">
      <c r="M4411" s="252"/>
    </row>
    <row r="4412" spans="13:13">
      <c r="M4412" s="252"/>
    </row>
    <row r="4413" spans="13:13">
      <c r="M4413" s="252"/>
    </row>
    <row r="4414" spans="13:13">
      <c r="M4414" s="252"/>
    </row>
    <row r="4415" spans="13:13">
      <c r="M4415" s="252"/>
    </row>
    <row r="4416" spans="13:13">
      <c r="M4416" s="252"/>
    </row>
    <row r="4417" spans="13:13">
      <c r="M4417" s="252"/>
    </row>
    <row r="4418" spans="13:13">
      <c r="M4418" s="252"/>
    </row>
    <row r="4419" spans="13:13">
      <c r="M4419" s="252"/>
    </row>
    <row r="4420" spans="13:13">
      <c r="M4420" s="252"/>
    </row>
    <row r="4421" spans="13:13">
      <c r="M4421" s="252"/>
    </row>
    <row r="4422" spans="13:13">
      <c r="M4422" s="252"/>
    </row>
    <row r="4423" spans="13:13">
      <c r="M4423" s="252"/>
    </row>
    <row r="4424" spans="13:13">
      <c r="M4424" s="252"/>
    </row>
    <row r="4425" spans="13:13">
      <c r="M4425" s="252"/>
    </row>
    <row r="4426" spans="13:13">
      <c r="M4426" s="252"/>
    </row>
    <row r="4427" spans="13:13">
      <c r="M4427" s="252"/>
    </row>
    <row r="4428" spans="13:13">
      <c r="M4428" s="252"/>
    </row>
    <row r="4429" spans="13:13">
      <c r="M4429" s="252"/>
    </row>
    <row r="4430" spans="13:13">
      <c r="M4430" s="252"/>
    </row>
    <row r="4431" spans="13:13">
      <c r="M4431" s="252"/>
    </row>
    <row r="4432" spans="13:13">
      <c r="M4432" s="252"/>
    </row>
    <row r="4433" spans="13:13">
      <c r="M4433" s="252"/>
    </row>
    <row r="4434" spans="13:13">
      <c r="M4434" s="252"/>
    </row>
    <row r="4435" spans="13:13">
      <c r="M4435" s="252"/>
    </row>
    <row r="4436" spans="13:13">
      <c r="M4436" s="252"/>
    </row>
    <row r="4437" spans="13:13">
      <c r="M4437" s="252"/>
    </row>
    <row r="4438" spans="13:13">
      <c r="M4438" s="252"/>
    </row>
    <row r="4439" spans="13:13">
      <c r="M4439" s="252"/>
    </row>
    <row r="4440" spans="13:13">
      <c r="M4440" s="252"/>
    </row>
    <row r="4441" spans="13:13">
      <c r="M4441" s="252"/>
    </row>
    <row r="4442" spans="13:13">
      <c r="M4442" s="252"/>
    </row>
    <row r="4443" spans="13:13">
      <c r="M4443" s="252"/>
    </row>
    <row r="4444" spans="13:13">
      <c r="M4444" s="252"/>
    </row>
    <row r="4445" spans="13:13">
      <c r="M4445" s="252"/>
    </row>
    <row r="4446" spans="13:13">
      <c r="M4446" s="252"/>
    </row>
    <row r="4447" spans="13:13">
      <c r="M4447" s="252"/>
    </row>
    <row r="4448" spans="13:13">
      <c r="M4448" s="252"/>
    </row>
    <row r="4449" spans="13:13">
      <c r="M4449" s="252"/>
    </row>
    <row r="4450" spans="13:13">
      <c r="M4450" s="252"/>
    </row>
    <row r="4451" spans="13:13">
      <c r="M4451" s="252"/>
    </row>
    <row r="4452" spans="13:13">
      <c r="M4452" s="252"/>
    </row>
    <row r="4453" spans="13:13">
      <c r="M4453" s="252"/>
    </row>
    <row r="4454" spans="13:13">
      <c r="M4454" s="252"/>
    </row>
    <row r="4455" spans="13:13">
      <c r="M4455" s="252"/>
    </row>
    <row r="4456" spans="13:13">
      <c r="M4456" s="252"/>
    </row>
    <row r="4457" spans="13:13">
      <c r="M4457" s="252"/>
    </row>
    <row r="4458" spans="13:13">
      <c r="M4458" s="252"/>
    </row>
    <row r="4459" spans="13:13">
      <c r="M4459" s="252"/>
    </row>
    <row r="4460" spans="13:13">
      <c r="M4460" s="252"/>
    </row>
    <row r="4461" spans="13:13">
      <c r="M4461" s="252"/>
    </row>
    <row r="4462" spans="13:13">
      <c r="M4462" s="252"/>
    </row>
    <row r="4463" spans="13:13">
      <c r="M4463" s="252"/>
    </row>
    <row r="4464" spans="13:13">
      <c r="M4464" s="252"/>
    </row>
    <row r="4465" spans="13:13">
      <c r="M4465" s="252"/>
    </row>
    <row r="4466" spans="13:13">
      <c r="M4466" s="252"/>
    </row>
    <row r="4467" spans="13:13">
      <c r="M4467" s="252"/>
    </row>
    <row r="4468" spans="13:13">
      <c r="M4468" s="252"/>
    </row>
    <row r="4469" spans="13:13">
      <c r="M4469" s="252"/>
    </row>
    <row r="4470" spans="13:13">
      <c r="M4470" s="252"/>
    </row>
    <row r="4471" spans="13:13">
      <c r="M4471" s="252"/>
    </row>
    <row r="4472" spans="13:13">
      <c r="M4472" s="252"/>
    </row>
    <row r="4473" spans="13:13">
      <c r="M4473" s="252"/>
    </row>
    <row r="4474" spans="13:13">
      <c r="M4474" s="252"/>
    </row>
    <row r="4475" spans="13:13">
      <c r="M4475" s="252"/>
    </row>
    <row r="4476" spans="13:13">
      <c r="M4476" s="252"/>
    </row>
    <row r="4477" spans="13:13">
      <c r="M4477" s="252"/>
    </row>
    <row r="4478" spans="13:13">
      <c r="M4478" s="252"/>
    </row>
    <row r="4479" spans="13:13">
      <c r="M4479" s="252"/>
    </row>
    <row r="4480" spans="13:13">
      <c r="M4480" s="252"/>
    </row>
    <row r="4481" spans="13:13">
      <c r="M4481" s="252"/>
    </row>
    <row r="4482" spans="13:13">
      <c r="M4482" s="252"/>
    </row>
    <row r="4483" spans="13:13">
      <c r="M4483" s="252"/>
    </row>
    <row r="4484" spans="13:13">
      <c r="M4484" s="252"/>
    </row>
    <row r="4485" spans="13:13">
      <c r="M4485" s="252"/>
    </row>
    <row r="4486" spans="13:13">
      <c r="M4486" s="252"/>
    </row>
    <row r="4487" spans="13:13">
      <c r="M4487" s="252"/>
    </row>
    <row r="4488" spans="13:13">
      <c r="M4488" s="252"/>
    </row>
    <row r="4489" spans="13:13">
      <c r="M4489" s="252"/>
    </row>
    <row r="4490" spans="13:13">
      <c r="M4490" s="252"/>
    </row>
    <row r="4491" spans="13:13">
      <c r="M4491" s="252"/>
    </row>
    <row r="4492" spans="13:13">
      <c r="M4492" s="252"/>
    </row>
    <row r="4493" spans="13:13">
      <c r="M4493" s="252"/>
    </row>
    <row r="4494" spans="13:13">
      <c r="M4494" s="252"/>
    </row>
    <row r="4495" spans="13:13">
      <c r="M4495" s="252"/>
    </row>
    <row r="4496" spans="13:13">
      <c r="M4496" s="252"/>
    </row>
    <row r="4497" spans="13:13">
      <c r="M4497" s="252"/>
    </row>
    <row r="4498" spans="13:13">
      <c r="M4498" s="252"/>
    </row>
    <row r="4499" spans="13:13">
      <c r="M4499" s="252"/>
    </row>
    <row r="4500" spans="13:13">
      <c r="M4500" s="252"/>
    </row>
    <row r="4501" spans="13:13">
      <c r="M4501" s="252"/>
    </row>
    <row r="4502" spans="13:13">
      <c r="M4502" s="252"/>
    </row>
    <row r="4503" spans="13:13">
      <c r="M4503" s="252"/>
    </row>
    <row r="4504" spans="13:13">
      <c r="M4504" s="252"/>
    </row>
    <row r="4505" spans="13:13">
      <c r="M4505" s="252"/>
    </row>
    <row r="4506" spans="13:13">
      <c r="M4506" s="252"/>
    </row>
    <row r="4507" spans="13:13">
      <c r="M4507" s="252"/>
    </row>
    <row r="4508" spans="13:13">
      <c r="M4508" s="252"/>
    </row>
    <row r="4509" spans="13:13">
      <c r="M4509" s="252"/>
    </row>
    <row r="4510" spans="13:13">
      <c r="M4510" s="252"/>
    </row>
    <row r="4511" spans="13:13">
      <c r="M4511" s="252"/>
    </row>
    <row r="4512" spans="13:13">
      <c r="M4512" s="252"/>
    </row>
    <row r="4513" spans="13:13">
      <c r="M4513" s="252"/>
    </row>
    <row r="4514" spans="13:13">
      <c r="M4514" s="252"/>
    </row>
    <row r="4515" spans="13:13">
      <c r="M4515" s="252"/>
    </row>
    <row r="4516" spans="13:13">
      <c r="M4516" s="252"/>
    </row>
    <row r="4517" spans="13:13">
      <c r="M4517" s="252"/>
    </row>
    <row r="4518" spans="13:13">
      <c r="M4518" s="252"/>
    </row>
    <row r="4519" spans="13:13">
      <c r="M4519" s="252"/>
    </row>
    <row r="4520" spans="13:13">
      <c r="M4520" s="252"/>
    </row>
    <row r="4521" spans="13:13">
      <c r="M4521" s="252"/>
    </row>
    <row r="4522" spans="13:13">
      <c r="M4522" s="252"/>
    </row>
    <row r="4523" spans="13:13">
      <c r="M4523" s="252"/>
    </row>
    <row r="4524" spans="13:13">
      <c r="M4524" s="252"/>
    </row>
    <row r="4525" spans="13:13">
      <c r="M4525" s="252"/>
    </row>
    <row r="4526" spans="13:13">
      <c r="M4526" s="252"/>
    </row>
    <row r="4527" spans="13:13">
      <c r="M4527" s="252"/>
    </row>
    <row r="4528" spans="13:13">
      <c r="M4528" s="252"/>
    </row>
    <row r="4529" spans="13:13">
      <c r="M4529" s="252"/>
    </row>
    <row r="4530" spans="13:13">
      <c r="M4530" s="252"/>
    </row>
    <row r="4531" spans="13:13">
      <c r="M4531" s="252"/>
    </row>
    <row r="4532" spans="13:13">
      <c r="M4532" s="252"/>
    </row>
    <row r="4533" spans="13:13">
      <c r="M4533" s="252"/>
    </row>
    <row r="4534" spans="13:13">
      <c r="M4534" s="252"/>
    </row>
    <row r="4535" spans="13:13">
      <c r="M4535" s="252"/>
    </row>
    <row r="4536" spans="13:13">
      <c r="M4536" s="252"/>
    </row>
    <row r="4537" spans="13:13">
      <c r="M4537" s="252"/>
    </row>
    <row r="4538" spans="13:13">
      <c r="M4538" s="252"/>
    </row>
    <row r="4539" spans="13:13">
      <c r="M4539" s="252"/>
    </row>
    <row r="4540" spans="13:13">
      <c r="M4540" s="252"/>
    </row>
    <row r="4541" spans="13:13">
      <c r="M4541" s="252"/>
    </row>
    <row r="4542" spans="13:13">
      <c r="M4542" s="252"/>
    </row>
    <row r="4543" spans="13:13">
      <c r="M4543" s="252"/>
    </row>
    <row r="4544" spans="13:13">
      <c r="M4544" s="252"/>
    </row>
    <row r="4545" spans="13:13">
      <c r="M4545" s="252"/>
    </row>
    <row r="4546" spans="13:13">
      <c r="M4546" s="252"/>
    </row>
    <row r="4547" spans="13:13">
      <c r="M4547" s="252"/>
    </row>
    <row r="4548" spans="13:13">
      <c r="M4548" s="252"/>
    </row>
    <row r="4549" spans="13:13">
      <c r="M4549" s="252"/>
    </row>
    <row r="4550" spans="13:13">
      <c r="M4550" s="252"/>
    </row>
    <row r="4551" spans="13:13">
      <c r="M4551" s="252"/>
    </row>
    <row r="4552" spans="13:13">
      <c r="M4552" s="252"/>
    </row>
    <row r="4553" spans="13:13">
      <c r="M4553" s="252"/>
    </row>
    <row r="4554" spans="13:13">
      <c r="M4554" s="252"/>
    </row>
    <row r="4555" spans="13:13">
      <c r="M4555" s="252"/>
    </row>
    <row r="4556" spans="13:13">
      <c r="M4556" s="252"/>
    </row>
    <row r="4557" spans="13:13">
      <c r="M4557" s="252"/>
    </row>
    <row r="4558" spans="13:13">
      <c r="M4558" s="252"/>
    </row>
    <row r="4559" spans="13:13">
      <c r="M4559" s="252"/>
    </row>
    <row r="4560" spans="13:13">
      <c r="M4560" s="252"/>
    </row>
    <row r="4561" spans="13:13">
      <c r="M4561" s="252"/>
    </row>
    <row r="4562" spans="13:13">
      <c r="M4562" s="252"/>
    </row>
    <row r="4563" spans="13:13">
      <c r="M4563" s="252"/>
    </row>
    <row r="4564" spans="13:13">
      <c r="M4564" s="252"/>
    </row>
    <row r="4565" spans="13:13">
      <c r="M4565" s="252"/>
    </row>
    <row r="4566" spans="13:13">
      <c r="M4566" s="252"/>
    </row>
    <row r="4567" spans="13:13">
      <c r="M4567" s="252"/>
    </row>
    <row r="4568" spans="13:13">
      <c r="M4568" s="252"/>
    </row>
    <row r="4569" spans="13:13">
      <c r="M4569" s="252"/>
    </row>
    <row r="4570" spans="13:13">
      <c r="M4570" s="252"/>
    </row>
    <row r="4571" spans="13:13">
      <c r="M4571" s="252"/>
    </row>
    <row r="4572" spans="13:13">
      <c r="M4572" s="252"/>
    </row>
    <row r="4573" spans="13:13">
      <c r="M4573" s="252"/>
    </row>
    <row r="4574" spans="13:13">
      <c r="M4574" s="252"/>
    </row>
    <row r="4575" spans="13:13">
      <c r="M4575" s="252"/>
    </row>
    <row r="4576" spans="13:13">
      <c r="M4576" s="252"/>
    </row>
    <row r="4577" spans="13:13">
      <c r="M4577" s="252"/>
    </row>
    <row r="4578" spans="13:13">
      <c r="M4578" s="252"/>
    </row>
    <row r="4579" spans="13:13">
      <c r="M4579" s="252"/>
    </row>
    <row r="4580" spans="13:13">
      <c r="M4580" s="252"/>
    </row>
    <row r="4581" spans="13:13">
      <c r="M4581" s="252"/>
    </row>
    <row r="4582" spans="13:13">
      <c r="M4582" s="252"/>
    </row>
    <row r="4583" spans="13:13">
      <c r="M4583" s="252"/>
    </row>
    <row r="4584" spans="13:13">
      <c r="M4584" s="252"/>
    </row>
    <row r="4585" spans="13:13">
      <c r="M4585" s="252"/>
    </row>
    <row r="4586" spans="13:13">
      <c r="M4586" s="252"/>
    </row>
    <row r="4587" spans="13:13">
      <c r="M4587" s="252"/>
    </row>
    <row r="4588" spans="13:13">
      <c r="M4588" s="252"/>
    </row>
    <row r="4589" spans="13:13">
      <c r="M4589" s="252"/>
    </row>
    <row r="4590" spans="13:13">
      <c r="M4590" s="252"/>
    </row>
    <row r="4591" spans="13:13">
      <c r="M4591" s="252"/>
    </row>
    <row r="4592" spans="13:13">
      <c r="M4592" s="252"/>
    </row>
    <row r="4593" spans="13:13">
      <c r="M4593" s="252"/>
    </row>
    <row r="4594" spans="13:13">
      <c r="M4594" s="252"/>
    </row>
    <row r="4595" spans="13:13">
      <c r="M4595" s="252"/>
    </row>
    <row r="4596" spans="13:13">
      <c r="M4596" s="252"/>
    </row>
    <row r="4597" spans="13:13">
      <c r="M4597" s="252"/>
    </row>
    <row r="4598" spans="13:13">
      <c r="M4598" s="252"/>
    </row>
    <row r="4599" spans="13:13">
      <c r="M4599" s="252"/>
    </row>
    <row r="4600" spans="13:13">
      <c r="M4600" s="252"/>
    </row>
    <row r="4601" spans="13:13">
      <c r="M4601" s="252"/>
    </row>
    <row r="4602" spans="13:13">
      <c r="M4602" s="252"/>
    </row>
    <row r="4603" spans="13:13">
      <c r="M4603" s="252"/>
    </row>
    <row r="4604" spans="13:13">
      <c r="M4604" s="252"/>
    </row>
    <row r="4605" spans="13:13">
      <c r="M4605" s="252"/>
    </row>
    <row r="4606" spans="13:13">
      <c r="M4606" s="252"/>
    </row>
    <row r="4607" spans="13:13">
      <c r="M4607" s="252"/>
    </row>
    <row r="4608" spans="13:13">
      <c r="M4608" s="252"/>
    </row>
    <row r="4609" spans="13:13">
      <c r="M4609" s="252"/>
    </row>
    <row r="4610" spans="13:13">
      <c r="M4610" s="252"/>
    </row>
    <row r="4611" spans="13:13">
      <c r="M4611" s="252"/>
    </row>
    <row r="4612" spans="13:13">
      <c r="M4612" s="252"/>
    </row>
    <row r="4613" spans="13:13">
      <c r="M4613" s="252"/>
    </row>
    <row r="4614" spans="13:13">
      <c r="M4614" s="252"/>
    </row>
    <row r="4615" spans="13:13">
      <c r="M4615" s="252"/>
    </row>
    <row r="4616" spans="13:13">
      <c r="M4616" s="252"/>
    </row>
    <row r="4617" spans="13:13">
      <c r="M4617" s="252"/>
    </row>
    <row r="4618" spans="13:13">
      <c r="M4618" s="252"/>
    </row>
    <row r="4619" spans="13:13">
      <c r="M4619" s="252"/>
    </row>
    <row r="4620" spans="13:13">
      <c r="M4620" s="252"/>
    </row>
    <row r="4621" spans="13:13">
      <c r="M4621" s="252"/>
    </row>
    <row r="4622" spans="13:13">
      <c r="M4622" s="252"/>
    </row>
    <row r="4623" spans="13:13">
      <c r="M4623" s="252"/>
    </row>
    <row r="4624" spans="13:13">
      <c r="M4624" s="252"/>
    </row>
    <row r="4625" spans="13:13">
      <c r="M4625" s="252"/>
    </row>
    <row r="4626" spans="13:13">
      <c r="M4626" s="252"/>
    </row>
    <row r="4627" spans="13:13">
      <c r="M4627" s="252"/>
    </row>
    <row r="4628" spans="13:13">
      <c r="M4628" s="252"/>
    </row>
    <row r="4629" spans="13:13">
      <c r="M4629" s="252"/>
    </row>
    <row r="4630" spans="13:13">
      <c r="M4630" s="252"/>
    </row>
    <row r="4631" spans="13:13">
      <c r="M4631" s="252"/>
    </row>
    <row r="4632" spans="13:13">
      <c r="M4632" s="252"/>
    </row>
    <row r="4633" spans="13:13">
      <c r="M4633" s="252"/>
    </row>
    <row r="4634" spans="13:13">
      <c r="M4634" s="252"/>
    </row>
    <row r="4635" spans="13:13">
      <c r="M4635" s="252"/>
    </row>
    <row r="4636" spans="13:13">
      <c r="M4636" s="252"/>
    </row>
    <row r="4637" spans="13:13">
      <c r="M4637" s="252"/>
    </row>
    <row r="4638" spans="13:13">
      <c r="M4638" s="252"/>
    </row>
    <row r="4639" spans="13:13">
      <c r="M4639" s="252"/>
    </row>
    <row r="4640" spans="13:13">
      <c r="M4640" s="252"/>
    </row>
    <row r="4641" spans="13:13">
      <c r="M4641" s="252"/>
    </row>
    <row r="4642" spans="13:13">
      <c r="M4642" s="252"/>
    </row>
    <row r="4643" spans="13:13">
      <c r="M4643" s="252"/>
    </row>
    <row r="4644" spans="13:13">
      <c r="M4644" s="252"/>
    </row>
    <row r="4645" spans="13:13">
      <c r="M4645" s="252"/>
    </row>
    <row r="4646" spans="13:13">
      <c r="M4646" s="252"/>
    </row>
    <row r="4647" spans="13:13">
      <c r="M4647" s="252"/>
    </row>
    <row r="4648" spans="13:13">
      <c r="M4648" s="252"/>
    </row>
    <row r="4649" spans="13:13">
      <c r="M4649" s="252"/>
    </row>
    <row r="4650" spans="13:13">
      <c r="M4650" s="252"/>
    </row>
    <row r="4651" spans="13:13">
      <c r="M4651" s="252"/>
    </row>
    <row r="4652" spans="13:13">
      <c r="M4652" s="252"/>
    </row>
    <row r="4653" spans="13:13">
      <c r="M4653" s="252"/>
    </row>
    <row r="4654" spans="13:13">
      <c r="M4654" s="252"/>
    </row>
    <row r="4655" spans="13:13">
      <c r="M4655" s="252"/>
    </row>
    <row r="4656" spans="13:13">
      <c r="M4656" s="252"/>
    </row>
    <row r="4657" spans="13:13">
      <c r="M4657" s="252"/>
    </row>
    <row r="4658" spans="13:13">
      <c r="M4658" s="252"/>
    </row>
    <row r="4659" spans="13:13">
      <c r="M4659" s="252"/>
    </row>
    <row r="4660" spans="13:13">
      <c r="M4660" s="252"/>
    </row>
    <row r="4661" spans="13:13">
      <c r="M4661" s="252"/>
    </row>
    <row r="4662" spans="13:13">
      <c r="M4662" s="252"/>
    </row>
    <row r="4663" spans="13:13">
      <c r="M4663" s="252"/>
    </row>
    <row r="4664" spans="13:13">
      <c r="M4664" s="252"/>
    </row>
    <row r="4665" spans="13:13">
      <c r="M4665" s="252"/>
    </row>
    <row r="4666" spans="13:13">
      <c r="M4666" s="252"/>
    </row>
    <row r="4667" spans="13:13">
      <c r="M4667" s="252"/>
    </row>
    <row r="4668" spans="13:13">
      <c r="M4668" s="252"/>
    </row>
    <row r="4669" spans="13:13">
      <c r="M4669" s="252"/>
    </row>
    <row r="4670" spans="13:13">
      <c r="M4670" s="252"/>
    </row>
    <row r="4671" spans="13:13">
      <c r="M4671" s="252"/>
    </row>
    <row r="4672" spans="13:13">
      <c r="M4672" s="252"/>
    </row>
    <row r="4673" spans="13:13">
      <c r="M4673" s="252"/>
    </row>
    <row r="4674" spans="13:13">
      <c r="M4674" s="252"/>
    </row>
    <row r="4675" spans="13:13">
      <c r="M4675" s="252"/>
    </row>
    <row r="4676" spans="13:13">
      <c r="M4676" s="252"/>
    </row>
    <row r="4677" spans="13:13">
      <c r="M4677" s="252"/>
    </row>
    <row r="4678" spans="13:13">
      <c r="M4678" s="252"/>
    </row>
    <row r="4679" spans="13:13">
      <c r="M4679" s="252"/>
    </row>
    <row r="4680" spans="13:13">
      <c r="M4680" s="252"/>
    </row>
    <row r="4681" spans="13:13">
      <c r="M4681" s="252"/>
    </row>
    <row r="4682" spans="13:13">
      <c r="M4682" s="252"/>
    </row>
    <row r="4683" spans="13:13">
      <c r="M4683" s="252"/>
    </row>
    <row r="4684" spans="13:13">
      <c r="M4684" s="252"/>
    </row>
    <row r="4685" spans="13:13">
      <c r="M4685" s="252"/>
    </row>
    <row r="4686" spans="13:13">
      <c r="M4686" s="252"/>
    </row>
    <row r="4687" spans="13:13">
      <c r="M4687" s="252"/>
    </row>
    <row r="4688" spans="13:13">
      <c r="M4688" s="252"/>
    </row>
    <row r="4689" spans="13:13">
      <c r="M4689" s="252"/>
    </row>
    <row r="4690" spans="13:13">
      <c r="M4690" s="252"/>
    </row>
    <row r="4691" spans="13:13">
      <c r="M4691" s="252"/>
    </row>
    <row r="4692" spans="13:13">
      <c r="M4692" s="252"/>
    </row>
    <row r="4693" spans="13:13">
      <c r="M4693" s="252"/>
    </row>
    <row r="4694" spans="13:13">
      <c r="M4694" s="252"/>
    </row>
    <row r="4695" spans="13:13">
      <c r="M4695" s="252"/>
    </row>
    <row r="4696" spans="13:13">
      <c r="M4696" s="252"/>
    </row>
    <row r="4697" spans="13:13">
      <c r="M4697" s="252"/>
    </row>
    <row r="4698" spans="13:13">
      <c r="M4698" s="252"/>
    </row>
    <row r="4699" spans="13:13">
      <c r="M4699" s="252"/>
    </row>
    <row r="4700" spans="13:13">
      <c r="M4700" s="252"/>
    </row>
    <row r="4701" spans="13:13">
      <c r="M4701" s="252"/>
    </row>
    <row r="4702" spans="13:13">
      <c r="M4702" s="252"/>
    </row>
    <row r="4703" spans="13:13">
      <c r="M4703" s="252"/>
    </row>
    <row r="4704" spans="13:13">
      <c r="M4704" s="252"/>
    </row>
    <row r="4705" spans="13:13">
      <c r="M4705" s="252"/>
    </row>
    <row r="4706" spans="13:13">
      <c r="M4706" s="252"/>
    </row>
    <row r="4707" spans="13:13">
      <c r="M4707" s="252"/>
    </row>
    <row r="4708" spans="13:13">
      <c r="M4708" s="252"/>
    </row>
    <row r="4709" spans="13:13">
      <c r="M4709" s="252"/>
    </row>
    <row r="4710" spans="13:13">
      <c r="M4710" s="252"/>
    </row>
    <row r="4711" spans="13:13">
      <c r="M4711" s="252"/>
    </row>
    <row r="4712" spans="13:13">
      <c r="M4712" s="252"/>
    </row>
    <row r="4713" spans="13:13">
      <c r="M4713" s="252"/>
    </row>
    <row r="4714" spans="13:13">
      <c r="M4714" s="252"/>
    </row>
    <row r="4715" spans="13:13">
      <c r="M4715" s="252"/>
    </row>
    <row r="4716" spans="13:13">
      <c r="M4716" s="252"/>
    </row>
    <row r="4717" spans="13:13">
      <c r="M4717" s="252"/>
    </row>
    <row r="4718" spans="13:13">
      <c r="M4718" s="252"/>
    </row>
    <row r="4719" spans="13:13">
      <c r="M4719" s="252"/>
    </row>
    <row r="4720" spans="13:13">
      <c r="M4720" s="252"/>
    </row>
    <row r="4721" spans="13:13">
      <c r="M4721" s="252"/>
    </row>
    <row r="4722" spans="13:13">
      <c r="M4722" s="252"/>
    </row>
    <row r="4723" spans="13:13">
      <c r="M4723" s="252"/>
    </row>
    <row r="4724" spans="13:13">
      <c r="M4724" s="252"/>
    </row>
    <row r="4725" spans="13:13">
      <c r="M4725" s="252"/>
    </row>
    <row r="4726" spans="13:13">
      <c r="M4726" s="252"/>
    </row>
    <row r="4727" spans="13:13">
      <c r="M4727" s="252"/>
    </row>
    <row r="4728" spans="13:13">
      <c r="M4728" s="252"/>
    </row>
    <row r="4729" spans="13:13">
      <c r="M4729" s="252"/>
    </row>
    <row r="4730" spans="13:13">
      <c r="M4730" s="252"/>
    </row>
    <row r="4731" spans="13:13">
      <c r="M4731" s="252"/>
    </row>
    <row r="4732" spans="13:13">
      <c r="M4732" s="252"/>
    </row>
    <row r="4733" spans="13:13">
      <c r="M4733" s="252"/>
    </row>
    <row r="4734" spans="13:13">
      <c r="M4734" s="252"/>
    </row>
    <row r="4735" spans="13:13">
      <c r="M4735" s="252"/>
    </row>
    <row r="4736" spans="13:13">
      <c r="M4736" s="252"/>
    </row>
    <row r="4737" spans="13:13">
      <c r="M4737" s="252"/>
    </row>
    <row r="4738" spans="13:13">
      <c r="M4738" s="252"/>
    </row>
    <row r="4739" spans="13:13">
      <c r="M4739" s="252"/>
    </row>
    <row r="4740" spans="13:13">
      <c r="M4740" s="252"/>
    </row>
    <row r="4741" spans="13:13">
      <c r="M4741" s="252"/>
    </row>
    <row r="4742" spans="13:13">
      <c r="M4742" s="252"/>
    </row>
    <row r="4743" spans="13:13">
      <c r="M4743" s="252"/>
    </row>
    <row r="4744" spans="13:13">
      <c r="M4744" s="252"/>
    </row>
    <row r="4745" spans="13:13">
      <c r="M4745" s="252"/>
    </row>
    <row r="4746" spans="13:13">
      <c r="M4746" s="252"/>
    </row>
    <row r="4747" spans="13:13">
      <c r="M4747" s="252"/>
    </row>
    <row r="4748" spans="13:13">
      <c r="M4748" s="252"/>
    </row>
    <row r="4749" spans="13:13">
      <c r="M4749" s="252"/>
    </row>
    <row r="4750" spans="13:13">
      <c r="M4750" s="252"/>
    </row>
    <row r="4751" spans="13:13">
      <c r="M4751" s="252"/>
    </row>
    <row r="4752" spans="13:13">
      <c r="M4752" s="252"/>
    </row>
    <row r="4753" spans="13:13">
      <c r="M4753" s="252"/>
    </row>
    <row r="4754" spans="13:13">
      <c r="M4754" s="252"/>
    </row>
    <row r="4755" spans="13:13">
      <c r="M4755" s="252"/>
    </row>
    <row r="4756" spans="13:13">
      <c r="M4756" s="252"/>
    </row>
    <row r="4757" spans="13:13">
      <c r="M4757" s="252"/>
    </row>
    <row r="4758" spans="13:13">
      <c r="M4758" s="252"/>
    </row>
    <row r="4759" spans="13:13">
      <c r="M4759" s="252"/>
    </row>
    <row r="4760" spans="13:13">
      <c r="M4760" s="252"/>
    </row>
    <row r="4761" spans="13:13">
      <c r="M4761" s="252"/>
    </row>
    <row r="4762" spans="13:13">
      <c r="M4762" s="252"/>
    </row>
    <row r="4763" spans="13:13">
      <c r="M4763" s="252"/>
    </row>
    <row r="4764" spans="13:13">
      <c r="M4764" s="252"/>
    </row>
    <row r="4765" spans="13:13">
      <c r="M4765" s="252"/>
    </row>
    <row r="4766" spans="13:13">
      <c r="M4766" s="252"/>
    </row>
    <row r="4767" spans="13:13">
      <c r="M4767" s="252"/>
    </row>
    <row r="4768" spans="13:13">
      <c r="M4768" s="252"/>
    </row>
    <row r="4769" spans="13:13">
      <c r="M4769" s="252"/>
    </row>
    <row r="4770" spans="13:13">
      <c r="M4770" s="252"/>
    </row>
    <row r="4771" spans="13:13">
      <c r="M4771" s="252"/>
    </row>
    <row r="4772" spans="13:13">
      <c r="M4772" s="252"/>
    </row>
    <row r="4773" spans="13:13">
      <c r="M4773" s="252"/>
    </row>
    <row r="4774" spans="13:13">
      <c r="M4774" s="252"/>
    </row>
    <row r="4775" spans="13:13">
      <c r="M4775" s="252"/>
    </row>
    <row r="4776" spans="13:13">
      <c r="M4776" s="252"/>
    </row>
    <row r="4777" spans="13:13">
      <c r="M4777" s="252"/>
    </row>
    <row r="4778" spans="13:13">
      <c r="M4778" s="252"/>
    </row>
    <row r="4779" spans="13:13">
      <c r="M4779" s="252"/>
    </row>
    <row r="4780" spans="13:13">
      <c r="M4780" s="252"/>
    </row>
    <row r="4781" spans="13:13">
      <c r="M4781" s="252"/>
    </row>
    <row r="4782" spans="13:13">
      <c r="M4782" s="252"/>
    </row>
    <row r="4783" spans="13:13">
      <c r="M4783" s="252"/>
    </row>
    <row r="4784" spans="13:13">
      <c r="M4784" s="252"/>
    </row>
    <row r="4785" spans="13:13">
      <c r="M4785" s="252"/>
    </row>
    <row r="4786" spans="13:13">
      <c r="M4786" s="252"/>
    </row>
    <row r="4787" spans="13:13">
      <c r="M4787" s="252"/>
    </row>
    <row r="4788" spans="13:13">
      <c r="M4788" s="252"/>
    </row>
    <row r="4789" spans="13:13">
      <c r="M4789" s="252"/>
    </row>
    <row r="4790" spans="13:13">
      <c r="M4790" s="252"/>
    </row>
    <row r="4791" spans="13:13">
      <c r="M4791" s="252"/>
    </row>
    <row r="4792" spans="13:13">
      <c r="M4792" s="252"/>
    </row>
    <row r="4793" spans="13:13">
      <c r="M4793" s="252"/>
    </row>
    <row r="4794" spans="13:13">
      <c r="M4794" s="252"/>
    </row>
    <row r="4795" spans="13:13">
      <c r="M4795" s="252"/>
    </row>
    <row r="4796" spans="13:13">
      <c r="M4796" s="252"/>
    </row>
    <row r="4797" spans="13:13">
      <c r="M4797" s="252"/>
    </row>
    <row r="4798" spans="13:13">
      <c r="M4798" s="252"/>
    </row>
    <row r="4799" spans="13:13">
      <c r="M4799" s="252"/>
    </row>
    <row r="4800" spans="13:13">
      <c r="M4800" s="252"/>
    </row>
    <row r="4801" spans="13:13">
      <c r="M4801" s="252"/>
    </row>
    <row r="4802" spans="13:13">
      <c r="M4802" s="252"/>
    </row>
    <row r="4803" spans="13:13">
      <c r="M4803" s="252"/>
    </row>
    <row r="4804" spans="13:13">
      <c r="M4804" s="252"/>
    </row>
    <row r="4805" spans="13:13">
      <c r="M4805" s="252"/>
    </row>
    <row r="4806" spans="13:13">
      <c r="M4806" s="252"/>
    </row>
    <row r="4807" spans="13:13">
      <c r="M4807" s="252"/>
    </row>
    <row r="4808" spans="13:13">
      <c r="M4808" s="252"/>
    </row>
    <row r="4809" spans="13:13">
      <c r="M4809" s="252"/>
    </row>
    <row r="4810" spans="13:13">
      <c r="M4810" s="252"/>
    </row>
    <row r="4811" spans="13:13">
      <c r="M4811" s="252"/>
    </row>
    <row r="4812" spans="13:13">
      <c r="M4812" s="252"/>
    </row>
    <row r="4813" spans="13:13">
      <c r="M4813" s="252"/>
    </row>
    <row r="4814" spans="13:13">
      <c r="M4814" s="252"/>
    </row>
    <row r="4815" spans="13:13">
      <c r="M4815" s="252"/>
    </row>
    <row r="4816" spans="13:13">
      <c r="M4816" s="252"/>
    </row>
    <row r="4817" spans="13:13">
      <c r="M4817" s="252"/>
    </row>
    <row r="4818" spans="13:13">
      <c r="M4818" s="252"/>
    </row>
    <row r="4819" spans="13:13">
      <c r="M4819" s="252"/>
    </row>
    <row r="4820" spans="13:13">
      <c r="M4820" s="252"/>
    </row>
    <row r="4821" spans="13:13">
      <c r="M4821" s="252"/>
    </row>
    <row r="4822" spans="13:13">
      <c r="M4822" s="252"/>
    </row>
    <row r="4823" spans="13:13">
      <c r="M4823" s="252"/>
    </row>
    <row r="4824" spans="13:13">
      <c r="M4824" s="252"/>
    </row>
    <row r="4825" spans="13:13">
      <c r="M4825" s="252"/>
    </row>
    <row r="4826" spans="13:13">
      <c r="M4826" s="252"/>
    </row>
    <row r="4827" spans="13:13">
      <c r="M4827" s="252"/>
    </row>
    <row r="4828" spans="13:13">
      <c r="M4828" s="252"/>
    </row>
    <row r="4829" spans="13:13">
      <c r="M4829" s="252"/>
    </row>
    <row r="4830" spans="13:13">
      <c r="M4830" s="252"/>
    </row>
    <row r="4831" spans="13:13">
      <c r="M4831" s="252"/>
    </row>
    <row r="4832" spans="13:13">
      <c r="M4832" s="252"/>
    </row>
    <row r="4833" spans="13:13">
      <c r="M4833" s="252"/>
    </row>
    <row r="4834" spans="13:13">
      <c r="M4834" s="252"/>
    </row>
    <row r="4835" spans="13:13">
      <c r="M4835" s="252"/>
    </row>
    <row r="4836" spans="13:13">
      <c r="M4836" s="252"/>
    </row>
    <row r="4837" spans="13:13">
      <c r="M4837" s="252"/>
    </row>
    <row r="4838" spans="13:13">
      <c r="M4838" s="252"/>
    </row>
    <row r="4839" spans="13:13">
      <c r="M4839" s="252"/>
    </row>
    <row r="4840" spans="13:13">
      <c r="M4840" s="252"/>
    </row>
    <row r="4841" spans="13:13">
      <c r="M4841" s="252"/>
    </row>
    <row r="4842" spans="13:13">
      <c r="M4842" s="252"/>
    </row>
    <row r="4843" spans="13:13">
      <c r="M4843" s="252"/>
    </row>
    <row r="4844" spans="13:13">
      <c r="M4844" s="252"/>
    </row>
    <row r="4845" spans="13:13">
      <c r="M4845" s="252"/>
    </row>
    <row r="4846" spans="13:13">
      <c r="M4846" s="252"/>
    </row>
    <row r="4847" spans="13:13">
      <c r="M4847" s="252"/>
    </row>
    <row r="4848" spans="13:13">
      <c r="M4848" s="252"/>
    </row>
    <row r="4849" spans="13:13">
      <c r="M4849" s="252"/>
    </row>
    <row r="4850" spans="13:13">
      <c r="M4850" s="252"/>
    </row>
    <row r="4851" spans="13:13">
      <c r="M4851" s="252"/>
    </row>
    <row r="4852" spans="13:13">
      <c r="M4852" s="252"/>
    </row>
    <row r="4853" spans="13:13">
      <c r="M4853" s="252"/>
    </row>
    <row r="4854" spans="13:13">
      <c r="M4854" s="252"/>
    </row>
    <row r="4855" spans="13:13">
      <c r="M4855" s="252"/>
    </row>
    <row r="4856" spans="13:13">
      <c r="M4856" s="252"/>
    </row>
    <row r="4857" spans="13:13">
      <c r="M4857" s="252"/>
    </row>
    <row r="4858" spans="13:13">
      <c r="M4858" s="252"/>
    </row>
    <row r="4859" spans="13:13">
      <c r="M4859" s="252"/>
    </row>
    <row r="4860" spans="13:13">
      <c r="M4860" s="252"/>
    </row>
    <row r="4861" spans="13:13">
      <c r="M4861" s="252"/>
    </row>
    <row r="4862" spans="13:13">
      <c r="M4862" s="252"/>
    </row>
    <row r="4863" spans="13:13">
      <c r="M4863" s="252"/>
    </row>
    <row r="4864" spans="13:13">
      <c r="M4864" s="252"/>
    </row>
    <row r="4865" spans="13:13">
      <c r="M4865" s="252"/>
    </row>
    <row r="4866" spans="13:13">
      <c r="M4866" s="252"/>
    </row>
    <row r="4867" spans="13:13">
      <c r="M4867" s="252"/>
    </row>
    <row r="4868" spans="13:13">
      <c r="M4868" s="252"/>
    </row>
    <row r="4869" spans="13:13">
      <c r="M4869" s="252"/>
    </row>
    <row r="4870" spans="13:13">
      <c r="M4870" s="252"/>
    </row>
    <row r="4871" spans="13:13">
      <c r="M4871" s="252"/>
    </row>
    <row r="4872" spans="13:13">
      <c r="M4872" s="252"/>
    </row>
    <row r="4873" spans="13:13">
      <c r="M4873" s="252"/>
    </row>
    <row r="4874" spans="13:13">
      <c r="M4874" s="252"/>
    </row>
    <row r="4875" spans="13:13">
      <c r="M4875" s="252"/>
    </row>
    <row r="4876" spans="13:13">
      <c r="M4876" s="252"/>
    </row>
    <row r="4877" spans="13:13">
      <c r="M4877" s="252"/>
    </row>
    <row r="4878" spans="13:13">
      <c r="M4878" s="252"/>
    </row>
    <row r="4879" spans="13:13">
      <c r="M4879" s="252"/>
    </row>
    <row r="4880" spans="13:13">
      <c r="M4880" s="252"/>
    </row>
    <row r="4881" spans="13:13">
      <c r="M4881" s="252"/>
    </row>
    <row r="4882" spans="13:13">
      <c r="M4882" s="252"/>
    </row>
    <row r="4883" spans="13:13">
      <c r="M4883" s="252"/>
    </row>
    <row r="4884" spans="13:13">
      <c r="M4884" s="252"/>
    </row>
    <row r="4885" spans="13:13">
      <c r="M4885" s="252"/>
    </row>
    <row r="4886" spans="13:13">
      <c r="M4886" s="252"/>
    </row>
    <row r="4887" spans="13:13">
      <c r="M4887" s="252"/>
    </row>
    <row r="4888" spans="13:13">
      <c r="M4888" s="252"/>
    </row>
    <row r="4889" spans="13:13">
      <c r="M4889" s="252"/>
    </row>
    <row r="4890" spans="13:13">
      <c r="M4890" s="252"/>
    </row>
    <row r="4891" spans="13:13">
      <c r="M4891" s="252"/>
    </row>
    <row r="4892" spans="13:13">
      <c r="M4892" s="252"/>
    </row>
    <row r="4893" spans="13:13">
      <c r="M4893" s="252"/>
    </row>
    <row r="4894" spans="13:13">
      <c r="M4894" s="252"/>
    </row>
    <row r="4895" spans="13:13">
      <c r="M4895" s="252"/>
    </row>
    <row r="4896" spans="13:13">
      <c r="M4896" s="252"/>
    </row>
    <row r="4897" spans="13:13">
      <c r="M4897" s="252"/>
    </row>
    <row r="4898" spans="13:13">
      <c r="M4898" s="252"/>
    </row>
    <row r="4899" spans="13:13">
      <c r="M4899" s="252"/>
    </row>
    <row r="4900" spans="13:13">
      <c r="M4900" s="252"/>
    </row>
    <row r="4901" spans="13:13">
      <c r="M4901" s="252"/>
    </row>
    <row r="4902" spans="13:13">
      <c r="M4902" s="252"/>
    </row>
    <row r="4903" spans="13:13">
      <c r="M4903" s="252"/>
    </row>
    <row r="4904" spans="13:13">
      <c r="M4904" s="252"/>
    </row>
    <row r="4905" spans="13:13">
      <c r="M4905" s="252"/>
    </row>
    <row r="4906" spans="13:13">
      <c r="M4906" s="252"/>
    </row>
    <row r="4907" spans="13:13">
      <c r="M4907" s="252"/>
    </row>
    <row r="4908" spans="13:13">
      <c r="M4908" s="252"/>
    </row>
    <row r="4909" spans="13:13">
      <c r="M4909" s="252"/>
    </row>
    <row r="4910" spans="13:13">
      <c r="M4910" s="252"/>
    </row>
    <row r="4911" spans="13:13">
      <c r="M4911" s="252"/>
    </row>
    <row r="4912" spans="13:13">
      <c r="M4912" s="252"/>
    </row>
    <row r="4913" spans="13:13">
      <c r="M4913" s="252"/>
    </row>
    <row r="4914" spans="13:13">
      <c r="M4914" s="252"/>
    </row>
    <row r="4915" spans="13:13">
      <c r="M4915" s="252"/>
    </row>
    <row r="4916" spans="13:13">
      <c r="M4916" s="252"/>
    </row>
    <row r="4917" spans="13:13">
      <c r="M4917" s="252"/>
    </row>
    <row r="4918" spans="13:13">
      <c r="M4918" s="252"/>
    </row>
    <row r="4919" spans="13:13">
      <c r="M4919" s="252"/>
    </row>
    <row r="4920" spans="13:13">
      <c r="M4920" s="252"/>
    </row>
    <row r="4921" spans="13:13">
      <c r="M4921" s="252"/>
    </row>
    <row r="4922" spans="13:13">
      <c r="M4922" s="252"/>
    </row>
    <row r="4923" spans="13:13">
      <c r="M4923" s="252"/>
    </row>
    <row r="4924" spans="13:13">
      <c r="M4924" s="252"/>
    </row>
    <row r="4925" spans="13:13">
      <c r="M4925" s="252"/>
    </row>
    <row r="4926" spans="13:13">
      <c r="M4926" s="252"/>
    </row>
    <row r="4927" spans="13:13">
      <c r="M4927" s="252"/>
    </row>
    <row r="4928" spans="13:13">
      <c r="M4928" s="252"/>
    </row>
    <row r="4929" spans="13:13">
      <c r="M4929" s="252"/>
    </row>
    <row r="4930" spans="13:13">
      <c r="M4930" s="252"/>
    </row>
    <row r="4931" spans="13:13">
      <c r="M4931" s="252"/>
    </row>
    <row r="4932" spans="13:13">
      <c r="M4932" s="252"/>
    </row>
    <row r="4933" spans="13:13">
      <c r="M4933" s="252"/>
    </row>
    <row r="4934" spans="13:13">
      <c r="M4934" s="252"/>
    </row>
    <row r="4935" spans="13:13">
      <c r="M4935" s="252"/>
    </row>
    <row r="4936" spans="13:13">
      <c r="M4936" s="252"/>
    </row>
    <row r="4937" spans="13:13">
      <c r="M4937" s="252"/>
    </row>
    <row r="4938" spans="13:13">
      <c r="M4938" s="252"/>
    </row>
    <row r="4939" spans="13:13">
      <c r="M4939" s="252"/>
    </row>
    <row r="4940" spans="13:13">
      <c r="M4940" s="252"/>
    </row>
    <row r="4941" spans="13:13">
      <c r="M4941" s="252"/>
    </row>
    <row r="4942" spans="13:13">
      <c r="M4942" s="252"/>
    </row>
    <row r="4943" spans="13:13">
      <c r="M4943" s="252"/>
    </row>
    <row r="4944" spans="13:13">
      <c r="M4944" s="252"/>
    </row>
    <row r="4945" spans="13:13">
      <c r="M4945" s="252"/>
    </row>
    <row r="4946" spans="13:13">
      <c r="M4946" s="252"/>
    </row>
    <row r="4947" spans="13:13">
      <c r="M4947" s="252"/>
    </row>
    <row r="4948" spans="13:13">
      <c r="M4948" s="252"/>
    </row>
    <row r="4949" spans="13:13">
      <c r="M4949" s="252"/>
    </row>
    <row r="4950" spans="13:13">
      <c r="M4950" s="252"/>
    </row>
    <row r="4951" spans="13:13">
      <c r="M4951" s="252"/>
    </row>
    <row r="4952" spans="13:13">
      <c r="M4952" s="252"/>
    </row>
    <row r="4953" spans="13:13">
      <c r="M4953" s="252"/>
    </row>
    <row r="4954" spans="13:13">
      <c r="M4954" s="252"/>
    </row>
    <row r="4955" spans="13:13">
      <c r="M4955" s="252"/>
    </row>
    <row r="4956" spans="13:13">
      <c r="M4956" s="252"/>
    </row>
    <row r="4957" spans="13:13">
      <c r="M4957" s="252"/>
    </row>
    <row r="4958" spans="13:13">
      <c r="M4958" s="252"/>
    </row>
    <row r="4959" spans="13:13">
      <c r="M4959" s="252"/>
    </row>
    <row r="4960" spans="13:13">
      <c r="M4960" s="252"/>
    </row>
    <row r="4961" spans="13:13">
      <c r="M4961" s="252"/>
    </row>
    <row r="4962" spans="13:13">
      <c r="M4962" s="252"/>
    </row>
    <row r="4963" spans="13:13">
      <c r="M4963" s="252"/>
    </row>
    <row r="4964" spans="13:13">
      <c r="M4964" s="252"/>
    </row>
    <row r="4965" spans="13:13">
      <c r="M4965" s="252"/>
    </row>
    <row r="4966" spans="13:13">
      <c r="M4966" s="252"/>
    </row>
    <row r="4967" spans="13:13">
      <c r="M4967" s="252"/>
    </row>
    <row r="4968" spans="13:13">
      <c r="M4968" s="252"/>
    </row>
    <row r="4969" spans="13:13">
      <c r="M4969" s="252"/>
    </row>
    <row r="4970" spans="13:13">
      <c r="M4970" s="252"/>
    </row>
    <row r="4971" spans="13:13">
      <c r="M4971" s="252"/>
    </row>
    <row r="4972" spans="13:13">
      <c r="M4972" s="252"/>
    </row>
    <row r="4973" spans="13:13">
      <c r="M4973" s="252"/>
    </row>
    <row r="4974" spans="13:13">
      <c r="M4974" s="252"/>
    </row>
    <row r="4975" spans="13:13">
      <c r="M4975" s="252"/>
    </row>
    <row r="4976" spans="13:13">
      <c r="M4976" s="252"/>
    </row>
    <row r="4977" spans="13:13">
      <c r="M4977" s="252"/>
    </row>
    <row r="4978" spans="13:13">
      <c r="M4978" s="252"/>
    </row>
    <row r="4979" spans="13:13">
      <c r="M4979" s="252"/>
    </row>
    <row r="4980" spans="13:13">
      <c r="M4980" s="252"/>
    </row>
    <row r="4981" spans="13:13">
      <c r="M4981" s="252"/>
    </row>
    <row r="4982" spans="13:13">
      <c r="M4982" s="252"/>
    </row>
    <row r="4983" spans="13:13">
      <c r="M4983" s="252"/>
    </row>
    <row r="4984" spans="13:13">
      <c r="M4984" s="252"/>
    </row>
    <row r="4985" spans="13:13">
      <c r="M4985" s="252"/>
    </row>
    <row r="4986" spans="13:13">
      <c r="M4986" s="252"/>
    </row>
    <row r="4987" spans="13:13">
      <c r="M4987" s="252"/>
    </row>
    <row r="4988" spans="13:13">
      <c r="M4988" s="252"/>
    </row>
    <row r="4989" spans="13:13">
      <c r="M4989" s="252"/>
    </row>
    <row r="4990" spans="13:13">
      <c r="M4990" s="252"/>
    </row>
    <row r="4991" spans="13:13">
      <c r="M4991" s="252"/>
    </row>
    <row r="4992" spans="13:13">
      <c r="M4992" s="252"/>
    </row>
    <row r="4993" spans="13:13">
      <c r="M4993" s="252"/>
    </row>
    <row r="4994" spans="13:13">
      <c r="M4994" s="252"/>
    </row>
    <row r="4995" spans="13:13">
      <c r="M4995" s="252"/>
    </row>
    <row r="4996" spans="13:13">
      <c r="M4996" s="252"/>
    </row>
    <row r="4997" spans="13:13">
      <c r="M4997" s="252"/>
    </row>
    <row r="4998" spans="13:13">
      <c r="M4998" s="252"/>
    </row>
    <row r="4999" spans="13:13">
      <c r="M4999" s="252"/>
    </row>
    <row r="5000" spans="13:13">
      <c r="M5000" s="252"/>
    </row>
    <row r="5001" spans="13:13">
      <c r="M5001" s="252"/>
    </row>
    <row r="5002" spans="13:13">
      <c r="M5002" s="252"/>
    </row>
    <row r="5003" spans="13:13">
      <c r="M5003" s="252"/>
    </row>
    <row r="5004" spans="13:13">
      <c r="M5004" s="252"/>
    </row>
    <row r="5005" spans="13:13">
      <c r="M5005" s="252"/>
    </row>
    <row r="5006" spans="13:13">
      <c r="M5006" s="252"/>
    </row>
    <row r="5007" spans="13:13">
      <c r="M5007" s="252"/>
    </row>
    <row r="5008" spans="13:13">
      <c r="M5008" s="252"/>
    </row>
    <row r="5009" spans="13:13">
      <c r="M5009" s="252"/>
    </row>
    <row r="5010" spans="13:13">
      <c r="M5010" s="252"/>
    </row>
    <row r="5011" spans="13:13">
      <c r="M5011" s="25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8"/>
  <sheetViews>
    <sheetView tabSelected="1" topLeftCell="A2" workbookViewId="0">
      <selection activeCell="G36" sqref="G36"/>
    </sheetView>
  </sheetViews>
  <sheetFormatPr defaultColWidth="9" defaultRowHeight="16.5" outlineLevelRow="7"/>
  <cols>
    <col min="1" max="3" width="9" style="16" customWidth="1"/>
    <col min="4" max="4" width="15" style="16" customWidth="1"/>
    <col min="5" max="6" width="12" style="16" customWidth="1"/>
    <col min="7" max="7" width="9" style="16" customWidth="1"/>
    <col min="8" max="8" width="11.25" style="16" customWidth="1"/>
    <col min="9" max="10" width="10" style="16" customWidth="1"/>
    <col min="11" max="11" width="10.125" style="16" customWidth="1"/>
    <col min="12" max="12" width="10.875" style="16" customWidth="1"/>
    <col min="13" max="13" width="9" style="16" customWidth="1"/>
    <col min="14" max="14" width="10.875" style="16" customWidth="1"/>
    <col min="15" max="16384" width="9" style="16" customWidth="1"/>
  </cols>
  <sheetData>
    <row r="3" spans="2:15">
      <c r="B3" s="19" t="s">
        <v>1049</v>
      </c>
      <c r="C3" s="19" t="s">
        <v>1050</v>
      </c>
      <c r="D3" s="19" t="s">
        <v>1051</v>
      </c>
      <c r="E3" s="19" t="s">
        <v>1052</v>
      </c>
      <c r="F3" s="19" t="s">
        <v>1053</v>
      </c>
      <c r="G3" s="19" t="s">
        <v>1054</v>
      </c>
      <c r="H3" s="19" t="s">
        <v>1055</v>
      </c>
      <c r="I3" s="19" t="s">
        <v>1056</v>
      </c>
      <c r="J3" s="19" t="s">
        <v>1057</v>
      </c>
      <c r="K3" s="19" t="s">
        <v>1057</v>
      </c>
      <c r="N3" s="19" t="s">
        <v>1057</v>
      </c>
      <c r="O3" s="16">
        <f>SUM(J4:J7)</f>
        <v>1112</v>
      </c>
    </row>
    <row r="4" spans="2:15">
      <c r="B4" s="241">
        <v>20</v>
      </c>
      <c r="C4" s="16">
        <v>1</v>
      </c>
      <c r="D4" s="16" t="s">
        <v>617</v>
      </c>
      <c r="E4" s="16">
        <v>6</v>
      </c>
      <c r="F4" s="16">
        <f>VLOOKUP(D4,道具定价!$C:$F,4,0)*E4</f>
        <v>24</v>
      </c>
      <c r="G4" s="16" t="s">
        <v>601</v>
      </c>
      <c r="H4" s="16">
        <v>20000</v>
      </c>
      <c r="I4" s="16">
        <f>VLOOKUP(G4,道具定价!$C:$F,4,0)*H4</f>
        <v>20</v>
      </c>
      <c r="J4" s="16">
        <f>I4+F4</f>
        <v>44</v>
      </c>
    </row>
    <row r="5" spans="2:15">
      <c r="B5" s="241">
        <v>30</v>
      </c>
      <c r="C5" s="16">
        <v>2</v>
      </c>
      <c r="D5" s="16" t="s">
        <v>618</v>
      </c>
      <c r="E5" s="16">
        <v>6</v>
      </c>
      <c r="F5" s="16">
        <f>VLOOKUP(D5,道具定价!$C:$F,4,0)*E5</f>
        <v>72</v>
      </c>
      <c r="G5" s="16" t="s">
        <v>601</v>
      </c>
      <c r="H5" s="16">
        <v>60000</v>
      </c>
      <c r="I5" s="16">
        <f>VLOOKUP(G5,道具定价!$C:$F,4,0)*H5</f>
        <v>60</v>
      </c>
      <c r="J5" s="16">
        <f>I5+F5</f>
        <v>132</v>
      </c>
    </row>
    <row r="6" spans="2:15">
      <c r="B6" s="241">
        <v>40</v>
      </c>
      <c r="C6" s="16">
        <v>3</v>
      </c>
      <c r="D6" s="16" t="s">
        <v>618</v>
      </c>
      <c r="E6" s="16">
        <v>12</v>
      </c>
      <c r="F6" s="16">
        <f>VLOOKUP(D6,道具定价!$C:$F,4,0)*E6</f>
        <v>144</v>
      </c>
      <c r="G6" s="16" t="s">
        <v>601</v>
      </c>
      <c r="H6" s="16">
        <v>120000</v>
      </c>
      <c r="I6" s="16">
        <f>VLOOKUP(G6,道具定价!$C:$F,4,0)*H6</f>
        <v>120</v>
      </c>
      <c r="J6" s="16">
        <f>I6+F6</f>
        <v>264</v>
      </c>
    </row>
    <row r="7" spans="2:15">
      <c r="B7" s="241">
        <v>50</v>
      </c>
      <c r="C7" s="16">
        <v>4</v>
      </c>
      <c r="D7" s="16" t="s">
        <v>619</v>
      </c>
      <c r="E7" s="16">
        <v>12</v>
      </c>
      <c r="F7" s="16">
        <f>VLOOKUP(D7,道具定价!$C:$F,4,0)*E7</f>
        <v>432</v>
      </c>
      <c r="G7" s="16" t="s">
        <v>601</v>
      </c>
      <c r="H7" s="16">
        <v>240000</v>
      </c>
      <c r="I7" s="16">
        <f>VLOOKUP(G7,道具定价!$C:$F,4,0)*H7</f>
        <v>240</v>
      </c>
      <c r="J7" s="16">
        <f>I7+F7</f>
        <v>672</v>
      </c>
    </row>
    <row r="8" spans="2:15">
      <c r="F8" s="16">
        <f>SUM(F4:F7)</f>
        <v>672</v>
      </c>
      <c r="H8" s="16">
        <f>SUM(H4:H7)</f>
        <v>440000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85"/>
  <sheetViews>
    <sheetView workbookViewId="0">
      <selection activeCell="G11" sqref="G11"/>
    </sheetView>
  </sheetViews>
  <sheetFormatPr defaultColWidth="9" defaultRowHeight="16.5"/>
  <cols>
    <col min="1" max="1" width="9" style="16" customWidth="1"/>
    <col min="2" max="2" width="7.875" style="16" customWidth="1"/>
    <col min="3" max="3" width="18.5" style="16" customWidth="1"/>
    <col min="4" max="5" width="9" style="16" customWidth="1"/>
    <col min="6" max="6" width="11.75" style="16" customWidth="1"/>
    <col min="7" max="7" width="8" style="16" customWidth="1"/>
    <col min="8" max="9" width="9.375" style="16" customWidth="1"/>
    <col min="10" max="10" width="9" style="16" customWidth="1"/>
    <col min="11" max="11" width="18.5" style="16" customWidth="1"/>
    <col min="12" max="12" width="18.75" style="16" customWidth="1"/>
    <col min="13" max="13" width="9" style="16" customWidth="1"/>
    <col min="14" max="14" width="14.125" style="16" customWidth="1"/>
    <col min="15" max="15" width="14" style="16" customWidth="1"/>
    <col min="16" max="17" width="14.125" style="16" customWidth="1"/>
    <col min="18" max="18" width="9" style="16" customWidth="1"/>
    <col min="19" max="19" width="11.375" style="16" customWidth="1"/>
    <col min="20" max="20" width="14.125" style="16" customWidth="1"/>
    <col min="21" max="16384" width="9" style="16" customWidth="1"/>
  </cols>
  <sheetData>
    <row r="2" spans="2:17">
      <c r="H2" s="19" t="s">
        <v>1058</v>
      </c>
      <c r="I2" s="19" t="s">
        <v>1059</v>
      </c>
      <c r="K2" s="16" t="s">
        <v>1060</v>
      </c>
      <c r="L2" s="16" t="s">
        <v>1061</v>
      </c>
      <c r="N2" s="16" t="s">
        <v>1062</v>
      </c>
      <c r="O2" s="16" t="s">
        <v>1063</v>
      </c>
      <c r="P2" s="246" t="s">
        <v>1064</v>
      </c>
    </row>
    <row r="3" spans="2:17">
      <c r="B3" s="11" t="s">
        <v>1065</v>
      </c>
      <c r="C3" s="11" t="s">
        <v>1066</v>
      </c>
      <c r="F3" s="11" t="s">
        <v>1067</v>
      </c>
      <c r="G3" s="11" t="s">
        <v>1068</v>
      </c>
      <c r="H3" s="247">
        <v>0.01</v>
      </c>
      <c r="I3" s="247">
        <f>1/G10</f>
        <v>0.0197956557643264</v>
      </c>
      <c r="J3" s="248" t="s">
        <v>603</v>
      </c>
      <c r="K3" s="179">
        <v>2</v>
      </c>
      <c r="L3" s="179">
        <v>10</v>
      </c>
      <c r="N3" s="16">
        <f>I3*道具定价!$F$15*L3</f>
        <v>2.96934836464896</v>
      </c>
      <c r="O3" s="186">
        <f>L3*I3</f>
        <v>0.197956557643264</v>
      </c>
      <c r="P3" s="186">
        <f>L3*I3</f>
        <v>0.197956557643264</v>
      </c>
    </row>
    <row r="4" spans="2:17">
      <c r="B4" s="11">
        <v>0</v>
      </c>
      <c r="C4" s="11">
        <v>1</v>
      </c>
      <c r="F4" s="11"/>
      <c r="G4" s="11" t="s">
        <v>1069</v>
      </c>
      <c r="H4" s="247">
        <v>0.1</v>
      </c>
      <c r="I4" s="247">
        <f>K28*H4/(H3+H4)</f>
        <v>0.145310228471612</v>
      </c>
      <c r="J4" s="248" t="s">
        <v>603</v>
      </c>
      <c r="K4" s="179">
        <v>1</v>
      </c>
      <c r="L4" s="179">
        <v>3</v>
      </c>
      <c r="N4" s="16">
        <f>I4*道具定价!$F$16*L4</f>
        <v>0.653896028122254</v>
      </c>
      <c r="O4" s="186">
        <f>I4*L4</f>
        <v>0.435930685414836</v>
      </c>
      <c r="P4" s="186">
        <f>L4*I4</f>
        <v>0.435930685414836</v>
      </c>
    </row>
    <row r="5" spans="2:17">
      <c r="B5" s="11">
        <v>1</v>
      </c>
      <c r="C5" s="11">
        <v>1</v>
      </c>
      <c r="F5" s="11"/>
      <c r="G5" s="11" t="s">
        <v>1070</v>
      </c>
      <c r="H5" s="247">
        <f>1-H4-H3</f>
        <v>0.89</v>
      </c>
      <c r="I5" s="247">
        <f>1-I4-I3</f>
        <v>0.834894115764061</v>
      </c>
      <c r="J5" s="248" t="s">
        <v>604</v>
      </c>
      <c r="K5" s="179">
        <v>3</v>
      </c>
      <c r="L5" s="179">
        <v>6</v>
      </c>
      <c r="N5" s="16">
        <f>I5*道具定价!$F$17*L5</f>
        <v>5.00936469458437</v>
      </c>
      <c r="O5" s="186">
        <f>I5*L5</f>
        <v>5.00936469458437</v>
      </c>
      <c r="P5" s="186">
        <f>L5*I5</f>
        <v>5.00936469458437</v>
      </c>
    </row>
    <row r="6" spans="2:17">
      <c r="B6" s="11">
        <v>2</v>
      </c>
      <c r="C6" s="11">
        <v>1</v>
      </c>
      <c r="N6" s="16">
        <f>SUM(N3:N5)</f>
        <v>8.63260908735558</v>
      </c>
    </row>
    <row r="7" spans="2:17">
      <c r="B7" s="11">
        <v>3</v>
      </c>
      <c r="C7" s="11">
        <v>1</v>
      </c>
      <c r="F7" s="16" t="s">
        <v>1071</v>
      </c>
    </row>
    <row r="8" spans="2:17">
      <c r="B8" s="11">
        <v>4</v>
      </c>
      <c r="C8" s="11">
        <v>1</v>
      </c>
      <c r="F8" s="16" t="s">
        <v>1072</v>
      </c>
      <c r="G8" s="16">
        <v>150</v>
      </c>
      <c r="H8" s="16" t="s">
        <v>5</v>
      </c>
      <c r="N8" s="249" t="s">
        <v>1073</v>
      </c>
      <c r="O8" s="16" t="s">
        <v>1074</v>
      </c>
      <c r="P8" s="16" t="s">
        <v>1075</v>
      </c>
      <c r="Q8" s="16" t="s">
        <v>1076</v>
      </c>
    </row>
    <row r="9" spans="2:17">
      <c r="B9" s="11">
        <v>5</v>
      </c>
      <c r="C9" s="11">
        <v>1</v>
      </c>
      <c r="F9" s="16" t="s">
        <v>1077</v>
      </c>
      <c r="G9" s="16">
        <v>70</v>
      </c>
      <c r="N9" s="248" t="s">
        <v>603</v>
      </c>
      <c r="O9" s="186">
        <f>O4</f>
        <v>0.435930685414836</v>
      </c>
      <c r="P9" s="186">
        <f>P4+O3</f>
        <v>0.6338872430581</v>
      </c>
      <c r="Q9" s="186">
        <f>P4+P3</f>
        <v>0.6338872430581</v>
      </c>
    </row>
    <row r="10" spans="2:17">
      <c r="B10" s="11">
        <v>6</v>
      </c>
      <c r="C10" s="11">
        <v>0</v>
      </c>
      <c r="F10" s="16" t="s">
        <v>1078</v>
      </c>
      <c r="G10" s="16">
        <f t="array" ref="G10">SUMPRODUCT(_xlfn.ANCHORARRAY(F16),G16:G85)</f>
        <v>50.5161340399793</v>
      </c>
      <c r="N10" s="248" t="s">
        <v>604</v>
      </c>
      <c r="O10" s="186">
        <f>P5</f>
        <v>5.00936469458437</v>
      </c>
      <c r="P10" s="186">
        <f>P5</f>
        <v>5.00936469458437</v>
      </c>
      <c r="Q10" s="186">
        <f>P5</f>
        <v>5.00936469458437</v>
      </c>
    </row>
    <row r="11" spans="2:17">
      <c r="F11" s="16" t="s">
        <v>1079</v>
      </c>
      <c r="G11" s="16">
        <f>G8*G10</f>
        <v>7577.42010599689</v>
      </c>
      <c r="H11" s="16" t="s">
        <v>5</v>
      </c>
      <c r="P11" s="186"/>
      <c r="Q11" s="186"/>
    </row>
    <row r="12" spans="2:17">
      <c r="F12" s="16" t="s">
        <v>1080</v>
      </c>
      <c r="G12" s="16">
        <f>G11/H4*H3</f>
        <v>757.742010599689</v>
      </c>
      <c r="H12" s="16" t="s">
        <v>5</v>
      </c>
    </row>
    <row r="13" spans="2:17">
      <c r="F13" s="16" t="s">
        <v>1081</v>
      </c>
      <c r="G13" s="16">
        <f>G11/H5*H3</f>
        <v>85.1395517527741</v>
      </c>
      <c r="H13" s="16" t="s">
        <v>5</v>
      </c>
      <c r="J13" s="16" t="s">
        <v>1082</v>
      </c>
    </row>
    <row r="15" spans="2:17">
      <c r="F15" s="16" t="s">
        <v>1083</v>
      </c>
      <c r="G15" s="16" t="s">
        <v>1084</v>
      </c>
      <c r="H15" s="16" t="s">
        <v>1085</v>
      </c>
      <c r="J15" s="16" t="s">
        <v>1083</v>
      </c>
      <c r="K15" s="16" t="s">
        <v>1084</v>
      </c>
      <c r="L15" s="16" t="s">
        <v>1085</v>
      </c>
    </row>
    <row r="16" spans="2:17">
      <c r="F16" s="16">
        <f t="array" ref="F16:F85">_xlfn.SEQUENCE(G9,1,1,1)</f>
        <v>1</v>
      </c>
      <c r="G16" s="16">
        <f>$H$3</f>
        <v>0.01</v>
      </c>
      <c r="H16" s="16">
        <f>1-G16</f>
        <v>0.99</v>
      </c>
      <c r="J16" s="16">
        <v>1</v>
      </c>
      <c r="K16" s="16">
        <f>H3+H4</f>
        <v>0.11</v>
      </c>
      <c r="L16" s="16">
        <f>1-K16</f>
        <v>0.89</v>
      </c>
    </row>
    <row r="17" spans="6:15">
      <c r="F17" s="16">
        <v>2</v>
      </c>
      <c r="G17" s="16">
        <f t="shared" ref="G17:G80" si="0">$H$3*H16</f>
        <v>0.0099</v>
      </c>
      <c r="H17" s="16">
        <f t="shared" ref="H17:H80" si="1">POWER(1-$H$3,F17)</f>
        <v>0.9801</v>
      </c>
      <c r="J17" s="16">
        <v>2</v>
      </c>
      <c r="K17" s="16">
        <f t="shared" ref="K17:K24" si="2">$K$16*L16</f>
        <v>0.0979</v>
      </c>
      <c r="L17" s="16">
        <f t="shared" ref="L17:L24" si="3">POWER(1-K$16,J17)</f>
        <v>0.7921</v>
      </c>
    </row>
    <row r="18" spans="6:15">
      <c r="F18" s="16">
        <v>3</v>
      </c>
      <c r="G18" s="16">
        <f t="shared" si="0"/>
        <v>0.009801</v>
      </c>
      <c r="H18" s="16">
        <f t="shared" si="1"/>
        <v>0.970299</v>
      </c>
      <c r="J18" s="16">
        <v>3</v>
      </c>
      <c r="K18" s="16">
        <f t="shared" si="2"/>
        <v>0.087131</v>
      </c>
      <c r="L18" s="16">
        <f t="shared" si="3"/>
        <v>0.704969</v>
      </c>
    </row>
    <row r="19" spans="6:15">
      <c r="F19" s="16">
        <v>4</v>
      </c>
      <c r="G19" s="16">
        <f t="shared" si="0"/>
        <v>0.00970299</v>
      </c>
      <c r="H19" s="16">
        <f t="shared" si="1"/>
        <v>0.96059601</v>
      </c>
      <c r="J19" s="16">
        <v>4</v>
      </c>
      <c r="K19" s="16">
        <f t="shared" si="2"/>
        <v>0.07754659</v>
      </c>
      <c r="L19" s="16">
        <f t="shared" si="3"/>
        <v>0.62742241</v>
      </c>
    </row>
    <row r="20" spans="6:15">
      <c r="F20" s="16">
        <v>5</v>
      </c>
      <c r="G20" s="16">
        <f t="shared" si="0"/>
        <v>0.0096059601</v>
      </c>
      <c r="H20" s="16">
        <f t="shared" si="1"/>
        <v>0.9509900499</v>
      </c>
      <c r="J20" s="16">
        <v>5</v>
      </c>
      <c r="K20" s="16">
        <f t="shared" si="2"/>
        <v>0.0690164651</v>
      </c>
      <c r="L20" s="16">
        <f t="shared" si="3"/>
        <v>0.5584059449</v>
      </c>
    </row>
    <row r="21" spans="6:15">
      <c r="F21" s="16">
        <v>6</v>
      </c>
      <c r="G21" s="16">
        <f t="shared" si="0"/>
        <v>0.009509900499</v>
      </c>
      <c r="H21" s="16">
        <f t="shared" si="1"/>
        <v>0.941480149401</v>
      </c>
      <c r="J21" s="16">
        <v>6</v>
      </c>
      <c r="K21" s="16">
        <f t="shared" si="2"/>
        <v>0.061424653939</v>
      </c>
      <c r="L21" s="16">
        <f t="shared" si="3"/>
        <v>0.496981290961</v>
      </c>
    </row>
    <row r="22" spans="6:15">
      <c r="F22" s="16">
        <v>7</v>
      </c>
      <c r="G22" s="16">
        <f t="shared" si="0"/>
        <v>0.00941480149401</v>
      </c>
      <c r="H22" s="16">
        <f t="shared" si="1"/>
        <v>0.93206534790699</v>
      </c>
      <c r="J22" s="16">
        <v>7</v>
      </c>
      <c r="K22" s="16">
        <f t="shared" si="2"/>
        <v>0.05466794200571</v>
      </c>
      <c r="L22" s="16">
        <f t="shared" si="3"/>
        <v>0.44231334895529</v>
      </c>
      <c r="N22" s="251" t="s">
        <v>1086</v>
      </c>
      <c r="O22" s="18"/>
    </row>
    <row r="23" spans="6:15">
      <c r="F23" s="16">
        <v>8</v>
      </c>
      <c r="G23" s="16">
        <f t="shared" si="0"/>
        <v>0.0093206534790699</v>
      </c>
      <c r="H23" s="16">
        <f t="shared" si="1"/>
        <v>0.92274469442792</v>
      </c>
      <c r="J23" s="16">
        <v>8</v>
      </c>
      <c r="K23" s="16">
        <f t="shared" si="2"/>
        <v>0.0486544683850819</v>
      </c>
      <c r="L23" s="16">
        <f t="shared" si="3"/>
        <v>0.393658880570208</v>
      </c>
      <c r="M23" s="25"/>
      <c r="N23" s="25" t="s">
        <v>1087</v>
      </c>
    </row>
    <row r="24" spans="6:15">
      <c r="F24" s="16">
        <v>9</v>
      </c>
      <c r="G24" s="16">
        <f t="shared" si="0"/>
        <v>0.0092274469442792</v>
      </c>
      <c r="H24" s="16">
        <f t="shared" si="1"/>
        <v>0.913517247483641</v>
      </c>
      <c r="J24" s="16">
        <v>9</v>
      </c>
      <c r="K24" s="16">
        <f t="shared" si="2"/>
        <v>0.0433024768627229</v>
      </c>
      <c r="L24" s="16">
        <f t="shared" si="3"/>
        <v>0.350356403707485</v>
      </c>
      <c r="N24" s="25"/>
    </row>
    <row r="25" spans="6:15">
      <c r="F25" s="16">
        <v>10</v>
      </c>
      <c r="G25" s="16">
        <f t="shared" si="0"/>
        <v>0.00913517247483641</v>
      </c>
      <c r="H25" s="16">
        <f t="shared" si="1"/>
        <v>0.904382075008804</v>
      </c>
      <c r="J25" s="16">
        <v>10</v>
      </c>
      <c r="K25" s="16">
        <f>1-SUM(K16:K24)</f>
        <v>0.350356403707485</v>
      </c>
      <c r="M25" s="25"/>
      <c r="N25" s="25" t="s">
        <v>1088</v>
      </c>
    </row>
    <row r="26" spans="6:15">
      <c r="F26" s="16">
        <v>11</v>
      </c>
      <c r="G26" s="16">
        <f t="shared" si="0"/>
        <v>0.00904382075008804</v>
      </c>
      <c r="H26" s="16">
        <f t="shared" si="1"/>
        <v>0.895338254258716</v>
      </c>
    </row>
    <row r="27" spans="6:15">
      <c r="F27" s="16">
        <v>12</v>
      </c>
      <c r="G27" s="16">
        <f t="shared" si="0"/>
        <v>0.00895338254258716</v>
      </c>
      <c r="H27" s="16">
        <f t="shared" si="1"/>
        <v>0.886384871716129</v>
      </c>
      <c r="K27" s="16">
        <f t="array" ref="K27">SUMPRODUCT(J16:J25,K16:K25)</f>
        <v>6.25620727909398</v>
      </c>
    </row>
    <row r="28" spans="6:15">
      <c r="F28" s="16">
        <v>13</v>
      </c>
      <c r="G28" s="16">
        <f t="shared" si="0"/>
        <v>0.00886384871716129</v>
      </c>
      <c r="H28" s="16">
        <f t="shared" si="1"/>
        <v>0.877521022998968</v>
      </c>
      <c r="K28" s="16">
        <f>1/K27</f>
        <v>0.159841251318773</v>
      </c>
    </row>
    <row r="29" spans="6:15">
      <c r="F29" s="16">
        <v>14</v>
      </c>
      <c r="G29" s="16">
        <f t="shared" si="0"/>
        <v>0.00877521022998968</v>
      </c>
      <c r="H29" s="16">
        <f t="shared" si="1"/>
        <v>0.868745812768978</v>
      </c>
    </row>
    <row r="30" spans="6:15">
      <c r="F30" s="16">
        <v>15</v>
      </c>
      <c r="G30" s="16">
        <f t="shared" si="0"/>
        <v>0.00868745812768978</v>
      </c>
      <c r="H30" s="16">
        <f t="shared" si="1"/>
        <v>0.860058354641288</v>
      </c>
    </row>
    <row r="31" spans="6:15">
      <c r="F31" s="16">
        <v>16</v>
      </c>
      <c r="G31" s="16">
        <f t="shared" si="0"/>
        <v>0.00860058354641288</v>
      </c>
      <c r="H31" s="16">
        <f t="shared" si="1"/>
        <v>0.851457771094876</v>
      </c>
    </row>
    <row r="32" spans="6:15">
      <c r="F32" s="16">
        <v>17</v>
      </c>
      <c r="G32" s="16">
        <f t="shared" si="0"/>
        <v>0.00851457771094876</v>
      </c>
      <c r="H32" s="16">
        <f t="shared" si="1"/>
        <v>0.842943193383927</v>
      </c>
    </row>
    <row r="33" spans="6:8">
      <c r="F33" s="16">
        <v>18</v>
      </c>
      <c r="G33" s="16">
        <f t="shared" si="0"/>
        <v>0.00842943193383927</v>
      </c>
      <c r="H33" s="16">
        <f t="shared" si="1"/>
        <v>0.834513761450087</v>
      </c>
    </row>
    <row r="34" spans="6:8">
      <c r="F34" s="16">
        <v>19</v>
      </c>
      <c r="G34" s="16">
        <f t="shared" si="0"/>
        <v>0.00834513761450087</v>
      </c>
      <c r="H34" s="16">
        <f t="shared" si="1"/>
        <v>0.826168623835587</v>
      </c>
    </row>
    <row r="35" spans="6:8">
      <c r="F35" s="16">
        <v>20</v>
      </c>
      <c r="G35" s="16">
        <f t="shared" si="0"/>
        <v>0.00826168623835587</v>
      </c>
      <c r="H35" s="16">
        <f t="shared" si="1"/>
        <v>0.817906937597231</v>
      </c>
    </row>
    <row r="36" spans="6:8">
      <c r="F36" s="16">
        <v>21</v>
      </c>
      <c r="G36" s="16">
        <f t="shared" si="0"/>
        <v>0.00817906937597231</v>
      </c>
      <c r="H36" s="16">
        <f t="shared" si="1"/>
        <v>0.809727868221258</v>
      </c>
    </row>
    <row r="37" spans="6:8">
      <c r="F37" s="16">
        <v>22</v>
      </c>
      <c r="G37" s="16">
        <f t="shared" si="0"/>
        <v>0.00809727868221258</v>
      </c>
      <c r="H37" s="16">
        <f t="shared" si="1"/>
        <v>0.801630589539046</v>
      </c>
    </row>
    <row r="38" spans="6:8">
      <c r="F38" s="16">
        <v>23</v>
      </c>
      <c r="G38" s="16">
        <f t="shared" si="0"/>
        <v>0.00801630589539046</v>
      </c>
      <c r="H38" s="16">
        <f t="shared" si="1"/>
        <v>0.793614283643655</v>
      </c>
    </row>
    <row r="39" spans="6:8">
      <c r="F39" s="16">
        <v>24</v>
      </c>
      <c r="G39" s="16">
        <f t="shared" si="0"/>
        <v>0.00793614283643655</v>
      </c>
      <c r="H39" s="16">
        <f t="shared" si="1"/>
        <v>0.785678140807219</v>
      </c>
    </row>
    <row r="40" spans="6:8">
      <c r="F40" s="16">
        <v>25</v>
      </c>
      <c r="G40" s="16">
        <f t="shared" si="0"/>
        <v>0.00785678140807219</v>
      </c>
      <c r="H40" s="16">
        <f t="shared" si="1"/>
        <v>0.777821359399147</v>
      </c>
    </row>
    <row r="41" spans="6:8">
      <c r="F41" s="16">
        <v>26</v>
      </c>
      <c r="G41" s="16">
        <f t="shared" si="0"/>
        <v>0.00777821359399147</v>
      </c>
      <c r="H41" s="16">
        <f t="shared" si="1"/>
        <v>0.770043145805155</v>
      </c>
    </row>
    <row r="42" spans="6:8">
      <c r="F42" s="16">
        <v>27</v>
      </c>
      <c r="G42" s="16">
        <f t="shared" si="0"/>
        <v>0.00770043145805155</v>
      </c>
      <c r="H42" s="16">
        <f t="shared" si="1"/>
        <v>0.762342714347104</v>
      </c>
    </row>
    <row r="43" spans="6:8">
      <c r="F43" s="16">
        <v>28</v>
      </c>
      <c r="G43" s="16">
        <f t="shared" si="0"/>
        <v>0.00762342714347104</v>
      </c>
      <c r="H43" s="16">
        <f t="shared" si="1"/>
        <v>0.754719287203633</v>
      </c>
    </row>
    <row r="44" spans="6:8">
      <c r="F44" s="16">
        <v>29</v>
      </c>
      <c r="G44" s="16">
        <f t="shared" si="0"/>
        <v>0.00754719287203633</v>
      </c>
      <c r="H44" s="16">
        <f t="shared" si="1"/>
        <v>0.747172094331596</v>
      </c>
    </row>
    <row r="45" spans="6:8">
      <c r="F45" s="16">
        <v>30</v>
      </c>
      <c r="G45" s="16">
        <f t="shared" si="0"/>
        <v>0.00747172094331596</v>
      </c>
      <c r="H45" s="16">
        <f t="shared" si="1"/>
        <v>0.73970037338828</v>
      </c>
    </row>
    <row r="46" spans="6:8">
      <c r="F46" s="16">
        <v>31</v>
      </c>
      <c r="G46" s="16">
        <f t="shared" si="0"/>
        <v>0.0073970037338828</v>
      </c>
      <c r="H46" s="16">
        <f t="shared" si="1"/>
        <v>0.732303369654397</v>
      </c>
    </row>
    <row r="47" spans="6:8">
      <c r="F47" s="16">
        <v>32</v>
      </c>
      <c r="G47" s="16">
        <f t="shared" si="0"/>
        <v>0.00732303369654397</v>
      </c>
      <c r="H47" s="16">
        <f t="shared" si="1"/>
        <v>0.724980335957853</v>
      </c>
    </row>
    <row r="48" spans="6:8">
      <c r="F48" s="16">
        <v>33</v>
      </c>
      <c r="G48" s="16">
        <f t="shared" si="0"/>
        <v>0.00724980335957853</v>
      </c>
      <c r="H48" s="16">
        <f t="shared" si="1"/>
        <v>0.717730532598275</v>
      </c>
    </row>
    <row r="49" spans="6:8">
      <c r="F49" s="16">
        <v>34</v>
      </c>
      <c r="G49" s="16">
        <f t="shared" si="0"/>
        <v>0.00717730532598275</v>
      </c>
      <c r="H49" s="16">
        <f t="shared" si="1"/>
        <v>0.710553227272292</v>
      </c>
    </row>
    <row r="50" spans="6:8">
      <c r="F50" s="16">
        <v>35</v>
      </c>
      <c r="G50" s="16">
        <f t="shared" si="0"/>
        <v>0.00710553227272292</v>
      </c>
      <c r="H50" s="16">
        <f t="shared" si="1"/>
        <v>0.703447694999569</v>
      </c>
    </row>
    <row r="51" spans="6:8">
      <c r="F51" s="16">
        <v>36</v>
      </c>
      <c r="G51" s="16">
        <f t="shared" si="0"/>
        <v>0.00703447694999569</v>
      </c>
      <c r="H51" s="16">
        <f t="shared" si="1"/>
        <v>0.696413218049573</v>
      </c>
    </row>
    <row r="52" spans="6:8">
      <c r="F52" s="16">
        <v>37</v>
      </c>
      <c r="G52" s="16">
        <f t="shared" si="0"/>
        <v>0.00696413218049573</v>
      </c>
      <c r="H52" s="16">
        <f t="shared" si="1"/>
        <v>0.689449085869078</v>
      </c>
    </row>
    <row r="53" spans="6:8">
      <c r="F53" s="16">
        <v>38</v>
      </c>
      <c r="G53" s="16">
        <f t="shared" si="0"/>
        <v>0.00689449085869078</v>
      </c>
      <c r="H53" s="16">
        <f t="shared" si="1"/>
        <v>0.682554595010387</v>
      </c>
    </row>
    <row r="54" spans="6:8">
      <c r="F54" s="16">
        <v>39</v>
      </c>
      <c r="G54" s="16">
        <f t="shared" si="0"/>
        <v>0.00682554595010387</v>
      </c>
      <c r="H54" s="16">
        <f t="shared" si="1"/>
        <v>0.675729049060283</v>
      </c>
    </row>
    <row r="55" spans="6:8">
      <c r="F55" s="16">
        <v>40</v>
      </c>
      <c r="G55" s="16">
        <f t="shared" si="0"/>
        <v>0.00675729049060283</v>
      </c>
      <c r="H55" s="16">
        <f t="shared" si="1"/>
        <v>0.66897175856968</v>
      </c>
    </row>
    <row r="56" spans="6:8">
      <c r="F56" s="16">
        <v>41</v>
      </c>
      <c r="G56" s="16">
        <f t="shared" si="0"/>
        <v>0.0066897175856968</v>
      </c>
      <c r="H56" s="16">
        <f t="shared" si="1"/>
        <v>0.662282040983983</v>
      </c>
    </row>
    <row r="57" spans="6:8">
      <c r="F57" s="16">
        <v>42</v>
      </c>
      <c r="G57" s="16">
        <f t="shared" si="0"/>
        <v>0.00662282040983983</v>
      </c>
      <c r="H57" s="16">
        <f t="shared" si="1"/>
        <v>0.655659220574144</v>
      </c>
    </row>
    <row r="58" spans="6:8">
      <c r="F58" s="16">
        <v>43</v>
      </c>
      <c r="G58" s="16">
        <f t="shared" si="0"/>
        <v>0.00655659220574144</v>
      </c>
      <c r="H58" s="16">
        <f t="shared" si="1"/>
        <v>0.649102628368402</v>
      </c>
    </row>
    <row r="59" spans="6:8">
      <c r="F59" s="16">
        <v>44</v>
      </c>
      <c r="G59" s="16">
        <f t="shared" si="0"/>
        <v>0.00649102628368402</v>
      </c>
      <c r="H59" s="16">
        <f t="shared" si="1"/>
        <v>0.642611602084718</v>
      </c>
    </row>
    <row r="60" spans="6:8">
      <c r="F60" s="16">
        <v>45</v>
      </c>
      <c r="G60" s="16">
        <f t="shared" si="0"/>
        <v>0.00642611602084718</v>
      </c>
      <c r="H60" s="16">
        <f t="shared" si="1"/>
        <v>0.636185486063871</v>
      </c>
    </row>
    <row r="61" spans="6:8">
      <c r="F61" s="16">
        <v>46</v>
      </c>
      <c r="G61" s="16">
        <f t="shared" si="0"/>
        <v>0.00636185486063871</v>
      </c>
      <c r="H61" s="16">
        <f t="shared" si="1"/>
        <v>0.629823631203232</v>
      </c>
    </row>
    <row r="62" spans="6:8">
      <c r="F62" s="16">
        <v>47</v>
      </c>
      <c r="G62" s="16">
        <f t="shared" si="0"/>
        <v>0.00629823631203232</v>
      </c>
      <c r="H62" s="16">
        <f t="shared" si="1"/>
        <v>0.6235253948912</v>
      </c>
    </row>
    <row r="63" spans="6:8">
      <c r="F63" s="16">
        <v>48</v>
      </c>
      <c r="G63" s="16">
        <f t="shared" si="0"/>
        <v>0.006235253948912</v>
      </c>
      <c r="H63" s="16">
        <f t="shared" si="1"/>
        <v>0.617290140942288</v>
      </c>
    </row>
    <row r="64" spans="6:8">
      <c r="F64" s="16">
        <v>49</v>
      </c>
      <c r="G64" s="16">
        <f t="shared" si="0"/>
        <v>0.00617290140942288</v>
      </c>
      <c r="H64" s="16">
        <f t="shared" si="1"/>
        <v>0.611117239532865</v>
      </c>
    </row>
    <row r="65" spans="6:8">
      <c r="F65" s="16">
        <v>50</v>
      </c>
      <c r="G65" s="16">
        <f t="shared" si="0"/>
        <v>0.00611117239532865</v>
      </c>
      <c r="H65" s="16">
        <f t="shared" si="1"/>
        <v>0.605006067137536</v>
      </c>
    </row>
    <row r="66" spans="6:8">
      <c r="F66" s="16">
        <v>51</v>
      </c>
      <c r="G66" s="16">
        <f t="shared" si="0"/>
        <v>0.00605006067137536</v>
      </c>
      <c r="H66" s="16">
        <f t="shared" si="1"/>
        <v>0.598956006466161</v>
      </c>
    </row>
    <row r="67" spans="6:8">
      <c r="F67" s="16">
        <v>52</v>
      </c>
      <c r="G67" s="16">
        <f t="shared" si="0"/>
        <v>0.00598956006466161</v>
      </c>
      <c r="H67" s="16">
        <f t="shared" si="1"/>
        <v>0.592966446401499</v>
      </c>
    </row>
    <row r="68" spans="6:8">
      <c r="F68" s="16">
        <v>53</v>
      </c>
      <c r="G68" s="16">
        <f t="shared" si="0"/>
        <v>0.00592966446401499</v>
      </c>
      <c r="H68" s="16">
        <f t="shared" si="1"/>
        <v>0.587036781937484</v>
      </c>
    </row>
    <row r="69" spans="6:8">
      <c r="F69" s="16">
        <v>54</v>
      </c>
      <c r="G69" s="16">
        <f t="shared" si="0"/>
        <v>0.00587036781937484</v>
      </c>
      <c r="H69" s="16">
        <f t="shared" si="1"/>
        <v>0.58116641411811</v>
      </c>
    </row>
    <row r="70" spans="6:8">
      <c r="F70" s="16">
        <v>55</v>
      </c>
      <c r="G70" s="16">
        <f t="shared" si="0"/>
        <v>0.0058116641411811</v>
      </c>
      <c r="H70" s="16">
        <f t="shared" si="1"/>
        <v>0.575354749976928</v>
      </c>
    </row>
    <row r="71" spans="6:8">
      <c r="F71" s="16">
        <v>56</v>
      </c>
      <c r="G71" s="16">
        <f t="shared" si="0"/>
        <v>0.00575354749976929</v>
      </c>
      <c r="H71" s="16">
        <f t="shared" si="1"/>
        <v>0.569601202477159</v>
      </c>
    </row>
    <row r="72" spans="6:8">
      <c r="F72" s="16">
        <v>57</v>
      </c>
      <c r="G72" s="16">
        <f t="shared" si="0"/>
        <v>0.00569601202477159</v>
      </c>
      <c r="H72" s="16">
        <f t="shared" si="1"/>
        <v>0.563905190452388</v>
      </c>
    </row>
    <row r="73" spans="6:8">
      <c r="F73" s="16">
        <v>58</v>
      </c>
      <c r="G73" s="16">
        <f t="shared" si="0"/>
        <v>0.00563905190452388</v>
      </c>
      <c r="H73" s="16">
        <f t="shared" si="1"/>
        <v>0.558266138547864</v>
      </c>
    </row>
    <row r="74" spans="6:8">
      <c r="F74" s="16">
        <v>59</v>
      </c>
      <c r="G74" s="16">
        <f t="shared" si="0"/>
        <v>0.00558266138547864</v>
      </c>
      <c r="H74" s="16">
        <f t="shared" si="1"/>
        <v>0.552683477162385</v>
      </c>
    </row>
    <row r="75" spans="6:8">
      <c r="F75" s="16">
        <v>60</v>
      </c>
      <c r="G75" s="16">
        <f t="shared" si="0"/>
        <v>0.00552683477162385</v>
      </c>
      <c r="H75" s="16">
        <f t="shared" si="1"/>
        <v>0.547156642390761</v>
      </c>
    </row>
    <row r="76" spans="6:8">
      <c r="F76" s="16">
        <v>61</v>
      </c>
      <c r="G76" s="16">
        <f t="shared" si="0"/>
        <v>0.00547156642390761</v>
      </c>
      <c r="H76" s="16">
        <f t="shared" si="1"/>
        <v>0.541685075966854</v>
      </c>
    </row>
    <row r="77" spans="6:8">
      <c r="F77" s="16">
        <v>62</v>
      </c>
      <c r="G77" s="16">
        <f t="shared" si="0"/>
        <v>0.00541685075966854</v>
      </c>
      <c r="H77" s="16">
        <f t="shared" si="1"/>
        <v>0.536268225207185</v>
      </c>
    </row>
    <row r="78" spans="6:8">
      <c r="F78" s="16">
        <v>63</v>
      </c>
      <c r="G78" s="16">
        <f t="shared" si="0"/>
        <v>0.00536268225207185</v>
      </c>
      <c r="H78" s="16">
        <f t="shared" si="1"/>
        <v>0.530905542955113</v>
      </c>
    </row>
    <row r="79" spans="6:8">
      <c r="F79" s="16">
        <v>64</v>
      </c>
      <c r="G79" s="16">
        <f t="shared" si="0"/>
        <v>0.00530905542955113</v>
      </c>
      <c r="H79" s="16">
        <f t="shared" si="1"/>
        <v>0.525596487525562</v>
      </c>
    </row>
    <row r="80" spans="6:8">
      <c r="F80" s="16">
        <v>65</v>
      </c>
      <c r="G80" s="16">
        <f t="shared" si="0"/>
        <v>0.00525596487525562</v>
      </c>
      <c r="H80" s="16">
        <f t="shared" si="1"/>
        <v>0.520340522650306</v>
      </c>
    </row>
    <row r="81" spans="6:8">
      <c r="F81" s="16">
        <v>66</v>
      </c>
      <c r="G81" s="16">
        <f>$H$3*H80</f>
        <v>0.00520340522650306</v>
      </c>
      <c r="H81" s="16">
        <f>POWER(1-$H$3,F81)</f>
        <v>0.515137117423803</v>
      </c>
    </row>
    <row r="82" spans="6:8">
      <c r="F82" s="16">
        <v>67</v>
      </c>
      <c r="G82" s="16">
        <f>$H$3*H81</f>
        <v>0.00515137117423803</v>
      </c>
      <c r="H82" s="16">
        <f>POWER(1-$H$3,F82)</f>
        <v>0.509985746249565</v>
      </c>
    </row>
    <row r="83" spans="6:8">
      <c r="F83" s="16">
        <v>68</v>
      </c>
      <c r="G83" s="16">
        <f>$H$3*H82</f>
        <v>0.00509985746249565</v>
      </c>
      <c r="H83" s="16">
        <f>POWER(1-$H$3,F83)</f>
        <v>0.50488588878707</v>
      </c>
    </row>
    <row r="84" spans="6:8">
      <c r="F84" s="16">
        <v>69</v>
      </c>
      <c r="G84" s="16">
        <f>$H$3*H83</f>
        <v>0.0050488588878707</v>
      </c>
      <c r="H84" s="16">
        <f>POWER(1-$H$3,F84)</f>
        <v>0.499837029899199</v>
      </c>
    </row>
    <row r="85" spans="6:8">
      <c r="F85" s="16">
        <v>70</v>
      </c>
      <c r="G85" s="16">
        <f>1-SUM(G16:G84)</f>
        <v>0.499837029899199</v>
      </c>
      <c r="H85" s="16">
        <f>POWER(1-$H$3,F85)</f>
        <v>0.494838659600207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76"/>
  <sheetViews>
    <sheetView topLeftCell="A9" workbookViewId="0">
      <selection activeCell="E44" sqref="E44"/>
    </sheetView>
  </sheetViews>
  <sheetFormatPr defaultColWidth="9" defaultRowHeight="13.5"/>
  <cols>
    <col min="2" max="2" width="12.625" style="14" customWidth="1"/>
    <col min="5" max="5" width="14.125" style="14" customWidth="1"/>
    <col min="6" max="6" width="12.375" style="14" customWidth="1"/>
    <col min="7" max="8" width="14.125" style="14" customWidth="1"/>
    <col min="10" max="10" width="14.125" style="14" customWidth="1"/>
    <col min="11" max="14" width="18.5" style="14" customWidth="1"/>
  </cols>
  <sheetData>
    <row r="2" ht="16.5" customHeight="1" spans="2:14">
      <c r="D2" s="19" t="s">
        <v>1058</v>
      </c>
      <c r="E2" s="19" t="s">
        <v>1059</v>
      </c>
      <c r="F2" s="16"/>
      <c r="G2" s="16" t="s">
        <v>1060</v>
      </c>
      <c r="H2" s="16" t="s">
        <v>1061</v>
      </c>
      <c r="J2" s="16" t="s">
        <v>1062</v>
      </c>
      <c r="K2" s="16" t="s">
        <v>1063</v>
      </c>
      <c r="L2" s="246" t="s">
        <v>1064</v>
      </c>
    </row>
    <row r="3" ht="16.5" customHeight="1" spans="2:14">
      <c r="B3" s="11" t="s">
        <v>1067</v>
      </c>
      <c r="C3" s="11" t="s">
        <v>1068</v>
      </c>
      <c r="D3" s="247">
        <v>0.02</v>
      </c>
      <c r="E3" s="247">
        <f>1/C13</f>
        <v>0.0284719047311989</v>
      </c>
      <c r="F3" s="248" t="s">
        <v>603</v>
      </c>
      <c r="G3" s="179">
        <v>2</v>
      </c>
      <c r="H3" s="179">
        <v>6</v>
      </c>
      <c r="J3" s="16">
        <f>E3*道具定价!$F$15*H3</f>
        <v>2.5624714258079</v>
      </c>
      <c r="K3" s="186">
        <f>H3*E3</f>
        <v>0.170831428387193</v>
      </c>
      <c r="L3" s="186">
        <f>H3*E3</f>
        <v>0.170831428387193</v>
      </c>
    </row>
    <row r="4" ht="16.5" customHeight="1" spans="2:14">
      <c r="B4" s="11"/>
      <c r="C4" s="11" t="s">
        <v>1069</v>
      </c>
      <c r="D4" s="247">
        <v>0.13</v>
      </c>
      <c r="E4" s="247">
        <f>G38*D4/(D3+D4)</f>
        <v>0.161867584226704</v>
      </c>
      <c r="F4" s="248" t="s">
        <v>603</v>
      </c>
      <c r="G4" s="179">
        <v>1</v>
      </c>
      <c r="H4" s="179">
        <v>2</v>
      </c>
      <c r="J4" s="16">
        <f>E4*道具定价!$F$16*H4</f>
        <v>0.485602752680112</v>
      </c>
      <c r="K4" s="186">
        <f>E4*H4</f>
        <v>0.323735168453408</v>
      </c>
      <c r="L4" s="186">
        <f>H4*E4</f>
        <v>0.323735168453408</v>
      </c>
    </row>
    <row r="5" ht="16.5" customHeight="1" spans="2:14">
      <c r="B5" s="11"/>
      <c r="C5" s="11" t="s">
        <v>1070</v>
      </c>
      <c r="D5" s="247">
        <f>1-D4-D3</f>
        <v>0.85</v>
      </c>
      <c r="E5" s="247">
        <f>1-E3-E4</f>
        <v>0.809660511042097</v>
      </c>
      <c r="F5" s="248" t="s">
        <v>604</v>
      </c>
      <c r="G5" s="179">
        <v>1</v>
      </c>
      <c r="H5" s="179">
        <v>4</v>
      </c>
      <c r="J5" s="16">
        <f>E5*道具定价!$F$17*H5</f>
        <v>3.23864204416839</v>
      </c>
      <c r="K5" s="186">
        <f>E5*H5</f>
        <v>3.23864204416839</v>
      </c>
      <c r="L5" s="186">
        <f>H5*E5</f>
        <v>3.23864204416839</v>
      </c>
    </row>
    <row r="6" ht="16.5" customHeight="1" spans="2:14">
      <c r="B6" s="16"/>
      <c r="C6" s="16"/>
      <c r="D6" s="16"/>
      <c r="E6" s="16"/>
      <c r="F6" s="16"/>
      <c r="G6" s="16"/>
      <c r="H6" s="16"/>
      <c r="J6" s="16">
        <f>SUM(J3:J5)</f>
        <v>6.2867162226564</v>
      </c>
      <c r="K6" s="16"/>
      <c r="L6" s="16"/>
    </row>
    <row r="7" ht="16.5" customHeight="1" spans="2:14">
      <c r="B7" s="16"/>
      <c r="C7" s="16"/>
      <c r="D7" s="16"/>
      <c r="E7" s="16"/>
      <c r="F7" s="16"/>
      <c r="G7" s="16"/>
      <c r="H7" s="16"/>
    </row>
    <row r="8" ht="16.5" customHeight="1" spans="2:14">
      <c r="B8" s="16"/>
      <c r="C8" s="16"/>
      <c r="D8" s="16"/>
      <c r="E8" s="16"/>
      <c r="F8" s="16"/>
      <c r="G8" s="16"/>
      <c r="H8" s="16"/>
      <c r="J8" s="249" t="s">
        <v>1073</v>
      </c>
      <c r="K8" s="16" t="s">
        <v>1074</v>
      </c>
      <c r="L8" s="16" t="s">
        <v>1075</v>
      </c>
      <c r="M8" s="16" t="s">
        <v>1076</v>
      </c>
    </row>
    <row r="9" ht="16.5" customHeight="1" spans="2:14">
      <c r="B9" s="16"/>
      <c r="C9" s="16"/>
      <c r="D9" s="16"/>
      <c r="E9" s="16"/>
      <c r="F9" s="16"/>
      <c r="G9" s="16"/>
      <c r="H9" s="16"/>
      <c r="J9" s="248" t="s">
        <v>603</v>
      </c>
      <c r="K9" s="186">
        <f>K4</f>
        <v>0.323735168453408</v>
      </c>
      <c r="L9" s="186">
        <f>L4+K3</f>
        <v>0.494566596840602</v>
      </c>
      <c r="M9" s="186">
        <f>L4+L3</f>
        <v>0.494566596840602</v>
      </c>
    </row>
    <row r="10" ht="16.5" customHeight="1" spans="2:14">
      <c r="B10" s="16"/>
      <c r="C10" s="16"/>
      <c r="D10" s="16"/>
      <c r="E10" s="16"/>
      <c r="F10" s="16"/>
      <c r="G10" s="16"/>
      <c r="H10" s="16"/>
      <c r="J10" s="248" t="s">
        <v>604</v>
      </c>
      <c r="K10" s="186">
        <f>L5</f>
        <v>3.23864204416839</v>
      </c>
      <c r="L10" s="186">
        <f>L5</f>
        <v>3.23864204416839</v>
      </c>
      <c r="M10" s="186">
        <f>L5</f>
        <v>3.23864204416839</v>
      </c>
    </row>
    <row r="11" ht="16.5" customHeight="1" spans="2:14">
      <c r="B11" s="16" t="s">
        <v>1072</v>
      </c>
      <c r="C11" s="16">
        <v>150</v>
      </c>
      <c r="D11" s="16" t="s">
        <v>5</v>
      </c>
      <c r="E11" s="16"/>
      <c r="F11" s="16"/>
      <c r="G11" s="16"/>
      <c r="H11" s="16"/>
    </row>
    <row r="12" ht="16.5" customHeight="1" spans="2:14">
      <c r="B12" s="16" t="s">
        <v>1077</v>
      </c>
      <c r="C12" s="16">
        <v>60</v>
      </c>
      <c r="D12" s="16"/>
      <c r="E12" s="16"/>
      <c r="F12" s="16"/>
      <c r="G12" s="16"/>
      <c r="H12" s="16"/>
      <c r="M12">
        <v>0.5</v>
      </c>
      <c r="N12">
        <v>0.2</v>
      </c>
    </row>
    <row r="13" ht="16.5" customHeight="1" spans="2:14">
      <c r="B13" s="16" t="s">
        <v>1078</v>
      </c>
      <c r="C13" s="16">
        <f t="array" ref="C13">SUMPRODUCT(_xlfn.ANCHORARRAY(B17),C17:C76)</f>
        <v>35.122342865394</v>
      </c>
      <c r="D13" s="16"/>
      <c r="E13" s="16"/>
      <c r="F13" s="16"/>
      <c r="G13" s="16"/>
      <c r="H13" s="16"/>
      <c r="L13" s="232" t="s">
        <v>1068</v>
      </c>
      <c r="M13" s="234" t="s">
        <v>1069</v>
      </c>
      <c r="N13" s="233" t="s">
        <v>1070</v>
      </c>
    </row>
    <row r="14" ht="16.5" customHeight="1" spans="2:14">
      <c r="B14" s="16" t="s">
        <v>1089</v>
      </c>
      <c r="C14" s="16">
        <f>C11*C13</f>
        <v>5268.3514298091</v>
      </c>
      <c r="D14" s="16" t="s">
        <v>5</v>
      </c>
      <c r="E14" s="16"/>
      <c r="F14" s="16" t="s">
        <v>1090</v>
      </c>
      <c r="G14" s="16">
        <f>C14/D4*D3</f>
        <v>810.515604586015</v>
      </c>
      <c r="H14" s="16" t="s">
        <v>5</v>
      </c>
      <c r="J14" s="11" t="s">
        <v>1091</v>
      </c>
      <c r="K14" s="11" t="s">
        <v>1092</v>
      </c>
      <c r="L14" s="11" t="s">
        <v>1093</v>
      </c>
      <c r="M14" s="11" t="s">
        <v>1093</v>
      </c>
      <c r="N14" s="11" t="s">
        <v>1093</v>
      </c>
    </row>
    <row r="15" ht="16.5" customHeight="1" spans="2:14">
      <c r="B15" s="16"/>
      <c r="C15" s="16"/>
      <c r="D15" s="16"/>
      <c r="E15" s="16"/>
      <c r="F15" s="16" t="s">
        <v>1094</v>
      </c>
      <c r="G15" s="16">
        <f>C14/D5*D3</f>
        <v>123.961210113155</v>
      </c>
      <c r="H15" s="16" t="s">
        <v>5</v>
      </c>
      <c r="J15" s="11">
        <v>1</v>
      </c>
      <c r="K15" s="11">
        <v>1</v>
      </c>
      <c r="L15" s="250">
        <v>10000</v>
      </c>
      <c r="M15">
        <f>L15*$M$12</f>
        <v>5000</v>
      </c>
      <c r="N15">
        <f>$N$12*L15</f>
        <v>2000</v>
      </c>
    </row>
    <row r="16" ht="16.5" customHeight="1" spans="2:14">
      <c r="B16" s="16" t="s">
        <v>1083</v>
      </c>
      <c r="C16" s="16" t="s">
        <v>1084</v>
      </c>
      <c r="D16" s="16" t="s">
        <v>1085</v>
      </c>
      <c r="E16" s="16"/>
      <c r="F16" s="16"/>
      <c r="G16" s="16"/>
      <c r="H16" s="16"/>
      <c r="J16" s="11">
        <v>2</v>
      </c>
      <c r="K16" s="11">
        <v>1</v>
      </c>
      <c r="L16" s="250">
        <v>20000</v>
      </c>
      <c r="M16">
        <f>L16*$M$12</f>
        <v>10000</v>
      </c>
      <c r="N16">
        <f>$N$12*L16</f>
        <v>4000</v>
      </c>
    </row>
    <row r="17" ht="16.5" customHeight="1" spans="2:14">
      <c r="B17" s="16">
        <f t="array" ref="B17:B76">_xlfn.SEQUENCE(C12,1,1,1)</f>
        <v>1</v>
      </c>
      <c r="C17" s="16">
        <f>$D$3</f>
        <v>0.02</v>
      </c>
      <c r="D17" s="16">
        <f>1-C17</f>
        <v>0.98</v>
      </c>
      <c r="E17" s="16"/>
      <c r="F17" s="16"/>
      <c r="G17" s="16"/>
      <c r="H17" s="16"/>
      <c r="J17" s="11">
        <v>3</v>
      </c>
      <c r="K17" s="11">
        <v>1</v>
      </c>
      <c r="L17" s="250">
        <v>50000</v>
      </c>
      <c r="M17">
        <f>L17*$M$12</f>
        <v>25000</v>
      </c>
      <c r="N17">
        <f>$N$12*L17</f>
        <v>10000</v>
      </c>
    </row>
    <row r="18" ht="16.5" customHeight="1" spans="2:14">
      <c r="B18" s="16">
        <v>2</v>
      </c>
      <c r="C18" s="16">
        <f t="shared" ref="C18:C75" si="0">$D$3*D17</f>
        <v>0.0196</v>
      </c>
      <c r="D18" s="16">
        <f t="shared" ref="D18:D76" si="1">POWER(1-$D$3,B18)</f>
        <v>0.9604</v>
      </c>
      <c r="E18" s="16"/>
      <c r="F18" s="16"/>
      <c r="G18" s="16"/>
      <c r="H18" s="16"/>
      <c r="J18" s="11">
        <v>4</v>
      </c>
      <c r="K18" s="11">
        <v>1</v>
      </c>
      <c r="L18" s="250">
        <v>80000</v>
      </c>
      <c r="M18">
        <f>L18*$M$12</f>
        <v>40000</v>
      </c>
      <c r="N18">
        <f>$N$12*L18</f>
        <v>16000</v>
      </c>
    </row>
    <row r="19" ht="16.5" customHeight="1" spans="2:14">
      <c r="B19" s="16">
        <v>3</v>
      </c>
      <c r="C19" s="16">
        <f t="shared" si="0"/>
        <v>0.019208</v>
      </c>
      <c r="D19" s="16">
        <f t="shared" si="1"/>
        <v>0.941192</v>
      </c>
      <c r="E19" s="16"/>
      <c r="F19" s="16"/>
      <c r="G19" s="16"/>
      <c r="H19" s="16"/>
      <c r="J19" s="11">
        <v>5</v>
      </c>
      <c r="K19" s="11">
        <v>0</v>
      </c>
    </row>
    <row r="20" ht="16.5" customHeight="1" spans="2:14">
      <c r="B20" s="16">
        <v>4</v>
      </c>
      <c r="C20" s="16">
        <f t="shared" si="0"/>
        <v>0.01882384</v>
      </c>
      <c r="D20" s="16">
        <f t="shared" si="1"/>
        <v>0.92236816</v>
      </c>
      <c r="E20" s="16"/>
      <c r="F20" s="16"/>
      <c r="G20" s="16"/>
      <c r="H20" s="16"/>
    </row>
    <row r="21" ht="16.5" customHeight="1" spans="2:14">
      <c r="B21" s="16">
        <v>5</v>
      </c>
      <c r="C21" s="16">
        <f t="shared" si="0"/>
        <v>0.0184473632</v>
      </c>
      <c r="D21" s="16">
        <f t="shared" si="1"/>
        <v>0.9039207968</v>
      </c>
      <c r="E21" s="16"/>
      <c r="F21" s="16"/>
      <c r="G21" s="16"/>
      <c r="H21" s="16"/>
    </row>
    <row r="22" ht="16.5" customHeight="1" spans="2:14">
      <c r="B22" s="16">
        <v>6</v>
      </c>
      <c r="C22" s="16">
        <f t="shared" si="0"/>
        <v>0.018078415936</v>
      </c>
      <c r="D22" s="16">
        <f t="shared" si="1"/>
        <v>0.885842380864</v>
      </c>
      <c r="E22" s="16"/>
      <c r="F22" s="16"/>
      <c r="G22" s="16"/>
      <c r="H22" s="16"/>
    </row>
    <row r="23" ht="16.5" customHeight="1" spans="2:14">
      <c r="B23" s="16">
        <v>7</v>
      </c>
      <c r="C23" s="16">
        <f t="shared" si="0"/>
        <v>0.01771684761728</v>
      </c>
      <c r="D23" s="16">
        <f t="shared" si="1"/>
        <v>0.86812553324672</v>
      </c>
      <c r="E23" s="16"/>
      <c r="F23" s="16" t="s">
        <v>1082</v>
      </c>
      <c r="G23" s="16"/>
      <c r="H23" s="16"/>
      <c r="L23" t="s">
        <v>1095</v>
      </c>
    </row>
    <row r="24" ht="16.5" customHeight="1" spans="2:14">
      <c r="B24" s="16">
        <v>8</v>
      </c>
      <c r="C24" s="16">
        <f t="shared" si="0"/>
        <v>0.0173625106649344</v>
      </c>
      <c r="D24" s="16">
        <f t="shared" si="1"/>
        <v>0.850763022581785</v>
      </c>
      <c r="E24" s="16"/>
      <c r="F24" s="16"/>
      <c r="G24" s="16"/>
      <c r="H24" s="16"/>
      <c r="L24" t="str">
        <f>_xlfn.CONCAT($L$23,L15)</f>
        <v>1,10000</v>
      </c>
      <c r="M24" t="str">
        <f>_xlfn.CONCAT($L$23,M15)</f>
        <v>1,5000</v>
      </c>
      <c r="N24" t="str">
        <f>_xlfn.CONCAT($L$23,N15)</f>
        <v>1,2000</v>
      </c>
    </row>
    <row r="25" ht="16.5" customHeight="1" spans="2:14">
      <c r="B25" s="16">
        <v>9</v>
      </c>
      <c r="C25" s="16">
        <f t="shared" si="0"/>
        <v>0.0170152604516357</v>
      </c>
      <c r="D25" s="16">
        <f t="shared" si="1"/>
        <v>0.83374776213015</v>
      </c>
      <c r="E25" s="16"/>
      <c r="F25" s="16" t="s">
        <v>1083</v>
      </c>
      <c r="G25" s="16" t="s">
        <v>1084</v>
      </c>
      <c r="H25" s="16" t="s">
        <v>1085</v>
      </c>
      <c r="L25" t="str">
        <f>_xlfn.CONCAT($L$23,L16)</f>
        <v>1,20000</v>
      </c>
      <c r="M25" t="str">
        <f>_xlfn.CONCAT($L$23,M16)</f>
        <v>1,10000</v>
      </c>
      <c r="N25" t="str">
        <f>_xlfn.CONCAT($L$23,N16)</f>
        <v>1,4000</v>
      </c>
    </row>
    <row r="26" ht="16.5" customHeight="1" spans="2:14">
      <c r="B26" s="16">
        <v>10</v>
      </c>
      <c r="C26" s="16">
        <f t="shared" si="0"/>
        <v>0.016674955242603</v>
      </c>
      <c r="D26" s="16">
        <f t="shared" si="1"/>
        <v>0.817072806887547</v>
      </c>
      <c r="E26" s="16"/>
      <c r="F26" s="16">
        <v>1</v>
      </c>
      <c r="G26" s="16">
        <f>D3+D4</f>
        <v>0.15</v>
      </c>
      <c r="H26" s="16">
        <f>1-G26</f>
        <v>0.85</v>
      </c>
      <c r="L26" t="str">
        <f>_xlfn.CONCAT($L$23,L17)</f>
        <v>1,50000</v>
      </c>
      <c r="M26" t="str">
        <f>_xlfn.CONCAT($L$23,M17)</f>
        <v>1,25000</v>
      </c>
      <c r="N26" t="str">
        <f>_xlfn.CONCAT($L$23,N17)</f>
        <v>1,10000</v>
      </c>
    </row>
    <row r="27" ht="16.5" customHeight="1" spans="2:14">
      <c r="B27" s="16">
        <v>11</v>
      </c>
      <c r="C27" s="16">
        <f t="shared" si="0"/>
        <v>0.0163414561377509</v>
      </c>
      <c r="D27" s="16">
        <f t="shared" si="1"/>
        <v>0.800731350749796</v>
      </c>
      <c r="E27" s="16"/>
      <c r="F27" s="16">
        <v>2</v>
      </c>
      <c r="G27" s="16">
        <f t="shared" ref="G27:G34" si="2">$G$26*H26</f>
        <v>0.1275</v>
      </c>
      <c r="H27" s="16">
        <f t="shared" ref="H27:H34" si="3">POWER(1-G$26,F27)</f>
        <v>0.7225</v>
      </c>
      <c r="L27" t="str">
        <f>_xlfn.CONCAT($L$23,L18)</f>
        <v>1,80000</v>
      </c>
      <c r="M27" t="str">
        <f>_xlfn.CONCAT($L$23,M18)</f>
        <v>1,40000</v>
      </c>
      <c r="N27" t="str">
        <f>_xlfn.CONCAT($L$23,N18)</f>
        <v>1,16000</v>
      </c>
    </row>
    <row r="28" ht="16.5" customHeight="1" spans="2:14">
      <c r="B28" s="16">
        <v>12</v>
      </c>
      <c r="C28" s="16">
        <f t="shared" si="0"/>
        <v>0.0160146270149959</v>
      </c>
      <c r="D28" s="16">
        <f t="shared" si="1"/>
        <v>0.7847167237348</v>
      </c>
      <c r="E28" s="16"/>
      <c r="F28" s="16">
        <v>3</v>
      </c>
      <c r="G28" s="16">
        <f t="shared" si="2"/>
        <v>0.108375</v>
      </c>
      <c r="H28" s="16">
        <f t="shared" si="3"/>
        <v>0.614125</v>
      </c>
    </row>
    <row r="29" ht="16.5" customHeight="1" spans="2:14">
      <c r="B29" s="16">
        <v>13</v>
      </c>
      <c r="C29" s="16">
        <f t="shared" si="0"/>
        <v>0.015694334474696</v>
      </c>
      <c r="D29" s="16">
        <f t="shared" si="1"/>
        <v>0.769022389260104</v>
      </c>
      <c r="E29" s="16"/>
      <c r="F29" s="16">
        <v>4</v>
      </c>
      <c r="G29" s="16">
        <f t="shared" si="2"/>
        <v>0.09211875</v>
      </c>
      <c r="H29" s="16">
        <f t="shared" si="3"/>
        <v>0.52200625</v>
      </c>
    </row>
    <row r="30" ht="16.5" customHeight="1" spans="2:14">
      <c r="B30" s="16">
        <v>14</v>
      </c>
      <c r="C30" s="16">
        <f t="shared" si="0"/>
        <v>0.0153804477852021</v>
      </c>
      <c r="D30" s="16">
        <f t="shared" si="1"/>
        <v>0.753641941474902</v>
      </c>
      <c r="E30" s="16"/>
      <c r="F30" s="16">
        <v>5</v>
      </c>
      <c r="G30" s="16">
        <f t="shared" si="2"/>
        <v>0.0783009375</v>
      </c>
      <c r="H30" s="16">
        <f t="shared" si="3"/>
        <v>0.4437053125</v>
      </c>
    </row>
    <row r="31" ht="16.5" customHeight="1" spans="2:14">
      <c r="B31" s="16">
        <v>15</v>
      </c>
      <c r="C31" s="16">
        <f t="shared" si="0"/>
        <v>0.015072838829498</v>
      </c>
      <c r="D31" s="16">
        <f t="shared" si="1"/>
        <v>0.738569102645404</v>
      </c>
      <c r="E31" s="16"/>
      <c r="F31" s="16">
        <v>6</v>
      </c>
      <c r="G31" s="16">
        <f t="shared" si="2"/>
        <v>0.066555796875</v>
      </c>
      <c r="H31" s="16">
        <f t="shared" si="3"/>
        <v>0.377149515625</v>
      </c>
    </row>
    <row r="32" ht="16.5" customHeight="1" spans="2:14">
      <c r="B32" s="16">
        <v>16</v>
      </c>
      <c r="C32" s="16">
        <f t="shared" si="0"/>
        <v>0.0147713820529081</v>
      </c>
      <c r="D32" s="16">
        <f t="shared" si="1"/>
        <v>0.723797720592496</v>
      </c>
      <c r="E32" s="16"/>
      <c r="F32" s="16">
        <v>7</v>
      </c>
      <c r="G32" s="16">
        <f t="shared" si="2"/>
        <v>0.05657242734375</v>
      </c>
      <c r="H32" s="16">
        <f t="shared" si="3"/>
        <v>0.32057708828125</v>
      </c>
    </row>
    <row r="33" ht="16.5" customHeight="1" spans="2:8">
      <c r="B33" s="16">
        <v>17</v>
      </c>
      <c r="C33" s="16">
        <f t="shared" si="0"/>
        <v>0.0144759544118499</v>
      </c>
      <c r="D33" s="16">
        <f t="shared" si="1"/>
        <v>0.709321766180646</v>
      </c>
      <c r="E33" s="16"/>
      <c r="F33" s="16">
        <v>8</v>
      </c>
      <c r="G33" s="16">
        <f t="shared" si="2"/>
        <v>0.0480865632421875</v>
      </c>
      <c r="H33" s="16">
        <f t="shared" si="3"/>
        <v>0.272490525039062</v>
      </c>
    </row>
    <row r="34" ht="16.5" customHeight="1" spans="2:8">
      <c r="B34" s="16">
        <v>18</v>
      </c>
      <c r="C34" s="16">
        <f t="shared" si="0"/>
        <v>0.0141864353236129</v>
      </c>
      <c r="D34" s="16">
        <f t="shared" si="1"/>
        <v>0.695135330857033</v>
      </c>
      <c r="E34" s="16"/>
      <c r="F34" s="16">
        <v>9</v>
      </c>
      <c r="G34" s="16">
        <f t="shared" si="2"/>
        <v>0.0408735787558594</v>
      </c>
      <c r="H34" s="16">
        <f t="shared" si="3"/>
        <v>0.231616946283203</v>
      </c>
    </row>
    <row r="35" ht="16.5" customHeight="1" spans="2:8">
      <c r="B35" s="16">
        <v>19</v>
      </c>
      <c r="C35" s="16">
        <f t="shared" si="0"/>
        <v>0.0139027066171407</v>
      </c>
      <c r="D35" s="16">
        <f t="shared" si="1"/>
        <v>0.681232624239892</v>
      </c>
      <c r="E35" s="16"/>
      <c r="F35" s="16">
        <v>10</v>
      </c>
      <c r="G35" s="16">
        <f>1-SUM(G26:G34)</f>
        <v>0.231616946283203</v>
      </c>
      <c r="H35" s="16"/>
    </row>
    <row r="36" ht="16.5" customHeight="1" spans="2:8">
      <c r="B36" s="16">
        <v>20</v>
      </c>
      <c r="C36" s="16">
        <f t="shared" si="0"/>
        <v>0.0136246524847978</v>
      </c>
      <c r="D36" s="16">
        <f t="shared" si="1"/>
        <v>0.667607971755094</v>
      </c>
      <c r="E36" s="16"/>
      <c r="F36" s="16"/>
      <c r="G36" s="16"/>
      <c r="H36" s="16"/>
    </row>
    <row r="37" ht="16.5" customHeight="1" spans="2:8">
      <c r="B37" s="16">
        <v>21</v>
      </c>
      <c r="C37" s="16">
        <f t="shared" si="0"/>
        <v>0.0133521594351019</v>
      </c>
      <c r="D37" s="16">
        <f t="shared" si="1"/>
        <v>0.654255812319992</v>
      </c>
      <c r="E37" s="16"/>
      <c r="F37" s="16"/>
      <c r="G37" s="16">
        <f t="array" ref="G37">SUMPRODUCT(F26:F35,G26:G35)</f>
        <v>5.35417063772852</v>
      </c>
      <c r="H37" s="16"/>
    </row>
    <row r="38" ht="16.5" customHeight="1" spans="2:8">
      <c r="B38" s="16">
        <v>22</v>
      </c>
      <c r="C38" s="16">
        <f t="shared" si="0"/>
        <v>0.0130851162463998</v>
      </c>
      <c r="D38" s="16">
        <f t="shared" si="1"/>
        <v>0.641170696073592</v>
      </c>
      <c r="E38" s="16"/>
      <c r="F38" s="16"/>
      <c r="G38" s="16">
        <f>1/G37</f>
        <v>0.186770289492351</v>
      </c>
      <c r="H38" s="16"/>
    </row>
    <row r="39" ht="16.5" customHeight="1" spans="2:8">
      <c r="B39" s="16">
        <v>23</v>
      </c>
      <c r="C39" s="16">
        <f t="shared" si="0"/>
        <v>0.0128234139214718</v>
      </c>
      <c r="D39" s="16">
        <f t="shared" si="1"/>
        <v>0.628347282152121</v>
      </c>
      <c r="E39" s="16"/>
      <c r="F39" s="16"/>
      <c r="G39" s="16"/>
      <c r="H39" s="16"/>
    </row>
    <row r="40" ht="16.5" customHeight="1" spans="2:8">
      <c r="B40" s="16">
        <v>24</v>
      </c>
      <c r="C40" s="16">
        <f t="shared" si="0"/>
        <v>0.0125669456430424</v>
      </c>
      <c r="D40" s="16">
        <f t="shared" si="1"/>
        <v>0.615780336509078</v>
      </c>
      <c r="E40" s="16"/>
      <c r="F40" s="16"/>
      <c r="G40" s="16"/>
      <c r="H40" s="16"/>
    </row>
    <row r="41" ht="16.5" customHeight="1" spans="2:8">
      <c r="B41" s="16">
        <v>25</v>
      </c>
      <c r="C41" s="16">
        <f t="shared" si="0"/>
        <v>0.0123156067301816</v>
      </c>
      <c r="D41" s="16">
        <f t="shared" si="1"/>
        <v>0.603464729778897</v>
      </c>
      <c r="E41" s="16"/>
      <c r="F41" s="16"/>
      <c r="G41" s="16"/>
      <c r="H41" s="16"/>
    </row>
    <row r="42" ht="16.5" customHeight="1" spans="2:8">
      <c r="B42" s="16">
        <v>26</v>
      </c>
      <c r="C42" s="16">
        <f t="shared" si="0"/>
        <v>0.0120692945955779</v>
      </c>
      <c r="D42" s="16">
        <f t="shared" si="1"/>
        <v>0.591395435183319</v>
      </c>
      <c r="E42" s="16"/>
      <c r="F42" s="16"/>
      <c r="G42" s="16"/>
      <c r="H42" s="16"/>
    </row>
    <row r="43" ht="16.5" customHeight="1" spans="2:8">
      <c r="B43" s="16">
        <v>27</v>
      </c>
      <c r="C43" s="16">
        <f t="shared" si="0"/>
        <v>0.0118279087036664</v>
      </c>
      <c r="D43" s="16">
        <f t="shared" si="1"/>
        <v>0.579567526479652</v>
      </c>
      <c r="E43" s="16"/>
      <c r="F43" s="16"/>
      <c r="G43" s="16"/>
      <c r="H43" s="16"/>
    </row>
    <row r="44" ht="16.5" customHeight="1" spans="2:8">
      <c r="B44" s="16">
        <v>28</v>
      </c>
      <c r="C44" s="16">
        <f t="shared" si="0"/>
        <v>0.011591350529593</v>
      </c>
      <c r="D44" s="16">
        <f t="shared" si="1"/>
        <v>0.567976175950059</v>
      </c>
      <c r="E44" s="16"/>
      <c r="F44" s="16"/>
      <c r="G44" s="16"/>
      <c r="H44" s="16"/>
    </row>
    <row r="45" ht="16.5" customHeight="1" spans="2:8">
      <c r="B45" s="16">
        <v>29</v>
      </c>
      <c r="C45" s="16">
        <f t="shared" si="0"/>
        <v>0.0113595235190012</v>
      </c>
      <c r="D45" s="16">
        <f t="shared" si="1"/>
        <v>0.556616652431058</v>
      </c>
      <c r="E45" s="16"/>
      <c r="F45" s="16"/>
      <c r="G45" s="16"/>
      <c r="H45" s="16"/>
    </row>
    <row r="46" ht="16.5" customHeight="1" spans="2:8">
      <c r="B46" s="16">
        <v>30</v>
      </c>
      <c r="C46" s="16">
        <f t="shared" si="0"/>
        <v>0.0111323330486212</v>
      </c>
      <c r="D46" s="16">
        <f t="shared" si="1"/>
        <v>0.545484319382437</v>
      </c>
      <c r="E46" s="16"/>
      <c r="F46" s="16"/>
      <c r="G46" s="16"/>
      <c r="H46" s="16"/>
    </row>
    <row r="47" ht="16.5" customHeight="1" spans="2:8">
      <c r="B47" s="16">
        <v>31</v>
      </c>
      <c r="C47" s="16">
        <f t="shared" si="0"/>
        <v>0.0109096863876487</v>
      </c>
      <c r="D47" s="16">
        <f t="shared" si="1"/>
        <v>0.534574632994788</v>
      </c>
      <c r="E47" s="16"/>
      <c r="F47" s="16"/>
      <c r="G47" s="16"/>
      <c r="H47" s="16"/>
    </row>
    <row r="48" ht="16.5" customHeight="1" spans="2:8">
      <c r="B48" s="16">
        <v>32</v>
      </c>
      <c r="C48" s="16">
        <f t="shared" si="0"/>
        <v>0.0106914926598958</v>
      </c>
      <c r="D48" s="16">
        <f t="shared" si="1"/>
        <v>0.523883140334892</v>
      </c>
      <c r="E48" s="16"/>
      <c r="F48" s="16"/>
      <c r="G48" s="16"/>
      <c r="H48" s="16"/>
    </row>
    <row r="49" ht="16.5" customHeight="1" spans="2:8">
      <c r="B49" s="16">
        <v>33</v>
      </c>
      <c r="C49" s="16">
        <f t="shared" si="0"/>
        <v>0.0104776628066978</v>
      </c>
      <c r="D49" s="16">
        <f t="shared" si="1"/>
        <v>0.513405477528195</v>
      </c>
      <c r="E49" s="16"/>
      <c r="F49" s="16"/>
      <c r="G49" s="16"/>
      <c r="H49" s="16"/>
    </row>
    <row r="50" ht="16.5" customHeight="1" spans="2:8">
      <c r="B50" s="16">
        <v>34</v>
      </c>
      <c r="C50" s="16">
        <f t="shared" si="0"/>
        <v>0.0102681095505639</v>
      </c>
      <c r="D50" s="16">
        <f t="shared" si="1"/>
        <v>0.503137367977631</v>
      </c>
      <c r="E50" s="16"/>
      <c r="F50" s="16"/>
      <c r="G50" s="16"/>
      <c r="H50" s="16"/>
    </row>
    <row r="51" ht="16.5" customHeight="1" spans="2:8">
      <c r="B51" s="16">
        <v>35</v>
      </c>
      <c r="C51" s="16">
        <f t="shared" si="0"/>
        <v>0.0100627473595526</v>
      </c>
      <c r="D51" s="16">
        <f t="shared" si="1"/>
        <v>0.493074620618078</v>
      </c>
      <c r="E51" s="16"/>
      <c r="F51" s="16"/>
      <c r="G51" s="16"/>
      <c r="H51" s="16"/>
    </row>
    <row r="52" ht="16.5" customHeight="1" spans="2:8">
      <c r="B52" s="16">
        <v>36</v>
      </c>
      <c r="C52" s="16">
        <f t="shared" si="0"/>
        <v>0.00986149241236156</v>
      </c>
      <c r="D52" s="16">
        <f t="shared" si="1"/>
        <v>0.483213128205716</v>
      </c>
      <c r="E52" s="16"/>
      <c r="F52" s="16"/>
      <c r="G52" s="16"/>
      <c r="H52" s="16"/>
    </row>
    <row r="53" ht="16.5" customHeight="1" spans="2:8">
      <c r="B53" s="16">
        <v>37</v>
      </c>
      <c r="C53" s="16">
        <f t="shared" si="0"/>
        <v>0.00966426256411433</v>
      </c>
      <c r="D53" s="16">
        <f t="shared" si="1"/>
        <v>0.473548865641602</v>
      </c>
      <c r="E53" s="16"/>
      <c r="F53" s="16"/>
      <c r="G53" s="16"/>
      <c r="H53" s="16"/>
    </row>
    <row r="54" ht="16.5" customHeight="1" spans="2:8">
      <c r="B54" s="16">
        <v>38</v>
      </c>
      <c r="C54" s="16">
        <f t="shared" si="0"/>
        <v>0.00947097731283204</v>
      </c>
      <c r="D54" s="16">
        <f t="shared" si="1"/>
        <v>0.46407788832877</v>
      </c>
      <c r="E54" s="16"/>
      <c r="F54" s="16"/>
      <c r="G54" s="16"/>
      <c r="H54" s="16"/>
    </row>
    <row r="55" ht="16.5" customHeight="1" spans="2:8">
      <c r="B55" s="16">
        <v>39</v>
      </c>
      <c r="C55" s="16">
        <f t="shared" si="0"/>
        <v>0.0092815577665754</v>
      </c>
      <c r="D55" s="16">
        <f t="shared" si="1"/>
        <v>0.454796330562195</v>
      </c>
      <c r="E55" s="16"/>
      <c r="F55" s="16"/>
      <c r="G55" s="16"/>
      <c r="H55" s="16"/>
    </row>
    <row r="56" ht="16.5" customHeight="1" spans="2:8">
      <c r="B56" s="16">
        <v>40</v>
      </c>
      <c r="C56" s="16">
        <f t="shared" si="0"/>
        <v>0.00909592661124389</v>
      </c>
      <c r="D56" s="16">
        <f t="shared" si="1"/>
        <v>0.445700403950951</v>
      </c>
      <c r="E56" s="16"/>
      <c r="F56" s="16"/>
      <c r="G56" s="16"/>
      <c r="H56" s="16"/>
    </row>
    <row r="57" ht="16.5" customHeight="1" spans="2:8">
      <c r="B57" s="16">
        <v>41</v>
      </c>
      <c r="C57" s="16">
        <f t="shared" si="0"/>
        <v>0.00891400807901901</v>
      </c>
      <c r="D57" s="16">
        <f t="shared" si="1"/>
        <v>0.436786395871932</v>
      </c>
      <c r="E57" s="16"/>
      <c r="F57" s="16"/>
      <c r="G57" s="16"/>
      <c r="H57" s="16"/>
    </row>
    <row r="58" ht="16.5" customHeight="1" spans="2:8">
      <c r="B58" s="16">
        <v>42</v>
      </c>
      <c r="C58" s="16">
        <f t="shared" si="0"/>
        <v>0.00873572791743863</v>
      </c>
      <c r="D58" s="16">
        <f t="shared" si="1"/>
        <v>0.428050667954493</v>
      </c>
      <c r="E58" s="16"/>
      <c r="F58" s="16"/>
      <c r="G58" s="16"/>
      <c r="H58" s="16"/>
    </row>
    <row r="59" ht="16.5" customHeight="1" spans="2:8">
      <c r="B59" s="16">
        <v>43</v>
      </c>
      <c r="C59" s="16">
        <f t="shared" si="0"/>
        <v>0.00856101335908986</v>
      </c>
      <c r="D59" s="16">
        <f t="shared" si="1"/>
        <v>0.419489654595403</v>
      </c>
      <c r="E59" s="16"/>
      <c r="F59" s="16"/>
      <c r="G59" s="16"/>
      <c r="H59" s="16"/>
    </row>
    <row r="60" ht="16.5" customHeight="1" spans="2:8">
      <c r="B60" s="16">
        <v>44</v>
      </c>
      <c r="C60" s="16">
        <f t="shared" si="0"/>
        <v>0.00838979309190806</v>
      </c>
      <c r="D60" s="16">
        <f t="shared" si="1"/>
        <v>0.411099861503495</v>
      </c>
      <c r="E60" s="16"/>
      <c r="F60" s="16"/>
      <c r="G60" s="16"/>
      <c r="H60" s="16"/>
    </row>
    <row r="61" ht="16.5" customHeight="1" spans="2:8">
      <c r="B61" s="16">
        <v>45</v>
      </c>
      <c r="C61" s="16">
        <f t="shared" si="0"/>
        <v>0.0082219972300699</v>
      </c>
      <c r="D61" s="16">
        <f t="shared" si="1"/>
        <v>0.402877864273425</v>
      </c>
      <c r="E61" s="16"/>
      <c r="F61" s="16"/>
      <c r="G61" s="16"/>
      <c r="H61" s="16"/>
    </row>
    <row r="62" ht="16.5" customHeight="1" spans="2:8">
      <c r="B62" s="16">
        <v>46</v>
      </c>
      <c r="C62" s="16">
        <f t="shared" si="0"/>
        <v>0.0080575572854685</v>
      </c>
      <c r="D62" s="16">
        <f t="shared" si="1"/>
        <v>0.394820306987957</v>
      </c>
      <c r="E62" s="16"/>
      <c r="F62" s="16"/>
      <c r="G62" s="16"/>
      <c r="H62" s="16"/>
    </row>
    <row r="63" ht="16.5" customHeight="1" spans="2:8">
      <c r="B63" s="16">
        <v>47</v>
      </c>
      <c r="C63" s="16">
        <f t="shared" si="0"/>
        <v>0.00789640613975913</v>
      </c>
      <c r="D63" s="16">
        <f t="shared" si="1"/>
        <v>0.386923900848198</v>
      </c>
      <c r="E63" s="16"/>
      <c r="F63" s="16"/>
      <c r="G63" s="16"/>
      <c r="H63" s="16"/>
    </row>
    <row r="64" ht="16.5" customHeight="1" spans="2:8">
      <c r="B64" s="16">
        <v>48</v>
      </c>
      <c r="C64" s="16">
        <f t="shared" si="0"/>
        <v>0.00773847801696395</v>
      </c>
      <c r="D64" s="16">
        <f t="shared" si="1"/>
        <v>0.379185422831234</v>
      </c>
      <c r="E64" s="16"/>
      <c r="F64" s="16"/>
      <c r="G64" s="16"/>
      <c r="H64" s="16"/>
    </row>
    <row r="65" ht="16.5" customHeight="1" spans="2:8">
      <c r="B65" s="16">
        <v>49</v>
      </c>
      <c r="C65" s="16">
        <f t="shared" si="0"/>
        <v>0.00758370845662467</v>
      </c>
      <c r="D65" s="16">
        <f t="shared" si="1"/>
        <v>0.371601714374609</v>
      </c>
      <c r="E65" s="16"/>
      <c r="F65" s="16"/>
      <c r="G65" s="16"/>
      <c r="H65" s="16"/>
    </row>
    <row r="66" ht="16.5" customHeight="1" spans="2:8">
      <c r="B66" s="16">
        <v>50</v>
      </c>
      <c r="C66" s="16">
        <f t="shared" si="0"/>
        <v>0.00743203428749218</v>
      </c>
      <c r="D66" s="16">
        <f t="shared" si="1"/>
        <v>0.364169680087117</v>
      </c>
      <c r="E66" s="16"/>
      <c r="F66" s="16"/>
      <c r="G66" s="16"/>
      <c r="H66" s="16"/>
    </row>
    <row r="67" ht="16.5" customHeight="1" spans="2:8">
      <c r="B67" s="16">
        <v>51</v>
      </c>
      <c r="C67" s="16">
        <f t="shared" si="0"/>
        <v>0.00728339360174234</v>
      </c>
      <c r="D67" s="16">
        <f t="shared" si="1"/>
        <v>0.356886286485374</v>
      </c>
      <c r="E67" s="16"/>
      <c r="F67" s="16"/>
      <c r="G67" s="16"/>
      <c r="H67" s="16"/>
    </row>
    <row r="68" ht="16.5" customHeight="1" spans="2:8">
      <c r="B68" s="16">
        <v>52</v>
      </c>
      <c r="C68" s="16">
        <f t="shared" si="0"/>
        <v>0.00713772572970749</v>
      </c>
      <c r="D68" s="16">
        <f t="shared" si="1"/>
        <v>0.349748560755667</v>
      </c>
      <c r="E68" s="16"/>
      <c r="F68" s="16"/>
      <c r="G68" s="16"/>
      <c r="H68" s="16"/>
    </row>
    <row r="69" ht="16.5" customHeight="1" spans="2:8">
      <c r="B69" s="16">
        <v>53</v>
      </c>
      <c r="C69" s="16">
        <f t="shared" si="0"/>
        <v>0.00699497121511334</v>
      </c>
      <c r="D69" s="16">
        <f t="shared" si="1"/>
        <v>0.342753589540554</v>
      </c>
      <c r="E69" s="16"/>
      <c r="F69" s="16"/>
      <c r="G69" s="16"/>
      <c r="H69" s="16"/>
    </row>
    <row r="70" ht="16.5" customHeight="1" spans="2:8">
      <c r="B70" s="16">
        <v>54</v>
      </c>
      <c r="C70" s="16">
        <f t="shared" si="0"/>
        <v>0.00685507179081107</v>
      </c>
      <c r="D70" s="16">
        <f t="shared" si="1"/>
        <v>0.335898517749742</v>
      </c>
      <c r="E70" s="16"/>
      <c r="F70" s="16"/>
      <c r="G70" s="16"/>
      <c r="H70" s="16"/>
    </row>
    <row r="71" ht="16.5" customHeight="1" spans="2:8">
      <c r="B71" s="16">
        <v>55</v>
      </c>
      <c r="C71" s="16">
        <f t="shared" si="0"/>
        <v>0.00671797035499485</v>
      </c>
      <c r="D71" s="16">
        <f t="shared" si="1"/>
        <v>0.329180547394748</v>
      </c>
      <c r="E71" s="16"/>
      <c r="F71" s="16"/>
      <c r="G71" s="16"/>
      <c r="H71" s="16"/>
    </row>
    <row r="72" ht="16.5" customHeight="1" spans="2:8">
      <c r="B72" s="16">
        <v>56</v>
      </c>
      <c r="C72" s="16">
        <f t="shared" si="0"/>
        <v>0.00658361094789495</v>
      </c>
      <c r="D72" s="16">
        <f t="shared" si="1"/>
        <v>0.322596936446853</v>
      </c>
      <c r="E72" s="16"/>
      <c r="F72" s="16"/>
      <c r="G72" s="16"/>
      <c r="H72" s="16"/>
    </row>
    <row r="73" ht="16.5" customHeight="1" spans="2:8">
      <c r="B73" s="16">
        <v>57</v>
      </c>
      <c r="C73" s="16">
        <f t="shared" si="0"/>
        <v>0.00645193872893705</v>
      </c>
      <c r="D73" s="16">
        <f t="shared" si="1"/>
        <v>0.316144997717916</v>
      </c>
      <c r="E73" s="16"/>
      <c r="F73" s="16"/>
      <c r="G73" s="16"/>
      <c r="H73" s="16"/>
    </row>
    <row r="74" ht="16.5" customHeight="1" spans="2:8">
      <c r="B74" s="16">
        <v>58</v>
      </c>
      <c r="C74" s="16">
        <f t="shared" si="0"/>
        <v>0.00632289995435831</v>
      </c>
      <c r="D74" s="16">
        <f t="shared" si="1"/>
        <v>0.309822097763557</v>
      </c>
      <c r="E74" s="16"/>
      <c r="F74" s="16"/>
      <c r="G74" s="16"/>
      <c r="H74" s="16"/>
    </row>
    <row r="75" ht="16.5" customHeight="1" spans="2:8">
      <c r="B75" s="16">
        <v>59</v>
      </c>
      <c r="C75" s="16">
        <f t="shared" si="0"/>
        <v>0.00619644195527115</v>
      </c>
      <c r="D75" s="16">
        <f t="shared" si="1"/>
        <v>0.303625655808286</v>
      </c>
      <c r="E75" s="16"/>
      <c r="F75" s="16"/>
      <c r="G75" s="16"/>
      <c r="H75" s="16"/>
    </row>
    <row r="76" ht="16.5" customHeight="1" spans="2:8">
      <c r="B76" s="16">
        <v>60</v>
      </c>
      <c r="C76" s="16">
        <f>1-SUM(C17:C75)</f>
        <v>0.303625655808287</v>
      </c>
      <c r="D76" s="16">
        <f t="shared" si="1"/>
        <v>0.29755314269212</v>
      </c>
      <c r="E76" s="16"/>
      <c r="F76" s="16"/>
      <c r="G76" s="16"/>
      <c r="H76" s="16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31"/>
  <sheetViews>
    <sheetView workbookViewId="0">
      <selection activeCell="Q7" sqref="J7:Q9"/>
    </sheetView>
  </sheetViews>
  <sheetFormatPr defaultColWidth="9" defaultRowHeight="16.5"/>
  <cols>
    <col min="1" max="1" width="9" style="16" customWidth="1"/>
    <col min="2" max="2" width="8.875" style="16" customWidth="1"/>
    <col min="3" max="3" width="10" style="16" customWidth="1"/>
    <col min="4" max="6" width="12.875" style="16" customWidth="1"/>
    <col min="7" max="7" width="8.125" style="16" customWidth="1"/>
    <col min="8" max="8" width="15.625" style="16" customWidth="1"/>
    <col min="9" max="10" width="21.25" style="16" customWidth="1"/>
    <col min="11" max="11" width="9" style="16" customWidth="1"/>
    <col min="12" max="13" width="12.875" style="16" customWidth="1"/>
    <col min="14" max="14" width="9" style="16" customWidth="1"/>
    <col min="15" max="15" width="20.375" style="16" customWidth="1"/>
    <col min="16" max="17" width="12.875" style="16" customWidth="1"/>
    <col min="18" max="16384" width="9" style="16" customWidth="1"/>
  </cols>
  <sheetData>
    <row r="2" spans="2:17">
      <c r="B2" s="242" t="s">
        <v>1038</v>
      </c>
      <c r="C2" s="179">
        <v>60</v>
      </c>
      <c r="E2" s="242" t="s">
        <v>1096</v>
      </c>
      <c r="F2" s="179">
        <v>6</v>
      </c>
      <c r="H2" s="242" t="s">
        <v>1097</v>
      </c>
      <c r="I2" s="179">
        <v>10</v>
      </c>
    </row>
    <row r="4" spans="2:17">
      <c r="B4" s="19" t="s">
        <v>1041</v>
      </c>
      <c r="C4" s="19" t="s">
        <v>1098</v>
      </c>
      <c r="D4" s="19" t="s">
        <v>1043</v>
      </c>
      <c r="E4" s="19" t="s">
        <v>1044</v>
      </c>
      <c r="F4" s="19" t="s">
        <v>1045</v>
      </c>
      <c r="G4" s="19" t="s">
        <v>1046</v>
      </c>
      <c r="J4" s="77" t="s">
        <v>1099</v>
      </c>
      <c r="K4" s="3">
        <f>MAX(E5:E9)</f>
        <v>40000</v>
      </c>
      <c r="L4" s="211">
        <f>道具定价!$F$111*K4</f>
        <v>400</v>
      </c>
      <c r="M4" s="3"/>
      <c r="N4" s="3"/>
      <c r="O4" s="77" t="s">
        <v>1100</v>
      </c>
      <c r="P4" s="3">
        <f>K4*6</f>
        <v>240000</v>
      </c>
      <c r="Q4" s="211">
        <f>道具定价!$F$111*P4</f>
        <v>2400</v>
      </c>
    </row>
    <row r="5" spans="2:17">
      <c r="B5" s="16">
        <v>1</v>
      </c>
      <c r="D5" s="16">
        <v>1000</v>
      </c>
      <c r="E5" s="16">
        <f>SUM($D$5:D5)</f>
        <v>1000</v>
      </c>
      <c r="F5" s="16">
        <f>D5*$I$2</f>
        <v>10000</v>
      </c>
      <c r="G5" s="16">
        <f>SUM($F$5:F5)</f>
        <v>10000</v>
      </c>
      <c r="J5" s="77" t="s">
        <v>1101</v>
      </c>
      <c r="K5" s="3">
        <f>MAX(G5:G9)</f>
        <v>400000</v>
      </c>
      <c r="L5" s="3">
        <f>K5*道具定价!$F$11</f>
        <v>400</v>
      </c>
      <c r="M5" s="3"/>
      <c r="N5" s="3"/>
      <c r="O5" s="77" t="s">
        <v>1102</v>
      </c>
      <c r="P5" s="3">
        <f>K5*6</f>
        <v>2400000</v>
      </c>
      <c r="Q5" s="3">
        <f>P5*道具定价!$F$11</f>
        <v>2400</v>
      </c>
    </row>
    <row r="6" spans="2:17">
      <c r="B6" s="16">
        <v>2</v>
      </c>
      <c r="C6" s="16">
        <v>3</v>
      </c>
      <c r="D6" s="16">
        <f>C6*D5</f>
        <v>3000</v>
      </c>
      <c r="E6" s="16">
        <f>SUM($D$5:D6)</f>
        <v>4000</v>
      </c>
      <c r="F6" s="16">
        <f>D6*$I$2</f>
        <v>30000</v>
      </c>
      <c r="G6" s="16">
        <f>SUM($F$5:F6)</f>
        <v>40000</v>
      </c>
      <c r="J6" s="77" t="s">
        <v>1103</v>
      </c>
      <c r="K6" s="3"/>
      <c r="L6" s="3">
        <f>SUM(L4:L5)</f>
        <v>800</v>
      </c>
      <c r="M6" s="3"/>
      <c r="N6" s="3"/>
      <c r="O6" s="77" t="s">
        <v>1104</v>
      </c>
      <c r="Q6" s="3">
        <f>SUM(P4:P5)</f>
        <v>2640000</v>
      </c>
    </row>
    <row r="7" spans="2:17">
      <c r="B7" s="16">
        <v>3</v>
      </c>
      <c r="C7" s="16">
        <v>2</v>
      </c>
      <c r="D7" s="16">
        <f>C7*D6</f>
        <v>6000</v>
      </c>
      <c r="E7" s="16">
        <f>SUM($D$5:D7)</f>
        <v>10000</v>
      </c>
      <c r="F7" s="16">
        <f>D7*$I$2</f>
        <v>60000</v>
      </c>
      <c r="G7" s="16">
        <f>SUM($F$5:F7)</f>
        <v>100000</v>
      </c>
    </row>
    <row r="8" spans="2:17">
      <c r="B8" s="16">
        <v>4</v>
      </c>
      <c r="C8" s="16">
        <v>2</v>
      </c>
      <c r="D8" s="16">
        <f>C8*D7</f>
        <v>12000</v>
      </c>
      <c r="E8" s="16">
        <f>SUM($D$5:D8)</f>
        <v>22000</v>
      </c>
      <c r="F8" s="16">
        <f>D8*$I$2</f>
        <v>120000</v>
      </c>
      <c r="G8" s="16">
        <f>SUM($F$5:F8)</f>
        <v>220000</v>
      </c>
    </row>
    <row r="9" spans="2:17">
      <c r="B9" s="16">
        <v>5</v>
      </c>
      <c r="C9" s="16">
        <v>1.5</v>
      </c>
      <c r="D9" s="16">
        <f>C9*D8</f>
        <v>18000</v>
      </c>
      <c r="E9" s="16">
        <f>SUM($D$5:D9)</f>
        <v>40000</v>
      </c>
      <c r="F9" s="16">
        <f>D9*$I$2</f>
        <v>180000</v>
      </c>
      <c r="G9" s="16">
        <f>SUM($F$5:F9)</f>
        <v>400000</v>
      </c>
    </row>
    <row r="12" spans="2:17">
      <c r="B12" s="19" t="s">
        <v>1105</v>
      </c>
      <c r="C12" s="19" t="s">
        <v>1106</v>
      </c>
    </row>
    <row r="13" spans="2:17">
      <c r="B13" s="243" t="s">
        <v>817</v>
      </c>
      <c r="C13" s="16">
        <v>1</v>
      </c>
    </row>
    <row r="14" spans="2:17">
      <c r="B14" s="18" t="s">
        <v>766</v>
      </c>
      <c r="C14" s="16">
        <v>0.8</v>
      </c>
    </row>
    <row r="15" spans="2:17">
      <c r="B15" s="244" t="s">
        <v>762</v>
      </c>
      <c r="C15" s="16">
        <v>0.6</v>
      </c>
    </row>
    <row r="16" spans="2:17">
      <c r="B16" s="245" t="s">
        <v>757</v>
      </c>
      <c r="C16" s="16">
        <v>0.4</v>
      </c>
    </row>
    <row r="18" spans="2:17">
      <c r="B18" s="243" t="s">
        <v>817</v>
      </c>
      <c r="F18" s="18" t="s">
        <v>766</v>
      </c>
      <c r="J18" s="244" t="s">
        <v>762</v>
      </c>
      <c r="N18" s="245" t="s">
        <v>757</v>
      </c>
    </row>
    <row r="19" spans="2:17">
      <c r="B19" s="19" t="s">
        <v>1041</v>
      </c>
      <c r="C19" s="19" t="s">
        <v>1098</v>
      </c>
      <c r="D19" s="19" t="s">
        <v>1043</v>
      </c>
      <c r="E19" s="19" t="s">
        <v>1045</v>
      </c>
      <c r="F19" s="19" t="s">
        <v>1041</v>
      </c>
      <c r="G19" s="19" t="s">
        <v>1098</v>
      </c>
      <c r="H19" s="19" t="s">
        <v>1043</v>
      </c>
      <c r="I19" s="19" t="s">
        <v>1045</v>
      </c>
      <c r="J19" s="19" t="s">
        <v>1041</v>
      </c>
      <c r="K19" s="19" t="s">
        <v>1098</v>
      </c>
      <c r="L19" s="19" t="s">
        <v>1043</v>
      </c>
      <c r="M19" s="19" t="s">
        <v>1045</v>
      </c>
      <c r="N19" s="19" t="s">
        <v>1041</v>
      </c>
      <c r="O19" s="19" t="s">
        <v>1098</v>
      </c>
      <c r="P19" s="19" t="s">
        <v>1043</v>
      </c>
      <c r="Q19" s="19" t="s">
        <v>1045</v>
      </c>
    </row>
    <row r="20" spans="2:17">
      <c r="B20" s="16">
        <v>1</v>
      </c>
      <c r="D20" s="16">
        <f>D5*$C$13</f>
        <v>1000</v>
      </c>
      <c r="E20" s="16">
        <f>G5*$C$13</f>
        <v>10000</v>
      </c>
      <c r="F20" s="16">
        <v>1</v>
      </c>
      <c r="H20" s="16">
        <f>$D5*$C$14</f>
        <v>800</v>
      </c>
      <c r="I20" s="16">
        <f>$F5*$C$14</f>
        <v>8000</v>
      </c>
      <c r="J20" s="16">
        <v>1</v>
      </c>
      <c r="L20" s="16">
        <f>$D5*$C$15</f>
        <v>600</v>
      </c>
      <c r="M20" s="16">
        <f>$F5*$C$15</f>
        <v>6000</v>
      </c>
      <c r="N20" s="16">
        <v>1</v>
      </c>
      <c r="P20" s="16">
        <f>$D5*$C$16</f>
        <v>400</v>
      </c>
      <c r="Q20" s="16">
        <f>$F5*$C$16</f>
        <v>4000</v>
      </c>
    </row>
    <row r="21" spans="2:17">
      <c r="B21" s="16">
        <v>2</v>
      </c>
      <c r="C21" s="16">
        <v>3</v>
      </c>
      <c r="D21" s="16">
        <f>D6*$C$13</f>
        <v>3000</v>
      </c>
      <c r="E21" s="16">
        <f>G6*$C$13</f>
        <v>40000</v>
      </c>
      <c r="F21" s="16">
        <v>2</v>
      </c>
      <c r="G21" s="16">
        <v>3</v>
      </c>
      <c r="H21" s="16">
        <f>$D6*$C$14</f>
        <v>2400</v>
      </c>
      <c r="I21" s="16">
        <f>$F6*$C$14</f>
        <v>24000</v>
      </c>
      <c r="J21" s="16">
        <v>2</v>
      </c>
      <c r="K21" s="16">
        <v>3</v>
      </c>
      <c r="L21" s="16">
        <f>$D6*$C$15</f>
        <v>1800</v>
      </c>
      <c r="M21" s="16">
        <f>$F6*$C$15</f>
        <v>18000</v>
      </c>
      <c r="N21" s="16">
        <v>2</v>
      </c>
      <c r="O21" s="16">
        <v>3</v>
      </c>
      <c r="P21" s="16">
        <f>$D6*$C$16</f>
        <v>1200</v>
      </c>
      <c r="Q21" s="16">
        <f>$F6*$C$16</f>
        <v>12000</v>
      </c>
    </row>
    <row r="22" spans="2:17">
      <c r="B22" s="16">
        <v>3</v>
      </c>
      <c r="C22" s="16">
        <v>2</v>
      </c>
      <c r="D22" s="16">
        <f>D7*$C$13</f>
        <v>6000</v>
      </c>
      <c r="E22" s="16">
        <f>G7*$C$13</f>
        <v>100000</v>
      </c>
      <c r="F22" s="16">
        <v>3</v>
      </c>
      <c r="G22" s="16">
        <v>2</v>
      </c>
      <c r="H22" s="16">
        <f>$D7*$C$14</f>
        <v>4800</v>
      </c>
      <c r="I22" s="16">
        <f>$F7*$C$14</f>
        <v>48000</v>
      </c>
      <c r="J22" s="16">
        <v>3</v>
      </c>
      <c r="K22" s="16">
        <v>2</v>
      </c>
      <c r="L22" s="16">
        <f>$D7*$C$15</f>
        <v>3600</v>
      </c>
      <c r="M22" s="16">
        <f>$F7*$C$15</f>
        <v>36000</v>
      </c>
      <c r="N22" s="16">
        <v>3</v>
      </c>
      <c r="O22" s="16">
        <v>2</v>
      </c>
      <c r="P22" s="16">
        <f>$D7*$C$16</f>
        <v>2400</v>
      </c>
      <c r="Q22" s="16">
        <f>$F7*$C$16</f>
        <v>24000</v>
      </c>
    </row>
    <row r="23" spans="2:17">
      <c r="B23" s="16">
        <v>4</v>
      </c>
      <c r="C23" s="16">
        <v>2</v>
      </c>
      <c r="D23" s="16">
        <f>D8*$C$13</f>
        <v>12000</v>
      </c>
      <c r="E23" s="16">
        <f>G8*$C$13</f>
        <v>220000</v>
      </c>
      <c r="F23" s="16">
        <v>4</v>
      </c>
      <c r="G23" s="16">
        <v>2</v>
      </c>
      <c r="H23" s="16">
        <f>$D8*$C$14</f>
        <v>9600</v>
      </c>
      <c r="I23" s="16">
        <f>$F8*$C$14</f>
        <v>96000</v>
      </c>
      <c r="J23" s="16">
        <v>4</v>
      </c>
      <c r="K23" s="16">
        <v>2</v>
      </c>
      <c r="L23" s="16">
        <f>$D8*$C$15</f>
        <v>7200</v>
      </c>
      <c r="M23" s="16">
        <f>$F8*$C$15</f>
        <v>72000</v>
      </c>
      <c r="N23" s="16">
        <v>4</v>
      </c>
      <c r="O23" s="16">
        <v>2</v>
      </c>
      <c r="P23" s="16">
        <f>$D8*$C$16</f>
        <v>4800</v>
      </c>
      <c r="Q23" s="16">
        <f>$F8*$C$16</f>
        <v>48000</v>
      </c>
    </row>
    <row r="24" spans="2:17">
      <c r="B24" s="16">
        <v>5</v>
      </c>
      <c r="C24" s="16">
        <v>1.5</v>
      </c>
      <c r="D24" s="16">
        <f>D9*$C$13</f>
        <v>18000</v>
      </c>
      <c r="E24" s="16">
        <f>G9*$C$13</f>
        <v>400000</v>
      </c>
      <c r="F24" s="16">
        <v>5</v>
      </c>
      <c r="G24" s="16">
        <v>1.5</v>
      </c>
      <c r="H24" s="16">
        <f>$D9*$C$14</f>
        <v>14400</v>
      </c>
      <c r="I24" s="16">
        <f>$F9*$C$14</f>
        <v>144000</v>
      </c>
      <c r="J24" s="16">
        <v>5</v>
      </c>
      <c r="K24" s="16">
        <v>1.5</v>
      </c>
      <c r="L24" s="16">
        <f>$D9*$C$15</f>
        <v>10800</v>
      </c>
      <c r="M24" s="16">
        <f>$F9*$C$15</f>
        <v>108000</v>
      </c>
      <c r="N24" s="16">
        <v>5</v>
      </c>
      <c r="O24" s="16">
        <v>1.5</v>
      </c>
      <c r="P24" s="16">
        <f>$D9*$C$16</f>
        <v>7200</v>
      </c>
      <c r="Q24" s="16">
        <f>$F9*$C$16</f>
        <v>72000</v>
      </c>
    </row>
    <row r="26" spans="2:17">
      <c r="B26" s="25" t="s">
        <v>1107</v>
      </c>
    </row>
    <row r="27" spans="2:17">
      <c r="B27" s="19" t="s">
        <v>1105</v>
      </c>
      <c r="C27" s="19" t="s">
        <v>1108</v>
      </c>
      <c r="D27" s="19" t="s">
        <v>1109</v>
      </c>
    </row>
    <row r="28" spans="2:17">
      <c r="B28" s="243" t="s">
        <v>817</v>
      </c>
      <c r="C28" s="16">
        <f>道具定价!F112/道具定价!$F$111</f>
        <v>5000</v>
      </c>
      <c r="D28" s="16" t="s">
        <v>594</v>
      </c>
    </row>
    <row r="29" spans="2:17">
      <c r="B29" s="18" t="s">
        <v>766</v>
      </c>
      <c r="C29" s="16">
        <f>道具定价!F113/道具定价!$F$111</f>
        <v>1000</v>
      </c>
      <c r="D29" s="16" t="s">
        <v>594</v>
      </c>
    </row>
    <row r="30" spans="2:17">
      <c r="B30" s="244" t="s">
        <v>762</v>
      </c>
      <c r="C30" s="16">
        <f>道具定价!F114/道具定价!$F$111</f>
        <v>500</v>
      </c>
      <c r="D30" s="16" t="s">
        <v>594</v>
      </c>
    </row>
    <row r="31" spans="2:17">
      <c r="B31" s="245" t="s">
        <v>757</v>
      </c>
      <c r="C31" s="16">
        <f>道具定价!F115/道具定价!$F$111</f>
        <v>200</v>
      </c>
      <c r="D31" s="16" t="s">
        <v>594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81"/>
  <sheetViews>
    <sheetView workbookViewId="0">
      <selection activeCell="I20" sqref="I20"/>
    </sheetView>
  </sheetViews>
  <sheetFormatPr defaultColWidth="9" defaultRowHeight="16.5"/>
  <cols>
    <col min="1" max="1" width="9" style="3" customWidth="1"/>
    <col min="2" max="2" width="12.125" style="3" customWidth="1"/>
    <col min="3" max="6" width="12.875" style="3" customWidth="1"/>
    <col min="7" max="7" width="9" style="3" customWidth="1"/>
    <col min="8" max="8" width="14.75" style="3" customWidth="1"/>
    <col min="9" max="9" width="15.625" style="3" customWidth="1"/>
    <col min="10" max="13" width="9" style="3" customWidth="1"/>
    <col min="14" max="14" width="14.75" style="3" customWidth="1"/>
    <col min="15" max="15" width="11.625" style="3" customWidth="1"/>
    <col min="16" max="16384" width="9" style="3" customWidth="1"/>
  </cols>
  <sheetData>
    <row r="2" spans="2:20">
      <c r="B2" s="77" t="s">
        <v>1038</v>
      </c>
      <c r="C2" s="179">
        <v>60</v>
      </c>
      <c r="L2" s="77" t="s">
        <v>1039</v>
      </c>
      <c r="M2" s="77"/>
      <c r="N2" s="3">
        <f>MAX(E7:E76)</f>
        <v>2634500</v>
      </c>
      <c r="O2" s="3">
        <f>N2*道具定价!F79</f>
        <v>1317.25</v>
      </c>
    </row>
    <row r="3" spans="2:20">
      <c r="L3" s="77" t="s">
        <v>1040</v>
      </c>
      <c r="M3" s="77"/>
      <c r="N3" s="3">
        <f>MAX(G7:G76)</f>
        <v>263450</v>
      </c>
    </row>
    <row r="4" spans="2:20">
      <c r="L4" s="77" t="s">
        <v>1048</v>
      </c>
      <c r="M4" s="77"/>
      <c r="N4" s="3">
        <f>N2*道具定价!F79+N3*道具定价!F11</f>
        <v>1580.7</v>
      </c>
    </row>
    <row r="5" spans="2:20">
      <c r="H5" s="3">
        <v>0.8</v>
      </c>
      <c r="I5" s="3">
        <v>0.7</v>
      </c>
    </row>
    <row r="6" spans="2:20">
      <c r="B6" s="19" t="s">
        <v>1041</v>
      </c>
      <c r="C6" s="19" t="s">
        <v>1042</v>
      </c>
      <c r="D6" s="19" t="s">
        <v>1043</v>
      </c>
      <c r="E6" s="19" t="s">
        <v>1044</v>
      </c>
      <c r="F6" s="19" t="s">
        <v>1045</v>
      </c>
      <c r="G6" s="19" t="s">
        <v>1046</v>
      </c>
      <c r="H6" s="19" t="s">
        <v>1110</v>
      </c>
      <c r="I6" s="19" t="s">
        <v>1111</v>
      </c>
      <c r="L6" s="19" t="s">
        <v>1049</v>
      </c>
      <c r="M6" s="19" t="s">
        <v>1050</v>
      </c>
      <c r="N6" s="19" t="s">
        <v>1051</v>
      </c>
      <c r="O6" s="19" t="s">
        <v>1052</v>
      </c>
      <c r="P6" s="19" t="s">
        <v>1053</v>
      </c>
      <c r="Q6" s="19" t="s">
        <v>1054</v>
      </c>
      <c r="R6" s="19" t="s">
        <v>1055</v>
      </c>
      <c r="S6" s="19" t="s">
        <v>1056</v>
      </c>
      <c r="T6" s="19" t="s">
        <v>1057</v>
      </c>
    </row>
    <row r="7" spans="2:20">
      <c r="B7" s="3">
        <f t="array" ref="B7:B66">_xlfn.SEQUENCE(C2,1,1,1)</f>
        <v>1</v>
      </c>
      <c r="D7" s="179">
        <v>100</v>
      </c>
      <c r="E7" s="3">
        <f>SUM($D$7:D7)</f>
        <v>100</v>
      </c>
      <c r="F7" s="3">
        <f t="shared" ref="F7:F66" si="0">ROUND(D7/10,-1)</f>
        <v>10</v>
      </c>
      <c r="G7" s="3">
        <f>SUM($F$7:F7)</f>
        <v>10</v>
      </c>
      <c r="H7" s="3">
        <f t="shared" ref="H7:H66" si="1">ROUND(D7*$H$5,0)</f>
        <v>80</v>
      </c>
      <c r="I7" s="3">
        <f t="shared" ref="I7:I66" si="2">ROUND(D7*$I$5,0)</f>
        <v>70</v>
      </c>
      <c r="L7" s="241">
        <v>20</v>
      </c>
      <c r="M7" s="16">
        <v>1</v>
      </c>
      <c r="N7" s="3" t="s">
        <v>617</v>
      </c>
      <c r="O7" s="16">
        <v>6</v>
      </c>
      <c r="P7" s="16">
        <f>VLOOKUP(N7,道具定价!$C:$F,4,0)*O7</f>
        <v>24</v>
      </c>
      <c r="Q7" s="16" t="s">
        <v>601</v>
      </c>
      <c r="R7" s="16">
        <v>20000</v>
      </c>
      <c r="S7" s="16">
        <f>VLOOKUP(Q7,道具定价!$C:$F,4,0)*R7</f>
        <v>20</v>
      </c>
      <c r="T7" s="16">
        <f>S7+P7</f>
        <v>44</v>
      </c>
    </row>
    <row r="8" spans="2:20">
      <c r="B8" s="3">
        <v>2</v>
      </c>
      <c r="C8" s="3">
        <v>100</v>
      </c>
      <c r="D8" s="16">
        <f t="shared" ref="D8:D66" si="3">D7+C8</f>
        <v>200</v>
      </c>
      <c r="E8" s="3">
        <f>SUM($D$7:D8)</f>
        <v>300</v>
      </c>
      <c r="F8" s="3">
        <f t="shared" si="0"/>
        <v>20</v>
      </c>
      <c r="G8" s="3">
        <f>SUM($F$7:F8)</f>
        <v>30</v>
      </c>
      <c r="H8" s="3">
        <f t="shared" si="1"/>
        <v>160</v>
      </c>
      <c r="I8" s="3">
        <f t="shared" si="2"/>
        <v>140</v>
      </c>
      <c r="L8" s="241">
        <v>30</v>
      </c>
      <c r="M8" s="16">
        <v>2</v>
      </c>
      <c r="N8" s="3" t="s">
        <v>618</v>
      </c>
      <c r="O8" s="16">
        <v>6</v>
      </c>
      <c r="P8" s="16">
        <f>VLOOKUP(N8,道具定价!$C:$F,4,0)*O8</f>
        <v>72</v>
      </c>
      <c r="Q8" s="16" t="s">
        <v>601</v>
      </c>
      <c r="R8" s="16">
        <v>50000</v>
      </c>
      <c r="S8" s="16">
        <f>VLOOKUP(Q8,道具定价!$C:$F,4,0)*R8</f>
        <v>50</v>
      </c>
      <c r="T8" s="16">
        <f>S8+P8</f>
        <v>122</v>
      </c>
    </row>
    <row r="9" spans="2:20">
      <c r="B9" s="3">
        <v>3</v>
      </c>
      <c r="C9" s="3">
        <v>100</v>
      </c>
      <c r="D9" s="16">
        <f t="shared" si="3"/>
        <v>300</v>
      </c>
      <c r="E9" s="3">
        <f>SUM($D$7:D9)</f>
        <v>600</v>
      </c>
      <c r="F9" s="3">
        <f t="shared" si="0"/>
        <v>30</v>
      </c>
      <c r="G9" s="3">
        <f>SUM($F$7:F9)</f>
        <v>60</v>
      </c>
      <c r="H9" s="3">
        <f t="shared" si="1"/>
        <v>240</v>
      </c>
      <c r="I9" s="3">
        <f t="shared" si="2"/>
        <v>210</v>
      </c>
      <c r="L9" s="241">
        <v>40</v>
      </c>
      <c r="M9" s="16">
        <v>3</v>
      </c>
      <c r="N9" s="3" t="s">
        <v>618</v>
      </c>
      <c r="O9" s="16">
        <v>12</v>
      </c>
      <c r="P9" s="16">
        <f>VLOOKUP(N9,道具定价!$C:$F,4,0)*O9</f>
        <v>144</v>
      </c>
      <c r="Q9" s="16" t="s">
        <v>601</v>
      </c>
      <c r="R9" s="16">
        <v>100000</v>
      </c>
      <c r="S9" s="16">
        <f>VLOOKUP(Q9,道具定价!$C:$F,4,0)*R9</f>
        <v>100</v>
      </c>
      <c r="T9" s="16">
        <f>S9+P9</f>
        <v>244</v>
      </c>
    </row>
    <row r="10" spans="2:20">
      <c r="B10" s="3">
        <v>4</v>
      </c>
      <c r="C10" s="3">
        <v>100</v>
      </c>
      <c r="D10" s="16">
        <f t="shared" si="3"/>
        <v>400</v>
      </c>
      <c r="E10" s="3">
        <f>SUM($D$7:D10)</f>
        <v>1000</v>
      </c>
      <c r="F10" s="3">
        <f t="shared" si="0"/>
        <v>40</v>
      </c>
      <c r="G10" s="3">
        <f>SUM($F$7:F10)</f>
        <v>100</v>
      </c>
      <c r="H10" s="3">
        <f t="shared" si="1"/>
        <v>320</v>
      </c>
      <c r="I10" s="3">
        <f t="shared" si="2"/>
        <v>280</v>
      </c>
      <c r="L10" s="241">
        <v>50</v>
      </c>
      <c r="M10" s="16">
        <v>4</v>
      </c>
      <c r="N10" s="3" t="s">
        <v>619</v>
      </c>
      <c r="O10" s="16">
        <v>12</v>
      </c>
      <c r="P10" s="16">
        <f>VLOOKUP(N10,道具定价!$C:$F,4,0)*O10</f>
        <v>432</v>
      </c>
      <c r="Q10" s="16" t="s">
        <v>601</v>
      </c>
      <c r="R10" s="16">
        <v>200000</v>
      </c>
      <c r="S10" s="16">
        <f>VLOOKUP(Q10,道具定价!$C:$F,4,0)*R10</f>
        <v>200</v>
      </c>
      <c r="T10" s="16">
        <f>S10+P10</f>
        <v>632</v>
      </c>
    </row>
    <row r="11" spans="2:20">
      <c r="B11" s="3">
        <v>5</v>
      </c>
      <c r="C11" s="3">
        <v>100</v>
      </c>
      <c r="D11" s="16">
        <f t="shared" si="3"/>
        <v>500</v>
      </c>
      <c r="E11" s="3">
        <f>SUM($D$7:D11)</f>
        <v>1500</v>
      </c>
      <c r="F11" s="3">
        <f t="shared" si="0"/>
        <v>50</v>
      </c>
      <c r="G11" s="3">
        <f>SUM($F$7:F11)</f>
        <v>150</v>
      </c>
      <c r="H11" s="3">
        <f t="shared" si="1"/>
        <v>400</v>
      </c>
      <c r="I11" s="3">
        <f t="shared" si="2"/>
        <v>350</v>
      </c>
      <c r="M11" s="77"/>
      <c r="P11" s="16">
        <f>SUM(P7:P10)</f>
        <v>672</v>
      </c>
      <c r="R11" s="16">
        <f>SUM(R7:R10)</f>
        <v>370000</v>
      </c>
    </row>
    <row r="12" spans="2:20">
      <c r="B12" s="3">
        <v>6</v>
      </c>
      <c r="C12" s="3">
        <v>200</v>
      </c>
      <c r="D12" s="16">
        <f t="shared" si="3"/>
        <v>700</v>
      </c>
      <c r="E12" s="3">
        <f>SUM($D$7:D12)</f>
        <v>2200</v>
      </c>
      <c r="F12" s="3">
        <f t="shared" si="0"/>
        <v>70</v>
      </c>
      <c r="G12" s="3">
        <f>SUM($F$7:F12)</f>
        <v>220</v>
      </c>
      <c r="H12" s="3">
        <f t="shared" si="1"/>
        <v>560</v>
      </c>
      <c r="I12" s="3">
        <f t="shared" si="2"/>
        <v>490</v>
      </c>
      <c r="M12" s="77"/>
    </row>
    <row r="13" spans="2:20">
      <c r="B13" s="3">
        <v>7</v>
      </c>
      <c r="C13" s="3">
        <v>200</v>
      </c>
      <c r="D13" s="16">
        <f t="shared" si="3"/>
        <v>900</v>
      </c>
      <c r="E13" s="3">
        <f>SUM($D$7:D13)</f>
        <v>3100</v>
      </c>
      <c r="F13" s="3">
        <f t="shared" si="0"/>
        <v>90</v>
      </c>
      <c r="G13" s="3">
        <f>SUM($F$7:F13)</f>
        <v>310</v>
      </c>
      <c r="H13" s="3">
        <f t="shared" si="1"/>
        <v>720</v>
      </c>
      <c r="I13" s="3">
        <f t="shared" si="2"/>
        <v>630</v>
      </c>
      <c r="M13" s="77"/>
    </row>
    <row r="14" spans="2:20">
      <c r="B14" s="3">
        <v>8</v>
      </c>
      <c r="C14" s="3">
        <v>200</v>
      </c>
      <c r="D14" s="16">
        <f t="shared" si="3"/>
        <v>1100</v>
      </c>
      <c r="E14" s="3">
        <f>SUM($D$7:D14)</f>
        <v>4200</v>
      </c>
      <c r="F14" s="3">
        <f t="shared" si="0"/>
        <v>110</v>
      </c>
      <c r="G14" s="3">
        <f>SUM($F$7:F14)</f>
        <v>420</v>
      </c>
      <c r="H14" s="3">
        <f t="shared" si="1"/>
        <v>880</v>
      </c>
      <c r="I14" s="3">
        <f t="shared" si="2"/>
        <v>770</v>
      </c>
      <c r="M14" s="77"/>
    </row>
    <row r="15" spans="2:20">
      <c r="B15" s="3">
        <v>9</v>
      </c>
      <c r="C15" s="3">
        <v>200</v>
      </c>
      <c r="D15" s="16">
        <f t="shared" si="3"/>
        <v>1300</v>
      </c>
      <c r="E15" s="3">
        <f>SUM($D$7:D15)</f>
        <v>5500</v>
      </c>
      <c r="F15" s="3">
        <f t="shared" si="0"/>
        <v>130</v>
      </c>
      <c r="G15" s="3">
        <f>SUM($F$7:F15)</f>
        <v>550</v>
      </c>
      <c r="H15" s="3">
        <f t="shared" si="1"/>
        <v>1040</v>
      </c>
      <c r="I15" s="3">
        <f t="shared" si="2"/>
        <v>910</v>
      </c>
      <c r="M15" s="77" t="s">
        <v>1112</v>
      </c>
    </row>
    <row r="16" spans="2:20">
      <c r="B16" s="3">
        <v>10</v>
      </c>
      <c r="C16" s="3">
        <v>200</v>
      </c>
      <c r="D16" s="16">
        <f t="shared" si="3"/>
        <v>1500</v>
      </c>
      <c r="E16" s="3">
        <f>SUM($D$7:D16)</f>
        <v>7000</v>
      </c>
      <c r="F16" s="3">
        <f t="shared" si="0"/>
        <v>150</v>
      </c>
      <c r="G16" s="3">
        <f>SUM($F$7:F16)</f>
        <v>700</v>
      </c>
      <c r="H16" s="3">
        <f t="shared" si="1"/>
        <v>1200</v>
      </c>
      <c r="I16" s="3">
        <f t="shared" si="2"/>
        <v>1050</v>
      </c>
      <c r="L16" s="233" t="s">
        <v>1070</v>
      </c>
      <c r="M16" s="179">
        <v>5000</v>
      </c>
    </row>
    <row r="17" spans="2:13">
      <c r="B17" s="3">
        <v>11</v>
      </c>
      <c r="C17" s="3">
        <v>400</v>
      </c>
      <c r="D17" s="16">
        <f t="shared" si="3"/>
        <v>1900</v>
      </c>
      <c r="E17" s="3">
        <f>SUM($D$7:D17)</f>
        <v>8900</v>
      </c>
      <c r="F17" s="3">
        <f t="shared" si="0"/>
        <v>190</v>
      </c>
      <c r="G17" s="3">
        <f>SUM($F$7:F17)</f>
        <v>890</v>
      </c>
      <c r="H17" s="3">
        <f t="shared" si="1"/>
        <v>1520</v>
      </c>
      <c r="I17" s="3">
        <f t="shared" si="2"/>
        <v>1330</v>
      </c>
      <c r="L17" s="234" t="s">
        <v>1069</v>
      </c>
      <c r="M17" s="179">
        <v>10000</v>
      </c>
    </row>
    <row r="18" spans="2:13">
      <c r="B18" s="3">
        <v>12</v>
      </c>
      <c r="C18" s="3">
        <v>400</v>
      </c>
      <c r="D18" s="16">
        <f t="shared" si="3"/>
        <v>2300</v>
      </c>
      <c r="E18" s="3">
        <f>SUM($D$7:D18)</f>
        <v>11200</v>
      </c>
      <c r="F18" s="3">
        <f t="shared" si="0"/>
        <v>230</v>
      </c>
      <c r="G18" s="3">
        <f>SUM($F$7:F18)</f>
        <v>1120</v>
      </c>
      <c r="H18" s="3">
        <f t="shared" si="1"/>
        <v>1840</v>
      </c>
      <c r="I18" s="3">
        <f t="shared" si="2"/>
        <v>1610</v>
      </c>
      <c r="L18" s="232" t="s">
        <v>1068</v>
      </c>
      <c r="M18" s="179">
        <v>50000</v>
      </c>
    </row>
    <row r="19" spans="2:13">
      <c r="B19" s="3">
        <v>13</v>
      </c>
      <c r="C19" s="3">
        <v>400</v>
      </c>
      <c r="D19" s="16">
        <f t="shared" si="3"/>
        <v>2700</v>
      </c>
      <c r="E19" s="3">
        <f>SUM($D$7:D19)</f>
        <v>13900</v>
      </c>
      <c r="F19" s="3">
        <f t="shared" si="0"/>
        <v>270</v>
      </c>
      <c r="G19" s="3">
        <f>SUM($F$7:F19)</f>
        <v>1390</v>
      </c>
      <c r="H19" s="3">
        <f t="shared" si="1"/>
        <v>2160</v>
      </c>
      <c r="I19" s="3">
        <f t="shared" si="2"/>
        <v>1890</v>
      </c>
      <c r="M19" s="77"/>
    </row>
    <row r="20" spans="2:13">
      <c r="B20" s="3">
        <v>14</v>
      </c>
      <c r="C20" s="3">
        <v>400</v>
      </c>
      <c r="D20" s="16">
        <f t="shared" si="3"/>
        <v>3100</v>
      </c>
      <c r="E20" s="3">
        <f>SUM($D$7:D20)</f>
        <v>17000</v>
      </c>
      <c r="F20" s="3">
        <f t="shared" si="0"/>
        <v>310</v>
      </c>
      <c r="G20" s="3">
        <f>SUM($F$7:F20)</f>
        <v>1700</v>
      </c>
      <c r="H20" s="3">
        <f t="shared" si="1"/>
        <v>2480</v>
      </c>
      <c r="I20" s="3">
        <f t="shared" si="2"/>
        <v>2170</v>
      </c>
      <c r="M20" s="77"/>
    </row>
    <row r="21" spans="2:13">
      <c r="B21" s="3">
        <v>15</v>
      </c>
      <c r="C21" s="3">
        <v>400</v>
      </c>
      <c r="D21" s="16">
        <f t="shared" si="3"/>
        <v>3500</v>
      </c>
      <c r="E21" s="3">
        <f>SUM($D$7:D21)</f>
        <v>20500</v>
      </c>
      <c r="F21" s="3">
        <f t="shared" si="0"/>
        <v>350</v>
      </c>
      <c r="G21" s="3">
        <f>SUM($F$7:F21)</f>
        <v>2050</v>
      </c>
      <c r="H21" s="3">
        <f t="shared" si="1"/>
        <v>2800</v>
      </c>
      <c r="I21" s="3">
        <f t="shared" si="2"/>
        <v>2450</v>
      </c>
      <c r="M21" s="77"/>
    </row>
    <row r="22" spans="2:13">
      <c r="B22" s="3">
        <v>16</v>
      </c>
      <c r="C22" s="3">
        <v>600</v>
      </c>
      <c r="D22" s="16">
        <f t="shared" si="3"/>
        <v>4100</v>
      </c>
      <c r="E22" s="3">
        <f>SUM($D$7:D22)</f>
        <v>24600</v>
      </c>
      <c r="F22" s="3">
        <f t="shared" si="0"/>
        <v>410</v>
      </c>
      <c r="G22" s="3">
        <f>SUM($F$7:F22)</f>
        <v>2460</v>
      </c>
      <c r="H22" s="3">
        <f t="shared" si="1"/>
        <v>3280</v>
      </c>
      <c r="I22" s="3">
        <f t="shared" si="2"/>
        <v>2870</v>
      </c>
      <c r="M22" s="77"/>
    </row>
    <row r="23" spans="2:13">
      <c r="B23" s="3">
        <v>17</v>
      </c>
      <c r="C23" s="3">
        <v>600</v>
      </c>
      <c r="D23" s="16">
        <f t="shared" si="3"/>
        <v>4700</v>
      </c>
      <c r="E23" s="3">
        <f>SUM($D$7:D23)</f>
        <v>29300</v>
      </c>
      <c r="F23" s="3">
        <f t="shared" si="0"/>
        <v>470</v>
      </c>
      <c r="G23" s="3">
        <f>SUM($F$7:F23)</f>
        <v>2930</v>
      </c>
      <c r="H23" s="3">
        <f t="shared" si="1"/>
        <v>3760</v>
      </c>
      <c r="I23" s="3">
        <f t="shared" si="2"/>
        <v>3290</v>
      </c>
      <c r="L23" s="77"/>
      <c r="M23" s="77"/>
    </row>
    <row r="24" spans="2:13">
      <c r="B24" s="3">
        <v>18</v>
      </c>
      <c r="C24" s="3">
        <v>600</v>
      </c>
      <c r="D24" s="16">
        <f t="shared" si="3"/>
        <v>5300</v>
      </c>
      <c r="E24" s="3">
        <f>SUM($D$7:D24)</f>
        <v>34600</v>
      </c>
      <c r="F24" s="3">
        <f t="shared" si="0"/>
        <v>530</v>
      </c>
      <c r="G24" s="3">
        <f>SUM($F$7:F24)</f>
        <v>3460</v>
      </c>
      <c r="H24" s="3">
        <f t="shared" si="1"/>
        <v>4240</v>
      </c>
      <c r="I24" s="3">
        <f t="shared" si="2"/>
        <v>3710</v>
      </c>
      <c r="L24" s="77"/>
      <c r="M24" s="77"/>
    </row>
    <row r="25" spans="2:13">
      <c r="B25" s="3">
        <v>19</v>
      </c>
      <c r="C25" s="3">
        <v>600</v>
      </c>
      <c r="D25" s="16">
        <f t="shared" si="3"/>
        <v>5900</v>
      </c>
      <c r="E25" s="3">
        <f>SUM($D$7:D25)</f>
        <v>40500</v>
      </c>
      <c r="F25" s="3">
        <f t="shared" si="0"/>
        <v>590</v>
      </c>
      <c r="G25" s="3">
        <f>SUM($F$7:F25)</f>
        <v>4050</v>
      </c>
      <c r="H25" s="3">
        <f t="shared" si="1"/>
        <v>4720</v>
      </c>
      <c r="I25" s="3">
        <f t="shared" si="2"/>
        <v>4130</v>
      </c>
      <c r="L25" s="77"/>
      <c r="M25" s="77"/>
    </row>
    <row r="26" spans="2:13">
      <c r="B26" s="3">
        <v>20</v>
      </c>
      <c r="C26" s="3">
        <v>600</v>
      </c>
      <c r="D26" s="16">
        <f t="shared" si="3"/>
        <v>6500</v>
      </c>
      <c r="E26" s="3">
        <f>SUM($D$7:D26)</f>
        <v>47000</v>
      </c>
      <c r="F26" s="3">
        <f t="shared" si="0"/>
        <v>650</v>
      </c>
      <c r="G26" s="3">
        <f>SUM($F$7:F26)</f>
        <v>4700</v>
      </c>
      <c r="H26" s="3">
        <f t="shared" si="1"/>
        <v>5200</v>
      </c>
      <c r="I26" s="3">
        <f t="shared" si="2"/>
        <v>4550</v>
      </c>
      <c r="L26" s="77"/>
      <c r="M26" s="77"/>
    </row>
    <row r="27" spans="2:13">
      <c r="B27" s="3">
        <v>21</v>
      </c>
      <c r="C27" s="3">
        <v>1000</v>
      </c>
      <c r="D27" s="16">
        <f t="shared" si="3"/>
        <v>7500</v>
      </c>
      <c r="E27" s="3">
        <f>SUM($D$7:D27)</f>
        <v>54500</v>
      </c>
      <c r="F27" s="3">
        <f t="shared" si="0"/>
        <v>750</v>
      </c>
      <c r="G27" s="3">
        <f>SUM($F$7:F27)</f>
        <v>5450</v>
      </c>
      <c r="H27" s="3">
        <f t="shared" si="1"/>
        <v>6000</v>
      </c>
      <c r="I27" s="3">
        <f t="shared" si="2"/>
        <v>5250</v>
      </c>
      <c r="L27" s="77"/>
      <c r="M27" s="77"/>
    </row>
    <row r="28" spans="2:13">
      <c r="B28" s="3">
        <v>22</v>
      </c>
      <c r="C28" s="3">
        <v>1000</v>
      </c>
      <c r="D28" s="16">
        <f t="shared" si="3"/>
        <v>8500</v>
      </c>
      <c r="E28" s="3">
        <f>SUM($D$7:D28)</f>
        <v>63000</v>
      </c>
      <c r="F28" s="3">
        <f t="shared" si="0"/>
        <v>850</v>
      </c>
      <c r="G28" s="3">
        <f>SUM($F$7:F28)</f>
        <v>6300</v>
      </c>
      <c r="H28" s="3">
        <f t="shared" si="1"/>
        <v>6800</v>
      </c>
      <c r="I28" s="3">
        <f t="shared" si="2"/>
        <v>5950</v>
      </c>
      <c r="L28" s="77"/>
      <c r="M28" s="77"/>
    </row>
    <row r="29" spans="2:13">
      <c r="B29" s="3">
        <v>23</v>
      </c>
      <c r="C29" s="3">
        <v>1000</v>
      </c>
      <c r="D29" s="16">
        <f t="shared" si="3"/>
        <v>9500</v>
      </c>
      <c r="E29" s="3">
        <f>SUM($D$7:D29)</f>
        <v>72500</v>
      </c>
      <c r="F29" s="3">
        <f t="shared" si="0"/>
        <v>950</v>
      </c>
      <c r="G29" s="3">
        <f>SUM($F$7:F29)</f>
        <v>7250</v>
      </c>
      <c r="H29" s="3">
        <f t="shared" si="1"/>
        <v>7600</v>
      </c>
      <c r="I29" s="3">
        <f t="shared" si="2"/>
        <v>6650</v>
      </c>
      <c r="L29" s="77"/>
      <c r="M29" s="77"/>
    </row>
    <row r="30" spans="2:13">
      <c r="B30" s="3">
        <v>24</v>
      </c>
      <c r="C30" s="3">
        <v>1000</v>
      </c>
      <c r="D30" s="16">
        <f t="shared" si="3"/>
        <v>10500</v>
      </c>
      <c r="E30" s="3">
        <f>SUM($D$7:D30)</f>
        <v>83000</v>
      </c>
      <c r="F30" s="3">
        <f t="shared" si="0"/>
        <v>1050</v>
      </c>
      <c r="G30" s="3">
        <f>SUM($F$7:F30)</f>
        <v>8300</v>
      </c>
      <c r="H30" s="3">
        <f t="shared" si="1"/>
        <v>8400</v>
      </c>
      <c r="I30" s="3">
        <f t="shared" si="2"/>
        <v>7350</v>
      </c>
      <c r="L30" s="77"/>
      <c r="M30" s="77"/>
    </row>
    <row r="31" spans="2:13">
      <c r="B31" s="3">
        <v>25</v>
      </c>
      <c r="C31" s="3">
        <v>1000</v>
      </c>
      <c r="D31" s="16">
        <f t="shared" si="3"/>
        <v>11500</v>
      </c>
      <c r="E31" s="3">
        <f>SUM($D$7:D31)</f>
        <v>94500</v>
      </c>
      <c r="F31" s="3">
        <f t="shared" si="0"/>
        <v>1150</v>
      </c>
      <c r="G31" s="3">
        <f>SUM($F$7:F31)</f>
        <v>9450</v>
      </c>
      <c r="H31" s="3">
        <f t="shared" si="1"/>
        <v>9200</v>
      </c>
      <c r="I31" s="3">
        <f t="shared" si="2"/>
        <v>8050</v>
      </c>
      <c r="L31" s="77"/>
      <c r="M31" s="77"/>
    </row>
    <row r="32" spans="2:13">
      <c r="B32" s="3">
        <v>26</v>
      </c>
      <c r="C32" s="3">
        <v>1500</v>
      </c>
      <c r="D32" s="16">
        <f t="shared" si="3"/>
        <v>13000</v>
      </c>
      <c r="E32" s="3">
        <f>SUM($D$7:D32)</f>
        <v>107500</v>
      </c>
      <c r="F32" s="3">
        <f t="shared" si="0"/>
        <v>1300</v>
      </c>
      <c r="G32" s="3">
        <f>SUM($F$7:F32)</f>
        <v>10750</v>
      </c>
      <c r="H32" s="3">
        <f t="shared" si="1"/>
        <v>10400</v>
      </c>
      <c r="I32" s="3">
        <f t="shared" si="2"/>
        <v>9100</v>
      </c>
      <c r="L32" s="77"/>
      <c r="M32" s="77"/>
    </row>
    <row r="33" spans="2:13">
      <c r="B33" s="3">
        <v>27</v>
      </c>
      <c r="C33" s="3">
        <v>1500</v>
      </c>
      <c r="D33" s="16">
        <f t="shared" si="3"/>
        <v>14500</v>
      </c>
      <c r="E33" s="3">
        <f>SUM($D$7:D33)</f>
        <v>122000</v>
      </c>
      <c r="F33" s="3">
        <f t="shared" si="0"/>
        <v>1450</v>
      </c>
      <c r="G33" s="3">
        <f>SUM($F$7:F33)</f>
        <v>12200</v>
      </c>
      <c r="H33" s="3">
        <f t="shared" si="1"/>
        <v>11600</v>
      </c>
      <c r="I33" s="3">
        <f t="shared" si="2"/>
        <v>10150</v>
      </c>
      <c r="L33" s="77"/>
      <c r="M33" s="77"/>
    </row>
    <row r="34" spans="2:13">
      <c r="B34" s="3">
        <v>28</v>
      </c>
      <c r="C34" s="3">
        <v>1500</v>
      </c>
      <c r="D34" s="16">
        <f t="shared" si="3"/>
        <v>16000</v>
      </c>
      <c r="E34" s="3">
        <f>SUM($D$7:D34)</f>
        <v>138000</v>
      </c>
      <c r="F34" s="3">
        <f t="shared" si="0"/>
        <v>1600</v>
      </c>
      <c r="G34" s="3">
        <f>SUM($F$7:F34)</f>
        <v>13800</v>
      </c>
      <c r="H34" s="3">
        <f t="shared" si="1"/>
        <v>12800</v>
      </c>
      <c r="I34" s="3">
        <f t="shared" si="2"/>
        <v>11200</v>
      </c>
      <c r="L34" s="77"/>
      <c r="M34" s="77"/>
    </row>
    <row r="35" spans="2:13">
      <c r="B35" s="3">
        <v>29</v>
      </c>
      <c r="C35" s="3">
        <v>1500</v>
      </c>
      <c r="D35" s="16">
        <f t="shared" si="3"/>
        <v>17500</v>
      </c>
      <c r="E35" s="3">
        <f>SUM($D$7:D35)</f>
        <v>155500</v>
      </c>
      <c r="F35" s="3">
        <f t="shared" si="0"/>
        <v>1750</v>
      </c>
      <c r="G35" s="3">
        <f>SUM($F$7:F35)</f>
        <v>15550</v>
      </c>
      <c r="H35" s="3">
        <f t="shared" si="1"/>
        <v>14000</v>
      </c>
      <c r="I35" s="3">
        <f t="shared" si="2"/>
        <v>12250</v>
      </c>
      <c r="L35" s="77"/>
      <c r="M35" s="77"/>
    </row>
    <row r="36" spans="2:13">
      <c r="B36" s="3">
        <v>30</v>
      </c>
      <c r="C36" s="3">
        <v>1500</v>
      </c>
      <c r="D36" s="16">
        <f t="shared" si="3"/>
        <v>19000</v>
      </c>
      <c r="E36" s="3">
        <f>SUM($D$7:D36)</f>
        <v>174500</v>
      </c>
      <c r="F36" s="3">
        <f t="shared" si="0"/>
        <v>1900</v>
      </c>
      <c r="G36" s="3">
        <f>SUM($F$7:F36)</f>
        <v>17450</v>
      </c>
      <c r="H36" s="3">
        <f t="shared" si="1"/>
        <v>15200</v>
      </c>
      <c r="I36" s="3">
        <f t="shared" si="2"/>
        <v>13300</v>
      </c>
      <c r="L36" s="77"/>
      <c r="M36" s="77"/>
    </row>
    <row r="37" spans="2:13">
      <c r="B37" s="3">
        <v>31</v>
      </c>
      <c r="C37" s="3">
        <v>2000</v>
      </c>
      <c r="D37" s="16">
        <f t="shared" si="3"/>
        <v>21000</v>
      </c>
      <c r="E37" s="3">
        <f>SUM($D$7:D37)</f>
        <v>195500</v>
      </c>
      <c r="F37" s="3">
        <f t="shared" si="0"/>
        <v>2100</v>
      </c>
      <c r="G37" s="3">
        <f>SUM($F$7:F37)</f>
        <v>19550</v>
      </c>
      <c r="H37" s="3">
        <f t="shared" si="1"/>
        <v>16800</v>
      </c>
      <c r="I37" s="3">
        <f t="shared" si="2"/>
        <v>14700</v>
      </c>
      <c r="L37" s="77"/>
      <c r="M37" s="77"/>
    </row>
    <row r="38" spans="2:13">
      <c r="B38" s="3">
        <v>32</v>
      </c>
      <c r="C38" s="3">
        <v>2000</v>
      </c>
      <c r="D38" s="16">
        <f t="shared" si="3"/>
        <v>23000</v>
      </c>
      <c r="E38" s="3">
        <f>SUM($D$7:D38)</f>
        <v>218500</v>
      </c>
      <c r="F38" s="3">
        <f t="shared" si="0"/>
        <v>2300</v>
      </c>
      <c r="G38" s="3">
        <f>SUM($F$7:F38)</f>
        <v>21850</v>
      </c>
      <c r="H38" s="3">
        <f t="shared" si="1"/>
        <v>18400</v>
      </c>
      <c r="I38" s="3">
        <f t="shared" si="2"/>
        <v>16100</v>
      </c>
      <c r="L38" s="77"/>
      <c r="M38" s="77"/>
    </row>
    <row r="39" spans="2:13">
      <c r="B39" s="3">
        <v>33</v>
      </c>
      <c r="C39" s="3">
        <v>2000</v>
      </c>
      <c r="D39" s="16">
        <f t="shared" si="3"/>
        <v>25000</v>
      </c>
      <c r="E39" s="3">
        <f>SUM($D$7:D39)</f>
        <v>243500</v>
      </c>
      <c r="F39" s="3">
        <f t="shared" si="0"/>
        <v>2500</v>
      </c>
      <c r="G39" s="3">
        <f>SUM($F$7:F39)</f>
        <v>24350</v>
      </c>
      <c r="H39" s="3">
        <f t="shared" si="1"/>
        <v>20000</v>
      </c>
      <c r="I39" s="3">
        <f t="shared" si="2"/>
        <v>17500</v>
      </c>
      <c r="L39" s="77"/>
      <c r="M39" s="77"/>
    </row>
    <row r="40" spans="2:13">
      <c r="B40" s="3">
        <v>34</v>
      </c>
      <c r="C40" s="3">
        <v>2000</v>
      </c>
      <c r="D40" s="16">
        <f t="shared" si="3"/>
        <v>27000</v>
      </c>
      <c r="E40" s="3">
        <f>SUM($D$7:D40)</f>
        <v>270500</v>
      </c>
      <c r="F40" s="3">
        <f t="shared" si="0"/>
        <v>2700</v>
      </c>
      <c r="G40" s="3">
        <f>SUM($F$7:F40)</f>
        <v>27050</v>
      </c>
      <c r="H40" s="3">
        <f t="shared" si="1"/>
        <v>21600</v>
      </c>
      <c r="I40" s="3">
        <f t="shared" si="2"/>
        <v>18900</v>
      </c>
      <c r="L40" s="77"/>
      <c r="M40" s="77"/>
    </row>
    <row r="41" spans="2:13">
      <c r="B41" s="3">
        <v>35</v>
      </c>
      <c r="C41" s="3">
        <v>2000</v>
      </c>
      <c r="D41" s="16">
        <f t="shared" si="3"/>
        <v>29000</v>
      </c>
      <c r="E41" s="3">
        <f>SUM($D$7:D41)</f>
        <v>299500</v>
      </c>
      <c r="F41" s="3">
        <f t="shared" si="0"/>
        <v>2900</v>
      </c>
      <c r="G41" s="3">
        <f>SUM($F$7:F41)</f>
        <v>29950</v>
      </c>
      <c r="H41" s="3">
        <f t="shared" si="1"/>
        <v>23200</v>
      </c>
      <c r="I41" s="3">
        <f t="shared" si="2"/>
        <v>20300</v>
      </c>
      <c r="L41" s="77"/>
      <c r="M41" s="77"/>
    </row>
    <row r="42" spans="2:13">
      <c r="B42" s="3">
        <v>36</v>
      </c>
      <c r="C42" s="3">
        <v>4000</v>
      </c>
      <c r="D42" s="16">
        <f t="shared" si="3"/>
        <v>33000</v>
      </c>
      <c r="E42" s="3">
        <f>SUM($D$7:D42)</f>
        <v>332500</v>
      </c>
      <c r="F42" s="3">
        <f t="shared" si="0"/>
        <v>3300</v>
      </c>
      <c r="G42" s="3">
        <f>SUM($F$7:F42)</f>
        <v>33250</v>
      </c>
      <c r="H42" s="3">
        <f t="shared" si="1"/>
        <v>26400</v>
      </c>
      <c r="I42" s="3">
        <f t="shared" si="2"/>
        <v>23100</v>
      </c>
      <c r="L42" s="77"/>
      <c r="M42" s="77"/>
    </row>
    <row r="43" spans="2:13">
      <c r="B43" s="3">
        <v>37</v>
      </c>
      <c r="C43" s="3">
        <v>4000</v>
      </c>
      <c r="D43" s="16">
        <f t="shared" si="3"/>
        <v>37000</v>
      </c>
      <c r="E43" s="3">
        <f>SUM($D$7:D43)</f>
        <v>369500</v>
      </c>
      <c r="F43" s="3">
        <f t="shared" si="0"/>
        <v>3700</v>
      </c>
      <c r="G43" s="3">
        <f>SUM($F$7:F43)</f>
        <v>36950</v>
      </c>
      <c r="H43" s="3">
        <f t="shared" si="1"/>
        <v>29600</v>
      </c>
      <c r="I43" s="3">
        <f t="shared" si="2"/>
        <v>25900</v>
      </c>
      <c r="L43" s="77"/>
      <c r="M43" s="77"/>
    </row>
    <row r="44" spans="2:13">
      <c r="B44" s="3">
        <v>38</v>
      </c>
      <c r="C44" s="3">
        <v>4000</v>
      </c>
      <c r="D44" s="16">
        <f t="shared" si="3"/>
        <v>41000</v>
      </c>
      <c r="E44" s="3">
        <f>SUM($D$7:D44)</f>
        <v>410500</v>
      </c>
      <c r="F44" s="3">
        <f t="shared" si="0"/>
        <v>4100</v>
      </c>
      <c r="G44" s="3">
        <f>SUM($F$7:F44)</f>
        <v>41050</v>
      </c>
      <c r="H44" s="3">
        <f t="shared" si="1"/>
        <v>32800</v>
      </c>
      <c r="I44" s="3">
        <f t="shared" si="2"/>
        <v>28700</v>
      </c>
      <c r="L44" s="77"/>
      <c r="M44" s="77"/>
    </row>
    <row r="45" spans="2:13">
      <c r="B45" s="3">
        <v>39</v>
      </c>
      <c r="C45" s="3">
        <v>4000</v>
      </c>
      <c r="D45" s="16">
        <f t="shared" si="3"/>
        <v>45000</v>
      </c>
      <c r="E45" s="3">
        <f>SUM($D$7:D45)</f>
        <v>455500</v>
      </c>
      <c r="F45" s="3">
        <f t="shared" si="0"/>
        <v>4500</v>
      </c>
      <c r="G45" s="3">
        <f>SUM($F$7:F45)</f>
        <v>45550</v>
      </c>
      <c r="H45" s="3">
        <f t="shared" si="1"/>
        <v>36000</v>
      </c>
      <c r="I45" s="3">
        <f t="shared" si="2"/>
        <v>31500</v>
      </c>
      <c r="L45" s="77"/>
      <c r="M45" s="77"/>
    </row>
    <row r="46" spans="2:13">
      <c r="B46" s="3">
        <v>40</v>
      </c>
      <c r="C46" s="3">
        <v>4000</v>
      </c>
      <c r="D46" s="16">
        <f t="shared" si="3"/>
        <v>49000</v>
      </c>
      <c r="E46" s="3">
        <f>SUM($D$7:D46)</f>
        <v>504500</v>
      </c>
      <c r="F46" s="3">
        <f t="shared" si="0"/>
        <v>4900</v>
      </c>
      <c r="G46" s="3">
        <f>SUM($F$7:F46)</f>
        <v>50450</v>
      </c>
      <c r="H46" s="3">
        <f t="shared" si="1"/>
        <v>39200</v>
      </c>
      <c r="I46" s="3">
        <f t="shared" si="2"/>
        <v>34300</v>
      </c>
      <c r="L46" s="77"/>
      <c r="M46" s="77"/>
    </row>
    <row r="47" spans="2:13">
      <c r="B47" s="3">
        <v>41</v>
      </c>
      <c r="C47" s="3">
        <v>5000</v>
      </c>
      <c r="D47" s="16">
        <f t="shared" si="3"/>
        <v>54000</v>
      </c>
      <c r="E47" s="3">
        <f>SUM($D$7:D47)</f>
        <v>558500</v>
      </c>
      <c r="F47" s="3">
        <f t="shared" si="0"/>
        <v>5400</v>
      </c>
      <c r="G47" s="3">
        <f>SUM($F$7:F47)</f>
        <v>55850</v>
      </c>
      <c r="H47" s="3">
        <f t="shared" si="1"/>
        <v>43200</v>
      </c>
      <c r="I47" s="3">
        <f t="shared" si="2"/>
        <v>37800</v>
      </c>
      <c r="L47" s="77"/>
      <c r="M47" s="77"/>
    </row>
    <row r="48" spans="2:13">
      <c r="B48" s="3">
        <v>42</v>
      </c>
      <c r="C48" s="3">
        <v>5000</v>
      </c>
      <c r="D48" s="16">
        <f t="shared" si="3"/>
        <v>59000</v>
      </c>
      <c r="E48" s="3">
        <f>SUM($D$7:D48)</f>
        <v>617500</v>
      </c>
      <c r="F48" s="3">
        <f t="shared" si="0"/>
        <v>5900</v>
      </c>
      <c r="G48" s="3">
        <f>SUM($F$7:F48)</f>
        <v>61750</v>
      </c>
      <c r="H48" s="3">
        <f t="shared" si="1"/>
        <v>47200</v>
      </c>
      <c r="I48" s="3">
        <f t="shared" si="2"/>
        <v>41300</v>
      </c>
      <c r="L48" s="77"/>
      <c r="M48" s="77"/>
    </row>
    <row r="49" spans="2:13">
      <c r="B49" s="3">
        <v>43</v>
      </c>
      <c r="C49" s="3">
        <v>5000</v>
      </c>
      <c r="D49" s="16">
        <f t="shared" si="3"/>
        <v>64000</v>
      </c>
      <c r="E49" s="3">
        <f>SUM($D$7:D49)</f>
        <v>681500</v>
      </c>
      <c r="F49" s="3">
        <f t="shared" si="0"/>
        <v>6400</v>
      </c>
      <c r="G49" s="3">
        <f>SUM($F$7:F49)</f>
        <v>68150</v>
      </c>
      <c r="H49" s="3">
        <f t="shared" si="1"/>
        <v>51200</v>
      </c>
      <c r="I49" s="3">
        <f t="shared" si="2"/>
        <v>44800</v>
      </c>
      <c r="L49" s="77"/>
      <c r="M49" s="77"/>
    </row>
    <row r="50" spans="2:13">
      <c r="B50" s="3">
        <v>44</v>
      </c>
      <c r="C50" s="3">
        <v>5000</v>
      </c>
      <c r="D50" s="16">
        <f t="shared" si="3"/>
        <v>69000</v>
      </c>
      <c r="E50" s="3">
        <f>SUM($D$7:D50)</f>
        <v>750500</v>
      </c>
      <c r="F50" s="3">
        <f t="shared" si="0"/>
        <v>6900</v>
      </c>
      <c r="G50" s="3">
        <f>SUM($F$7:F50)</f>
        <v>75050</v>
      </c>
      <c r="H50" s="3">
        <f t="shared" si="1"/>
        <v>55200</v>
      </c>
      <c r="I50" s="3">
        <f t="shared" si="2"/>
        <v>48300</v>
      </c>
      <c r="L50" s="77"/>
      <c r="M50" s="77"/>
    </row>
    <row r="51" spans="2:13">
      <c r="B51" s="3">
        <v>45</v>
      </c>
      <c r="C51" s="3">
        <v>5000</v>
      </c>
      <c r="D51" s="16">
        <f t="shared" si="3"/>
        <v>74000</v>
      </c>
      <c r="E51" s="3">
        <f>SUM($D$7:D51)</f>
        <v>824500</v>
      </c>
      <c r="F51" s="3">
        <f t="shared" si="0"/>
        <v>7400</v>
      </c>
      <c r="G51" s="3">
        <f>SUM($F$7:F51)</f>
        <v>82450</v>
      </c>
      <c r="H51" s="3">
        <f t="shared" si="1"/>
        <v>59200</v>
      </c>
      <c r="I51" s="3">
        <f t="shared" si="2"/>
        <v>51800</v>
      </c>
      <c r="L51" s="77"/>
      <c r="M51" s="77"/>
    </row>
    <row r="52" spans="2:13">
      <c r="B52" s="3">
        <v>46</v>
      </c>
      <c r="C52" s="3">
        <v>5000</v>
      </c>
      <c r="D52" s="16">
        <f t="shared" si="3"/>
        <v>79000</v>
      </c>
      <c r="E52" s="3">
        <f>SUM($D$7:D52)</f>
        <v>903500</v>
      </c>
      <c r="F52" s="3">
        <f t="shared" si="0"/>
        <v>7900</v>
      </c>
      <c r="G52" s="3">
        <f>SUM($F$7:F52)</f>
        <v>90350</v>
      </c>
      <c r="H52" s="3">
        <f t="shared" si="1"/>
        <v>63200</v>
      </c>
      <c r="I52" s="3">
        <f t="shared" si="2"/>
        <v>55300</v>
      </c>
      <c r="L52" s="77"/>
      <c r="M52" s="77"/>
    </row>
    <row r="53" spans="2:13">
      <c r="B53" s="3">
        <v>47</v>
      </c>
      <c r="C53" s="3">
        <v>5000</v>
      </c>
      <c r="D53" s="16">
        <f t="shared" si="3"/>
        <v>84000</v>
      </c>
      <c r="E53" s="3">
        <f>SUM($D$7:D53)</f>
        <v>987500</v>
      </c>
      <c r="F53" s="3">
        <f t="shared" si="0"/>
        <v>8400</v>
      </c>
      <c r="G53" s="3">
        <f>SUM($F$7:F53)</f>
        <v>98750</v>
      </c>
      <c r="H53" s="3">
        <f t="shared" si="1"/>
        <v>67200</v>
      </c>
      <c r="I53" s="3">
        <f t="shared" si="2"/>
        <v>58800</v>
      </c>
      <c r="L53" s="77"/>
      <c r="M53" s="77"/>
    </row>
    <row r="54" spans="2:13">
      <c r="B54" s="3">
        <v>48</v>
      </c>
      <c r="C54" s="3">
        <v>5000</v>
      </c>
      <c r="D54" s="16">
        <f t="shared" si="3"/>
        <v>89000</v>
      </c>
      <c r="E54" s="3">
        <f>SUM($D$7:D54)</f>
        <v>1076500</v>
      </c>
      <c r="F54" s="3">
        <f t="shared" si="0"/>
        <v>8900</v>
      </c>
      <c r="G54" s="3">
        <f>SUM($F$7:F54)</f>
        <v>107650</v>
      </c>
      <c r="H54" s="3">
        <f t="shared" si="1"/>
        <v>71200</v>
      </c>
      <c r="I54" s="3">
        <f t="shared" si="2"/>
        <v>62300</v>
      </c>
      <c r="L54" s="77"/>
      <c r="M54" s="77"/>
    </row>
    <row r="55" spans="2:13">
      <c r="B55" s="3">
        <v>49</v>
      </c>
      <c r="C55" s="3">
        <v>5000</v>
      </c>
      <c r="D55" s="16">
        <f t="shared" si="3"/>
        <v>94000</v>
      </c>
      <c r="E55" s="3">
        <f>SUM($D$7:D55)</f>
        <v>1170500</v>
      </c>
      <c r="F55" s="3">
        <f t="shared" si="0"/>
        <v>9400</v>
      </c>
      <c r="G55" s="3">
        <f>SUM($F$7:F55)</f>
        <v>117050</v>
      </c>
      <c r="H55" s="3">
        <f t="shared" si="1"/>
        <v>75200</v>
      </c>
      <c r="I55" s="3">
        <f t="shared" si="2"/>
        <v>65800</v>
      </c>
      <c r="L55" s="77"/>
      <c r="M55" s="77"/>
    </row>
    <row r="56" spans="2:13">
      <c r="B56" s="3">
        <v>50</v>
      </c>
      <c r="C56" s="3">
        <v>5000</v>
      </c>
      <c r="D56" s="16">
        <f t="shared" si="3"/>
        <v>99000</v>
      </c>
      <c r="E56" s="3">
        <f>SUM($D$7:D56)</f>
        <v>1269500</v>
      </c>
      <c r="F56" s="3">
        <f t="shared" si="0"/>
        <v>9900</v>
      </c>
      <c r="G56" s="3">
        <f>SUM($F$7:F56)</f>
        <v>126950</v>
      </c>
      <c r="H56" s="3">
        <f t="shared" si="1"/>
        <v>79200</v>
      </c>
      <c r="I56" s="3">
        <f t="shared" si="2"/>
        <v>69300</v>
      </c>
      <c r="L56" s="77"/>
      <c r="M56" s="77"/>
    </row>
    <row r="57" spans="2:13">
      <c r="B57" s="3">
        <v>51</v>
      </c>
      <c r="C57" s="3">
        <v>6000</v>
      </c>
      <c r="D57" s="16">
        <f t="shared" si="3"/>
        <v>105000</v>
      </c>
      <c r="E57" s="3">
        <f>SUM($D$7:D57)</f>
        <v>1374500</v>
      </c>
      <c r="F57" s="3">
        <f t="shared" si="0"/>
        <v>10500</v>
      </c>
      <c r="G57" s="3">
        <f>SUM($F$7:F57)</f>
        <v>137450</v>
      </c>
      <c r="H57" s="3">
        <f t="shared" si="1"/>
        <v>84000</v>
      </c>
      <c r="I57" s="3">
        <f t="shared" si="2"/>
        <v>73500</v>
      </c>
      <c r="L57" s="77"/>
      <c r="M57" s="77"/>
    </row>
    <row r="58" spans="2:13">
      <c r="B58" s="3">
        <v>52</v>
      </c>
      <c r="C58" s="3">
        <v>6000</v>
      </c>
      <c r="D58" s="16">
        <f t="shared" si="3"/>
        <v>111000</v>
      </c>
      <c r="E58" s="3">
        <f>SUM($D$7:D58)</f>
        <v>1485500</v>
      </c>
      <c r="F58" s="3">
        <f t="shared" si="0"/>
        <v>11100</v>
      </c>
      <c r="G58" s="3">
        <f>SUM($F$7:F58)</f>
        <v>148550</v>
      </c>
      <c r="H58" s="3">
        <f t="shared" si="1"/>
        <v>88800</v>
      </c>
      <c r="I58" s="3">
        <f t="shared" si="2"/>
        <v>77700</v>
      </c>
      <c r="L58" s="77"/>
      <c r="M58" s="77"/>
    </row>
    <row r="59" spans="2:13">
      <c r="B59" s="3">
        <v>53</v>
      </c>
      <c r="C59" s="3">
        <v>6000</v>
      </c>
      <c r="D59" s="16">
        <f t="shared" si="3"/>
        <v>117000</v>
      </c>
      <c r="E59" s="3">
        <f>SUM($D$7:D59)</f>
        <v>1602500</v>
      </c>
      <c r="F59" s="3">
        <f t="shared" si="0"/>
        <v>11700</v>
      </c>
      <c r="G59" s="3">
        <f>SUM($F$7:F59)</f>
        <v>160250</v>
      </c>
      <c r="H59" s="3">
        <f t="shared" si="1"/>
        <v>93600</v>
      </c>
      <c r="I59" s="3">
        <f t="shared" si="2"/>
        <v>81900</v>
      </c>
      <c r="L59" s="77"/>
      <c r="M59" s="77"/>
    </row>
    <row r="60" spans="2:13">
      <c r="B60" s="3">
        <v>54</v>
      </c>
      <c r="C60" s="3">
        <v>6000</v>
      </c>
      <c r="D60" s="16">
        <f t="shared" si="3"/>
        <v>123000</v>
      </c>
      <c r="E60" s="3">
        <f>SUM($D$7:D60)</f>
        <v>1725500</v>
      </c>
      <c r="F60" s="3">
        <f t="shared" si="0"/>
        <v>12300</v>
      </c>
      <c r="G60" s="3">
        <f>SUM($F$7:F60)</f>
        <v>172550</v>
      </c>
      <c r="H60" s="3">
        <f t="shared" si="1"/>
        <v>98400</v>
      </c>
      <c r="I60" s="3">
        <f t="shared" si="2"/>
        <v>86100</v>
      </c>
      <c r="L60" s="77"/>
    </row>
    <row r="61" spans="2:13">
      <c r="B61" s="3">
        <v>55</v>
      </c>
      <c r="C61" s="3">
        <v>6000</v>
      </c>
      <c r="D61" s="16">
        <f t="shared" si="3"/>
        <v>129000</v>
      </c>
      <c r="E61" s="3">
        <f>SUM($D$7:D61)</f>
        <v>1854500</v>
      </c>
      <c r="F61" s="3">
        <f t="shared" si="0"/>
        <v>12900</v>
      </c>
      <c r="G61" s="3">
        <f>SUM($F$7:F61)</f>
        <v>185450</v>
      </c>
      <c r="H61" s="3">
        <f t="shared" si="1"/>
        <v>103200</v>
      </c>
      <c r="I61" s="3">
        <f t="shared" si="2"/>
        <v>90300</v>
      </c>
      <c r="L61" s="77"/>
    </row>
    <row r="62" spans="2:13">
      <c r="B62" s="3">
        <v>56</v>
      </c>
      <c r="C62" s="3">
        <v>9000</v>
      </c>
      <c r="D62" s="16">
        <f t="shared" si="3"/>
        <v>138000</v>
      </c>
      <c r="E62" s="3">
        <f>SUM($D$7:D62)</f>
        <v>1992500</v>
      </c>
      <c r="F62" s="3">
        <f t="shared" si="0"/>
        <v>13800</v>
      </c>
      <c r="G62" s="3">
        <f>SUM($F$7:F62)</f>
        <v>199250</v>
      </c>
      <c r="H62" s="3">
        <f t="shared" si="1"/>
        <v>110400</v>
      </c>
      <c r="I62" s="3">
        <f t="shared" si="2"/>
        <v>96600</v>
      </c>
      <c r="L62" s="77"/>
    </row>
    <row r="63" spans="2:13">
      <c r="B63" s="3">
        <v>57</v>
      </c>
      <c r="C63" s="3">
        <v>9000</v>
      </c>
      <c r="D63" s="16">
        <f t="shared" si="3"/>
        <v>147000</v>
      </c>
      <c r="E63" s="3">
        <f>SUM($D$7:D63)</f>
        <v>2139500</v>
      </c>
      <c r="F63" s="3">
        <f t="shared" si="0"/>
        <v>14700</v>
      </c>
      <c r="G63" s="3">
        <f>SUM($F$7:F63)</f>
        <v>213950</v>
      </c>
      <c r="H63" s="3">
        <f t="shared" si="1"/>
        <v>117600</v>
      </c>
      <c r="I63" s="3">
        <f t="shared" si="2"/>
        <v>102900</v>
      </c>
      <c r="L63" s="77"/>
    </row>
    <row r="64" spans="2:13">
      <c r="B64" s="3">
        <v>58</v>
      </c>
      <c r="C64" s="3">
        <v>9000</v>
      </c>
      <c r="D64" s="16">
        <f t="shared" si="3"/>
        <v>156000</v>
      </c>
      <c r="E64" s="3">
        <f>SUM($D$7:D64)</f>
        <v>2295500</v>
      </c>
      <c r="F64" s="3">
        <f t="shared" si="0"/>
        <v>15600</v>
      </c>
      <c r="G64" s="3">
        <f>SUM($F$7:F64)</f>
        <v>229550</v>
      </c>
      <c r="H64" s="3">
        <f t="shared" si="1"/>
        <v>124800</v>
      </c>
      <c r="I64" s="3">
        <f t="shared" si="2"/>
        <v>109200</v>
      </c>
      <c r="L64" s="77"/>
    </row>
    <row r="65" spans="2:12">
      <c r="B65" s="3">
        <v>59</v>
      </c>
      <c r="C65" s="3">
        <v>9000</v>
      </c>
      <c r="D65" s="16">
        <f t="shared" si="3"/>
        <v>165000</v>
      </c>
      <c r="E65" s="3">
        <f>SUM($D$7:D65)</f>
        <v>2460500</v>
      </c>
      <c r="F65" s="3">
        <f t="shared" si="0"/>
        <v>16500</v>
      </c>
      <c r="G65" s="3">
        <f>SUM($F$7:F65)</f>
        <v>246050</v>
      </c>
      <c r="H65" s="3">
        <f t="shared" si="1"/>
        <v>132000</v>
      </c>
      <c r="I65" s="3">
        <f t="shared" si="2"/>
        <v>115500</v>
      </c>
      <c r="L65" s="77"/>
    </row>
    <row r="66" spans="2:12">
      <c r="B66" s="3">
        <v>60</v>
      </c>
      <c r="C66" s="3">
        <v>9000</v>
      </c>
      <c r="D66" s="16">
        <f t="shared" si="3"/>
        <v>174000</v>
      </c>
      <c r="E66" s="3">
        <f>SUM($D$7:D66)</f>
        <v>2634500</v>
      </c>
      <c r="F66" s="3">
        <f t="shared" si="0"/>
        <v>17400</v>
      </c>
      <c r="G66" s="3">
        <f>SUM($F$7:F66)</f>
        <v>263450</v>
      </c>
      <c r="H66" s="3">
        <f t="shared" si="1"/>
        <v>139200</v>
      </c>
      <c r="I66" s="3">
        <f t="shared" si="2"/>
        <v>121800</v>
      </c>
      <c r="L66" s="77"/>
    </row>
    <row r="67" spans="2:12">
      <c r="D67" s="16"/>
      <c r="L67" s="77"/>
    </row>
    <row r="68" spans="2:12">
      <c r="D68" s="16"/>
      <c r="L68" s="77"/>
    </row>
    <row r="69" spans="2:12">
      <c r="D69" s="16"/>
      <c r="L69" s="77"/>
    </row>
    <row r="70" spans="2:12">
      <c r="D70" s="16"/>
      <c r="L70" s="77"/>
    </row>
    <row r="71" spans="2:12">
      <c r="D71" s="16"/>
      <c r="L71" s="77"/>
    </row>
    <row r="72" spans="2:12">
      <c r="D72" s="16"/>
      <c r="L72" s="77"/>
    </row>
    <row r="73" spans="2:12">
      <c r="D73" s="16"/>
      <c r="L73" s="77"/>
    </row>
    <row r="74" spans="2:12">
      <c r="D74" s="16"/>
      <c r="L74" s="77"/>
    </row>
    <row r="75" spans="2:12">
      <c r="D75" s="16"/>
      <c r="L75" s="77"/>
    </row>
    <row r="76" spans="2:12">
      <c r="D76" s="16"/>
      <c r="L76" s="77"/>
    </row>
    <row r="77" spans="2:12">
      <c r="L77" s="77"/>
    </row>
    <row r="78" spans="2:12">
      <c r="L78" s="77"/>
    </row>
    <row r="79" spans="2:12">
      <c r="L79" s="77"/>
    </row>
    <row r="80" spans="2:12">
      <c r="L80" s="77"/>
    </row>
    <row r="81" spans="12:12">
      <c r="L81" s="77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100"/>
  <sheetViews>
    <sheetView topLeftCell="A15" workbookViewId="0">
      <selection activeCell="L70" sqref="L70"/>
    </sheetView>
  </sheetViews>
  <sheetFormatPr defaultColWidth="9" defaultRowHeight="16.5"/>
  <cols>
    <col min="1" max="3" width="9" style="3" customWidth="1"/>
    <col min="4" max="4" width="15" style="3" customWidth="1"/>
    <col min="5" max="5" width="9" style="3" customWidth="1"/>
    <col min="6" max="6" width="14.125" style="3" customWidth="1"/>
    <col min="7" max="7" width="9" style="3" customWidth="1"/>
    <col min="8" max="8" width="14.125" style="3" customWidth="1"/>
    <col min="9" max="9" width="9" style="3" customWidth="1"/>
    <col min="10" max="10" width="14.125" style="3" customWidth="1"/>
    <col min="11" max="11" width="9" style="3" customWidth="1"/>
    <col min="12" max="13" width="10.5" style="3" customWidth="1"/>
    <col min="14" max="16384" width="9" style="3" customWidth="1"/>
  </cols>
  <sheetData>
    <row r="2" spans="2:14">
      <c r="B2" s="3" t="s">
        <v>1113</v>
      </c>
      <c r="D2" s="3" t="s">
        <v>1114</v>
      </c>
      <c r="E2" s="3" t="s">
        <v>1115</v>
      </c>
      <c r="I2" s="3" t="s">
        <v>1116</v>
      </c>
      <c r="J2" s="3" t="s">
        <v>1113</v>
      </c>
    </row>
    <row r="3" spans="2:14">
      <c r="B3" s="240">
        <v>27</v>
      </c>
      <c r="D3" s="240">
        <v>21</v>
      </c>
      <c r="E3" s="3">
        <f>B3-D3</f>
        <v>6</v>
      </c>
      <c r="H3" s="3" t="s">
        <v>1117</v>
      </c>
      <c r="I3" s="3">
        <v>40</v>
      </c>
      <c r="J3" s="3">
        <v>9</v>
      </c>
    </row>
    <row r="4" spans="2:14">
      <c r="H4" s="3" t="s">
        <v>1118</v>
      </c>
      <c r="I4" s="3">
        <v>30</v>
      </c>
      <c r="J4" s="3">
        <v>9</v>
      </c>
    </row>
    <row r="5" spans="2:14">
      <c r="H5" s="3" t="s">
        <v>1119</v>
      </c>
      <c r="I5" s="3">
        <v>20</v>
      </c>
      <c r="J5" s="3">
        <v>9</v>
      </c>
    </row>
    <row r="6" spans="2:14">
      <c r="B6" s="19" t="s">
        <v>1120</v>
      </c>
      <c r="C6" s="19" t="s">
        <v>1121</v>
      </c>
      <c r="D6" s="19" t="s">
        <v>1122</v>
      </c>
      <c r="E6" s="19" t="s">
        <v>1123</v>
      </c>
      <c r="F6" s="19" t="s">
        <v>1124</v>
      </c>
      <c r="G6" s="19" t="s">
        <v>1125</v>
      </c>
      <c r="H6" s="19" t="s">
        <v>1126</v>
      </c>
      <c r="I6" s="19" t="s">
        <v>1127</v>
      </c>
      <c r="J6" s="19" t="s">
        <v>1128</v>
      </c>
      <c r="K6" s="19" t="s">
        <v>1129</v>
      </c>
      <c r="L6" s="19" t="s">
        <v>601</v>
      </c>
      <c r="M6" s="19" t="s">
        <v>1130</v>
      </c>
      <c r="N6" s="19" t="s">
        <v>1131</v>
      </c>
    </row>
    <row r="7" spans="2:14">
      <c r="B7" s="3">
        <f t="array" ref="B7:B27">_xlfn.SEQUENCE(D3,1,1,1)</f>
        <v>1</v>
      </c>
      <c r="C7" s="3">
        <v>1</v>
      </c>
      <c r="D7" s="3" t="s">
        <v>637</v>
      </c>
      <c r="E7" s="3">
        <v>1</v>
      </c>
      <c r="F7" s="3" t="s">
        <v>637</v>
      </c>
      <c r="G7" s="3">
        <f>E7</f>
        <v>1</v>
      </c>
      <c r="L7" s="3">
        <v>5000</v>
      </c>
      <c r="M7" s="3">
        <f t="shared" ref="M7:M27" si="0">MROUND(L7,5000)</f>
        <v>5000</v>
      </c>
      <c r="N7" s="3">
        <f>2*VLOOKUP(D7,道具定价!$C:$F,4,0)*E7+M7*道具定价!$F$11</f>
        <v>25</v>
      </c>
    </row>
    <row r="8" spans="2:14">
      <c r="B8" s="3">
        <v>2</v>
      </c>
      <c r="C8" s="3">
        <v>1</v>
      </c>
      <c r="D8" s="3" t="s">
        <v>637</v>
      </c>
      <c r="E8" s="3">
        <v>2</v>
      </c>
      <c r="F8" s="3" t="s">
        <v>637</v>
      </c>
      <c r="G8" s="3">
        <f t="shared" ref="G8:G27" si="1">E8</f>
        <v>2</v>
      </c>
      <c r="L8" s="3">
        <f t="shared" ref="L8:L27" si="2">L7*1.23</f>
        <v>6150</v>
      </c>
      <c r="M8" s="3">
        <f t="shared" si="0"/>
        <v>5000</v>
      </c>
      <c r="N8" s="3">
        <f>2*VLOOKUP(D8,道具定价!$C:$F,4,0)*E8+M8*道具定价!$F$11</f>
        <v>45</v>
      </c>
    </row>
    <row r="9" spans="2:14">
      <c r="B9" s="3">
        <v>3</v>
      </c>
      <c r="C9" s="3">
        <v>20</v>
      </c>
      <c r="D9" s="3" t="s">
        <v>637</v>
      </c>
      <c r="E9" s="3">
        <v>2</v>
      </c>
      <c r="F9" s="3" t="s">
        <v>637</v>
      </c>
      <c r="G9" s="3">
        <f t="shared" si="1"/>
        <v>2</v>
      </c>
      <c r="L9" s="3">
        <f t="shared" si="2"/>
        <v>7564.5</v>
      </c>
      <c r="M9" s="3">
        <f t="shared" si="0"/>
        <v>10000</v>
      </c>
      <c r="N9" s="3">
        <f>2*VLOOKUP(D9,道具定价!$C:$F,4,0)*E9+M9*道具定价!$F$11</f>
        <v>50</v>
      </c>
    </row>
    <row r="10" spans="2:14">
      <c r="B10" s="3">
        <v>4</v>
      </c>
      <c r="C10" s="3">
        <v>20</v>
      </c>
      <c r="D10" s="3" t="s">
        <v>637</v>
      </c>
      <c r="E10" s="3">
        <v>3</v>
      </c>
      <c r="F10" s="3" t="s">
        <v>637</v>
      </c>
      <c r="G10" s="3">
        <f t="shared" si="1"/>
        <v>3</v>
      </c>
      <c r="L10" s="3">
        <f t="shared" si="2"/>
        <v>9304.335</v>
      </c>
      <c r="M10" s="3">
        <f t="shared" si="0"/>
        <v>10000</v>
      </c>
      <c r="N10" s="3">
        <f>2*VLOOKUP(D10,道具定价!$C:$F,4,0)*E10+M10*道具定价!$F$11</f>
        <v>70</v>
      </c>
    </row>
    <row r="11" spans="2:14">
      <c r="B11" s="3">
        <v>5</v>
      </c>
      <c r="C11" s="3">
        <v>20</v>
      </c>
      <c r="D11" s="3" t="s">
        <v>637</v>
      </c>
      <c r="E11" s="3">
        <v>4</v>
      </c>
      <c r="F11" s="3" t="s">
        <v>637</v>
      </c>
      <c r="G11" s="3">
        <f t="shared" si="1"/>
        <v>4</v>
      </c>
      <c r="L11" s="3">
        <f t="shared" si="2"/>
        <v>11444.33205</v>
      </c>
      <c r="M11" s="3">
        <f t="shared" si="0"/>
        <v>10000</v>
      </c>
      <c r="N11" s="3">
        <f>2*VLOOKUP(D11,道具定价!$C:$F,4,0)*E11+M11*道具定价!$F$11</f>
        <v>90</v>
      </c>
    </row>
    <row r="12" spans="2:14">
      <c r="B12" s="3">
        <v>6</v>
      </c>
      <c r="C12" s="3">
        <v>30</v>
      </c>
      <c r="D12" s="3" t="s">
        <v>637</v>
      </c>
      <c r="E12" s="3">
        <v>4</v>
      </c>
      <c r="F12" s="3" t="s">
        <v>637</v>
      </c>
      <c r="G12" s="3">
        <f t="shared" si="1"/>
        <v>4</v>
      </c>
      <c r="L12" s="3">
        <f t="shared" si="2"/>
        <v>14076.5284215</v>
      </c>
      <c r="M12" s="3">
        <f t="shared" si="0"/>
        <v>15000</v>
      </c>
      <c r="N12" s="3">
        <f>2*VLOOKUP(D12,道具定价!$C:$F,4,0)*E12+M12*道具定价!$F$11</f>
        <v>95</v>
      </c>
    </row>
    <row r="13" spans="2:14">
      <c r="B13" s="3">
        <v>7</v>
      </c>
      <c r="C13" s="3">
        <v>30</v>
      </c>
      <c r="D13" s="3" t="s">
        <v>637</v>
      </c>
      <c r="E13" s="3">
        <v>5</v>
      </c>
      <c r="F13" s="3" t="s">
        <v>637</v>
      </c>
      <c r="G13" s="3">
        <f t="shared" si="1"/>
        <v>5</v>
      </c>
      <c r="L13" s="3">
        <f t="shared" si="2"/>
        <v>17314.129958445</v>
      </c>
      <c r="M13" s="3">
        <f t="shared" si="0"/>
        <v>15000</v>
      </c>
      <c r="N13" s="3">
        <f>2*VLOOKUP(D13,道具定价!$C:$F,4,0)*E13+M13*道具定价!$F$11</f>
        <v>115</v>
      </c>
    </row>
    <row r="14" spans="2:14">
      <c r="B14" s="3">
        <v>8</v>
      </c>
      <c r="C14" s="3">
        <v>30</v>
      </c>
      <c r="D14" s="3" t="s">
        <v>637</v>
      </c>
      <c r="E14" s="3">
        <v>5</v>
      </c>
      <c r="F14" s="3" t="s">
        <v>637</v>
      </c>
      <c r="G14" s="3">
        <f t="shared" si="1"/>
        <v>5</v>
      </c>
      <c r="L14" s="3">
        <f t="shared" si="2"/>
        <v>21296.3798488873</v>
      </c>
      <c r="M14" s="3">
        <f t="shared" si="0"/>
        <v>20000</v>
      </c>
      <c r="N14" s="3">
        <f>2*VLOOKUP(D14,道具定价!$C:$F,4,0)*E14+M14*道具定价!$F$11</f>
        <v>120</v>
      </c>
    </row>
    <row r="15" spans="2:14">
      <c r="B15" s="3">
        <v>9</v>
      </c>
      <c r="C15" s="3">
        <v>40</v>
      </c>
      <c r="D15" s="3" t="s">
        <v>638</v>
      </c>
      <c r="E15" s="3">
        <v>5</v>
      </c>
      <c r="F15" s="3" t="s">
        <v>638</v>
      </c>
      <c r="G15" s="3">
        <f t="shared" si="1"/>
        <v>5</v>
      </c>
      <c r="L15" s="3">
        <f t="shared" si="2"/>
        <v>26194.5472141314</v>
      </c>
      <c r="M15" s="3">
        <f t="shared" si="0"/>
        <v>25000</v>
      </c>
      <c r="N15" s="3">
        <f>2*VLOOKUP(D15,道具定价!$C:$F,4,0)*E15+M15*道具定价!$F$11</f>
        <v>175</v>
      </c>
    </row>
    <row r="16" spans="2:14">
      <c r="B16" s="3">
        <v>10</v>
      </c>
      <c r="C16" s="3">
        <v>40</v>
      </c>
      <c r="D16" s="3" t="s">
        <v>638</v>
      </c>
      <c r="E16" s="3">
        <v>6</v>
      </c>
      <c r="F16" s="3" t="s">
        <v>638</v>
      </c>
      <c r="G16" s="3">
        <f t="shared" si="1"/>
        <v>6</v>
      </c>
      <c r="L16" s="3">
        <f t="shared" si="2"/>
        <v>32219.2930733817</v>
      </c>
      <c r="M16" s="3">
        <f t="shared" si="0"/>
        <v>30000</v>
      </c>
      <c r="N16" s="3">
        <f>2*VLOOKUP(D16,道具定价!$C:$F,4,0)*E16+M16*道具定价!$F$11</f>
        <v>210</v>
      </c>
    </row>
    <row r="17" spans="2:17">
      <c r="B17" s="3">
        <v>11</v>
      </c>
      <c r="C17" s="3">
        <v>40</v>
      </c>
      <c r="D17" s="3" t="s">
        <v>638</v>
      </c>
      <c r="E17" s="3">
        <v>6</v>
      </c>
      <c r="F17" s="3" t="s">
        <v>638</v>
      </c>
      <c r="G17" s="3">
        <f t="shared" si="1"/>
        <v>6</v>
      </c>
      <c r="L17" s="3">
        <f t="shared" si="2"/>
        <v>39629.7304802594</v>
      </c>
      <c r="M17" s="3">
        <f t="shared" si="0"/>
        <v>40000</v>
      </c>
      <c r="N17" s="3">
        <f>2*VLOOKUP(D17,道具定价!$C:$F,4,0)*E17+M17*道具定价!$F$11</f>
        <v>220</v>
      </c>
    </row>
    <row r="18" spans="2:17">
      <c r="B18" s="3">
        <v>12</v>
      </c>
      <c r="C18" s="3">
        <v>40</v>
      </c>
      <c r="D18" s="3" t="s">
        <v>638</v>
      </c>
      <c r="E18" s="3">
        <v>7</v>
      </c>
      <c r="F18" s="3" t="s">
        <v>638</v>
      </c>
      <c r="G18" s="3">
        <f t="shared" si="1"/>
        <v>7</v>
      </c>
      <c r="L18" s="3">
        <f t="shared" si="2"/>
        <v>48744.5684907191</v>
      </c>
      <c r="M18" s="3">
        <f t="shared" si="0"/>
        <v>50000</v>
      </c>
      <c r="N18" s="3">
        <f>2*VLOOKUP(D18,道具定价!$C:$F,4,0)*E18+M18*道具定价!$F$11</f>
        <v>260</v>
      </c>
    </row>
    <row r="19" spans="2:17">
      <c r="B19" s="3">
        <v>13</v>
      </c>
      <c r="C19" s="3">
        <v>40</v>
      </c>
      <c r="D19" s="3" t="s">
        <v>638</v>
      </c>
      <c r="E19" s="3">
        <v>8</v>
      </c>
      <c r="F19" s="3" t="s">
        <v>638</v>
      </c>
      <c r="G19" s="3">
        <f t="shared" si="1"/>
        <v>8</v>
      </c>
      <c r="L19" s="3">
        <f t="shared" si="2"/>
        <v>59955.8192435845</v>
      </c>
      <c r="M19" s="3">
        <f t="shared" si="0"/>
        <v>60000</v>
      </c>
      <c r="N19" s="3">
        <f>2*VLOOKUP(D19,道具定价!$C:$F,4,0)*E19+M19*道具定价!$F$11</f>
        <v>300</v>
      </c>
    </row>
    <row r="20" spans="2:17">
      <c r="B20" s="3">
        <v>14</v>
      </c>
      <c r="C20" s="3">
        <v>50</v>
      </c>
      <c r="D20" s="3" t="s">
        <v>638</v>
      </c>
      <c r="E20" s="3">
        <v>9</v>
      </c>
      <c r="F20" s="3" t="s">
        <v>638</v>
      </c>
      <c r="G20" s="3">
        <f t="shared" si="1"/>
        <v>9</v>
      </c>
      <c r="L20" s="3">
        <f t="shared" si="2"/>
        <v>73745.6576696089</v>
      </c>
      <c r="M20" s="3">
        <f t="shared" si="0"/>
        <v>75000</v>
      </c>
      <c r="N20" s="3">
        <f>2*VLOOKUP(D20,道具定价!$C:$F,4,0)*E20+M20*道具定价!$F$11</f>
        <v>345</v>
      </c>
    </row>
    <row r="21" spans="2:17">
      <c r="B21" s="3">
        <v>15</v>
      </c>
      <c r="C21" s="3">
        <v>50</v>
      </c>
      <c r="D21" s="3" t="s">
        <v>639</v>
      </c>
      <c r="E21" s="3">
        <v>8</v>
      </c>
      <c r="F21" s="3" t="s">
        <v>639</v>
      </c>
      <c r="G21" s="3">
        <f t="shared" si="1"/>
        <v>8</v>
      </c>
      <c r="L21" s="3">
        <f t="shared" si="2"/>
        <v>90707.158933619</v>
      </c>
      <c r="M21" s="3">
        <f t="shared" si="0"/>
        <v>90000</v>
      </c>
      <c r="N21" s="3">
        <f>2*VLOOKUP(D21,道具定价!$C:$F,4,0)*E21+M21*道具定价!$F$11</f>
        <v>410</v>
      </c>
    </row>
    <row r="22" spans="2:17">
      <c r="B22" s="3">
        <v>16</v>
      </c>
      <c r="C22" s="3">
        <v>50</v>
      </c>
      <c r="D22" s="3" t="s">
        <v>639</v>
      </c>
      <c r="E22" s="3">
        <v>9</v>
      </c>
      <c r="F22" s="3" t="s">
        <v>639</v>
      </c>
      <c r="G22" s="3">
        <f t="shared" si="1"/>
        <v>9</v>
      </c>
      <c r="L22" s="3">
        <f t="shared" si="2"/>
        <v>111569.805488351</v>
      </c>
      <c r="M22" s="3">
        <f t="shared" si="0"/>
        <v>110000</v>
      </c>
      <c r="N22" s="3">
        <f>2*VLOOKUP(D22,道具定价!$C:$F,4,0)*E22+M22*道具定价!$F$11</f>
        <v>470</v>
      </c>
    </row>
    <row r="23" spans="2:17">
      <c r="B23" s="3">
        <v>17</v>
      </c>
      <c r="C23" s="3">
        <v>50</v>
      </c>
      <c r="D23" s="3" t="s">
        <v>639</v>
      </c>
      <c r="E23" s="3">
        <v>10</v>
      </c>
      <c r="F23" s="3" t="s">
        <v>639</v>
      </c>
      <c r="G23" s="3">
        <f t="shared" si="1"/>
        <v>10</v>
      </c>
      <c r="L23" s="3">
        <f t="shared" si="2"/>
        <v>137230.860750672</v>
      </c>
      <c r="M23" s="3">
        <f t="shared" si="0"/>
        <v>135000</v>
      </c>
      <c r="N23" s="3">
        <f>2*VLOOKUP(D23,道具定价!$C:$F,4,0)*E23+M23*道具定价!$F$11</f>
        <v>535</v>
      </c>
    </row>
    <row r="24" spans="2:17">
      <c r="B24" s="3">
        <v>18</v>
      </c>
      <c r="C24" s="3">
        <v>60</v>
      </c>
      <c r="D24" s="3" t="s">
        <v>639</v>
      </c>
      <c r="E24" s="3">
        <v>11</v>
      </c>
      <c r="F24" s="3" t="s">
        <v>639</v>
      </c>
      <c r="G24" s="3">
        <f t="shared" si="1"/>
        <v>11</v>
      </c>
      <c r="L24" s="3">
        <f t="shared" si="2"/>
        <v>168793.958723327</v>
      </c>
      <c r="M24" s="3">
        <f t="shared" si="0"/>
        <v>170000</v>
      </c>
      <c r="N24" s="3">
        <f>2*VLOOKUP(D24,道具定价!$C:$F,4,0)*E24+M24*道具定价!$F$11</f>
        <v>610</v>
      </c>
    </row>
    <row r="25" spans="2:17">
      <c r="B25" s="3">
        <v>19</v>
      </c>
      <c r="C25" s="3">
        <v>60</v>
      </c>
      <c r="D25" s="3" t="s">
        <v>640</v>
      </c>
      <c r="E25" s="3">
        <v>12</v>
      </c>
      <c r="F25" s="3" t="s">
        <v>640</v>
      </c>
      <c r="G25" s="3">
        <f t="shared" si="1"/>
        <v>12</v>
      </c>
      <c r="L25" s="3">
        <f t="shared" si="2"/>
        <v>207616.569229692</v>
      </c>
      <c r="M25" s="3">
        <f t="shared" si="0"/>
        <v>210000</v>
      </c>
      <c r="N25" s="3">
        <f>2*VLOOKUP(D25,道具定价!$C:$F,4,0)*E25+M25*道具定价!$F$11</f>
        <v>810</v>
      </c>
    </row>
    <row r="26" spans="2:17">
      <c r="B26" s="3">
        <v>20</v>
      </c>
      <c r="C26" s="3">
        <v>60</v>
      </c>
      <c r="D26" s="3" t="s">
        <v>640</v>
      </c>
      <c r="E26" s="3">
        <v>13</v>
      </c>
      <c r="F26" s="3" t="s">
        <v>640</v>
      </c>
      <c r="G26" s="3">
        <f t="shared" si="1"/>
        <v>13</v>
      </c>
      <c r="L26" s="3">
        <f t="shared" si="2"/>
        <v>255368.380152521</v>
      </c>
      <c r="M26" s="3">
        <f t="shared" si="0"/>
        <v>255000</v>
      </c>
      <c r="N26" s="3">
        <f>2*VLOOKUP(D26,道具定价!$C:$F,4,0)*E26+M26*道具定价!$F$11</f>
        <v>905</v>
      </c>
    </row>
    <row r="27" spans="2:17">
      <c r="B27" s="3">
        <v>21</v>
      </c>
      <c r="C27" s="3">
        <v>60</v>
      </c>
      <c r="D27" s="3" t="s">
        <v>640</v>
      </c>
      <c r="E27" s="3">
        <v>15</v>
      </c>
      <c r="F27" s="3" t="s">
        <v>640</v>
      </c>
      <c r="G27" s="3">
        <f t="shared" si="1"/>
        <v>15</v>
      </c>
      <c r="L27" s="3">
        <f t="shared" si="2"/>
        <v>314103.107587601</v>
      </c>
      <c r="M27" s="3">
        <f t="shared" si="0"/>
        <v>315000</v>
      </c>
      <c r="N27" s="3">
        <f>2*VLOOKUP(D27,道具定价!$C:$F,4,0)*E27+M27*道具定价!$F$11</f>
        <v>1065</v>
      </c>
    </row>
    <row r="28" spans="2:17">
      <c r="M28" s="3">
        <f>SUM(M7:M27)</f>
        <v>1655000</v>
      </c>
      <c r="N28" s="3">
        <f>SUM(N7:N27)</f>
        <v>6925</v>
      </c>
      <c r="O28" s="3">
        <f>N28-M28*道具定价!F11</f>
        <v>5270</v>
      </c>
      <c r="P28" s="3">
        <f>O28/4</f>
        <v>1317.5</v>
      </c>
      <c r="Q28" s="3" t="s">
        <v>599</v>
      </c>
    </row>
    <row r="31" spans="2:17">
      <c r="E31" s="16" t="s">
        <v>1132</v>
      </c>
      <c r="F31" s="16" t="s">
        <v>1133</v>
      </c>
      <c r="G31" s="16" t="s">
        <v>1134</v>
      </c>
    </row>
    <row r="32" spans="2:17">
      <c r="D32" s="3" t="s">
        <v>637</v>
      </c>
      <c r="E32" s="16">
        <v>1019</v>
      </c>
      <c r="F32" s="16">
        <f>E32+1</f>
        <v>1020</v>
      </c>
      <c r="G32" s="16">
        <f>F32+1</f>
        <v>1021</v>
      </c>
    </row>
    <row r="33" spans="4:9">
      <c r="D33" s="3" t="s">
        <v>638</v>
      </c>
      <c r="E33" s="16">
        <f>E32+6</f>
        <v>1025</v>
      </c>
      <c r="F33" s="16">
        <f>E33+1</f>
        <v>1026</v>
      </c>
      <c r="G33" s="16">
        <f>F33+1</f>
        <v>1027</v>
      </c>
    </row>
    <row r="34" spans="4:9">
      <c r="D34" s="3" t="s">
        <v>639</v>
      </c>
      <c r="E34" s="16">
        <f>E33+6</f>
        <v>1031</v>
      </c>
      <c r="F34" s="16">
        <f>E34+1</f>
        <v>1032</v>
      </c>
      <c r="G34" s="16">
        <f>F34+1</f>
        <v>1033</v>
      </c>
    </row>
    <row r="35" spans="4:9">
      <c r="D35" s="3" t="s">
        <v>640</v>
      </c>
      <c r="E35" s="16">
        <f>E34+6</f>
        <v>1037</v>
      </c>
      <c r="F35" s="16">
        <f>E35+1</f>
        <v>1038</v>
      </c>
      <c r="G35" s="16">
        <f>F35+1</f>
        <v>1039</v>
      </c>
    </row>
    <row r="37" spans="4:9">
      <c r="E37" s="3" t="s">
        <v>1135</v>
      </c>
      <c r="F37" s="3" t="s">
        <v>1136</v>
      </c>
      <c r="H37" s="3" t="s">
        <v>1095</v>
      </c>
    </row>
    <row r="38" spans="4:9">
      <c r="D38" s="3">
        <f>VLOOKUP(D7,$D$32:$G$35,2,0)</f>
        <v>1019</v>
      </c>
      <c r="E38" s="3">
        <f>D38+3</f>
        <v>1022</v>
      </c>
      <c r="F38" s="3" t="str">
        <f t="shared" ref="F38:F59" si="3">CONCATENATE(D38,$E$37,E7,$F$37,E38,$E$37,G7)</f>
        <v>1019,1;1022,1</v>
      </c>
      <c r="H38" s="3" t="str">
        <f t="shared" ref="H38:H59" si="4">CONCATENATE($H$37,M7)</f>
        <v>1,5000</v>
      </c>
      <c r="I38" s="3" t="str">
        <f>_xlfn.CONCAT(F38,$F$37,H38)</f>
        <v>1019,1;1022,1;1,5000</v>
      </c>
    </row>
    <row r="39" spans="4:9">
      <c r="D39" s="3">
        <f t="shared" ref="D39:D59" si="5">VLOOKUP(D8,$D$32:$G$35,2,0)</f>
        <v>1019</v>
      </c>
      <c r="E39" s="3">
        <f t="shared" ref="E38:E59" si="6">D39+3</f>
        <v>1022</v>
      </c>
      <c r="F39" s="3" t="str">
        <f t="shared" si="3"/>
        <v>1019,2;1022,2</v>
      </c>
      <c r="H39" s="3" t="str">
        <f t="shared" si="4"/>
        <v>1,5000</v>
      </c>
      <c r="I39" s="3" t="str">
        <f t="shared" ref="I39:I59" si="7">_xlfn.CONCAT(F39,$F$37,H39)</f>
        <v>1019,2;1022,2;1,5000</v>
      </c>
    </row>
    <row r="40" spans="4:9">
      <c r="D40" s="3">
        <f t="shared" si="5"/>
        <v>1019</v>
      </c>
      <c r="E40" s="3">
        <f t="shared" si="6"/>
        <v>1022</v>
      </c>
      <c r="F40" s="3" t="str">
        <f t="shared" si="3"/>
        <v>1019,2;1022,2</v>
      </c>
      <c r="H40" s="3" t="str">
        <f t="shared" si="4"/>
        <v>1,10000</v>
      </c>
      <c r="I40" s="3" t="str">
        <f t="shared" si="7"/>
        <v>1019,2;1022,2;1,10000</v>
      </c>
    </row>
    <row r="41" spans="4:9">
      <c r="D41" s="3">
        <f t="shared" si="5"/>
        <v>1019</v>
      </c>
      <c r="E41" s="3">
        <f t="shared" si="6"/>
        <v>1022</v>
      </c>
      <c r="F41" s="3" t="str">
        <f t="shared" si="3"/>
        <v>1019,3;1022,3</v>
      </c>
      <c r="H41" s="3" t="str">
        <f t="shared" si="4"/>
        <v>1,10000</v>
      </c>
      <c r="I41" s="3" t="str">
        <f t="shared" si="7"/>
        <v>1019,3;1022,3;1,10000</v>
      </c>
    </row>
    <row r="42" spans="4:9">
      <c r="D42" s="3">
        <f t="shared" si="5"/>
        <v>1019</v>
      </c>
      <c r="E42" s="3">
        <f t="shared" si="6"/>
        <v>1022</v>
      </c>
      <c r="F42" s="3" t="str">
        <f t="shared" si="3"/>
        <v>1019,4;1022,4</v>
      </c>
      <c r="H42" s="3" t="str">
        <f t="shared" si="4"/>
        <v>1,10000</v>
      </c>
      <c r="I42" s="3" t="str">
        <f t="shared" si="7"/>
        <v>1019,4;1022,4;1,10000</v>
      </c>
    </row>
    <row r="43" spans="4:9">
      <c r="D43" s="3">
        <f t="shared" si="5"/>
        <v>1019</v>
      </c>
      <c r="E43" s="3">
        <f t="shared" si="6"/>
        <v>1022</v>
      </c>
      <c r="F43" s="3" t="str">
        <f t="shared" si="3"/>
        <v>1019,4;1022,4</v>
      </c>
      <c r="H43" s="3" t="str">
        <f t="shared" si="4"/>
        <v>1,15000</v>
      </c>
      <c r="I43" s="3" t="str">
        <f t="shared" si="7"/>
        <v>1019,4;1022,4;1,15000</v>
      </c>
    </row>
    <row r="44" spans="4:9">
      <c r="D44" s="3">
        <f t="shared" si="5"/>
        <v>1019</v>
      </c>
      <c r="E44" s="3">
        <f t="shared" si="6"/>
        <v>1022</v>
      </c>
      <c r="F44" s="3" t="str">
        <f t="shared" si="3"/>
        <v>1019,5;1022,5</v>
      </c>
      <c r="H44" s="3" t="str">
        <f t="shared" si="4"/>
        <v>1,15000</v>
      </c>
      <c r="I44" s="3" t="str">
        <f t="shared" si="7"/>
        <v>1019,5;1022,5;1,15000</v>
      </c>
    </row>
    <row r="45" spans="4:9">
      <c r="D45" s="3">
        <f t="shared" si="5"/>
        <v>1019</v>
      </c>
      <c r="E45" s="3">
        <f t="shared" si="6"/>
        <v>1022</v>
      </c>
      <c r="F45" s="3" t="str">
        <f t="shared" si="3"/>
        <v>1019,5;1022,5</v>
      </c>
      <c r="H45" s="3" t="str">
        <f t="shared" si="4"/>
        <v>1,20000</v>
      </c>
      <c r="I45" s="3" t="str">
        <f t="shared" si="7"/>
        <v>1019,5;1022,5;1,20000</v>
      </c>
    </row>
    <row r="46" spans="4:9">
      <c r="D46" s="3">
        <f t="shared" si="5"/>
        <v>1025</v>
      </c>
      <c r="E46" s="3">
        <f t="shared" si="6"/>
        <v>1028</v>
      </c>
      <c r="F46" s="3" t="str">
        <f t="shared" si="3"/>
        <v>1025,5;1028,5</v>
      </c>
      <c r="H46" s="3" t="str">
        <f t="shared" si="4"/>
        <v>1,25000</v>
      </c>
      <c r="I46" s="3" t="str">
        <f t="shared" si="7"/>
        <v>1025,5;1028,5;1,25000</v>
      </c>
    </row>
    <row r="47" spans="4:9">
      <c r="D47" s="3">
        <f t="shared" si="5"/>
        <v>1025</v>
      </c>
      <c r="E47" s="3">
        <f t="shared" si="6"/>
        <v>1028</v>
      </c>
      <c r="F47" s="3" t="str">
        <f t="shared" si="3"/>
        <v>1025,6;1028,6</v>
      </c>
      <c r="H47" s="3" t="str">
        <f t="shared" si="4"/>
        <v>1,30000</v>
      </c>
      <c r="I47" s="3" t="str">
        <f t="shared" si="7"/>
        <v>1025,6;1028,6;1,30000</v>
      </c>
    </row>
    <row r="48" spans="4:9">
      <c r="D48" s="3">
        <f t="shared" si="5"/>
        <v>1025</v>
      </c>
      <c r="E48" s="3">
        <f t="shared" si="6"/>
        <v>1028</v>
      </c>
      <c r="F48" s="3" t="str">
        <f t="shared" si="3"/>
        <v>1025,6;1028,6</v>
      </c>
      <c r="H48" s="3" t="str">
        <f t="shared" si="4"/>
        <v>1,40000</v>
      </c>
      <c r="I48" s="3" t="str">
        <f t="shared" si="7"/>
        <v>1025,6;1028,6;1,40000</v>
      </c>
    </row>
    <row r="49" spans="4:9">
      <c r="D49" s="3">
        <f t="shared" si="5"/>
        <v>1025</v>
      </c>
      <c r="E49" s="3">
        <f t="shared" si="6"/>
        <v>1028</v>
      </c>
      <c r="F49" s="3" t="str">
        <f t="shared" si="3"/>
        <v>1025,7;1028,7</v>
      </c>
      <c r="H49" s="3" t="str">
        <f t="shared" si="4"/>
        <v>1,50000</v>
      </c>
      <c r="I49" s="3" t="str">
        <f t="shared" si="7"/>
        <v>1025,7;1028,7;1,50000</v>
      </c>
    </row>
    <row r="50" spans="4:9">
      <c r="D50" s="3">
        <f t="shared" si="5"/>
        <v>1025</v>
      </c>
      <c r="E50" s="3">
        <f t="shared" si="6"/>
        <v>1028</v>
      </c>
      <c r="F50" s="3" t="str">
        <f t="shared" si="3"/>
        <v>1025,8;1028,8</v>
      </c>
      <c r="H50" s="3" t="str">
        <f t="shared" si="4"/>
        <v>1,60000</v>
      </c>
      <c r="I50" s="3" t="str">
        <f t="shared" si="7"/>
        <v>1025,8;1028,8;1,60000</v>
      </c>
    </row>
    <row r="51" spans="4:9">
      <c r="D51" s="3">
        <f t="shared" si="5"/>
        <v>1025</v>
      </c>
      <c r="E51" s="3">
        <f t="shared" si="6"/>
        <v>1028</v>
      </c>
      <c r="F51" s="3" t="str">
        <f t="shared" si="3"/>
        <v>1025,9;1028,9</v>
      </c>
      <c r="H51" s="3" t="str">
        <f t="shared" si="4"/>
        <v>1,75000</v>
      </c>
      <c r="I51" s="3" t="str">
        <f t="shared" si="7"/>
        <v>1025,9;1028,9;1,75000</v>
      </c>
    </row>
    <row r="52" spans="4:9">
      <c r="D52" s="3">
        <f t="shared" si="5"/>
        <v>1031</v>
      </c>
      <c r="E52" s="3">
        <f t="shared" si="6"/>
        <v>1034</v>
      </c>
      <c r="F52" s="3" t="str">
        <f t="shared" si="3"/>
        <v>1031,8;1034,8</v>
      </c>
      <c r="H52" s="3" t="str">
        <f t="shared" si="4"/>
        <v>1,90000</v>
      </c>
      <c r="I52" s="3" t="str">
        <f t="shared" si="7"/>
        <v>1031,8;1034,8;1,90000</v>
      </c>
    </row>
    <row r="53" spans="4:9">
      <c r="D53" s="3">
        <f t="shared" si="5"/>
        <v>1031</v>
      </c>
      <c r="E53" s="3">
        <f t="shared" si="6"/>
        <v>1034</v>
      </c>
      <c r="F53" s="3" t="str">
        <f t="shared" si="3"/>
        <v>1031,9;1034,9</v>
      </c>
      <c r="H53" s="3" t="str">
        <f t="shared" si="4"/>
        <v>1,110000</v>
      </c>
      <c r="I53" s="3" t="str">
        <f t="shared" si="7"/>
        <v>1031,9;1034,9;1,110000</v>
      </c>
    </row>
    <row r="54" spans="4:9">
      <c r="D54" s="3">
        <f t="shared" si="5"/>
        <v>1031</v>
      </c>
      <c r="E54" s="3">
        <f t="shared" si="6"/>
        <v>1034</v>
      </c>
      <c r="F54" s="3" t="str">
        <f t="shared" si="3"/>
        <v>1031,10;1034,10</v>
      </c>
      <c r="H54" s="3" t="str">
        <f t="shared" si="4"/>
        <v>1,135000</v>
      </c>
      <c r="I54" s="3" t="str">
        <f t="shared" si="7"/>
        <v>1031,10;1034,10;1,135000</v>
      </c>
    </row>
    <row r="55" spans="4:9">
      <c r="D55" s="3">
        <f t="shared" si="5"/>
        <v>1031</v>
      </c>
      <c r="E55" s="3">
        <f t="shared" si="6"/>
        <v>1034</v>
      </c>
      <c r="F55" s="3" t="str">
        <f t="shared" si="3"/>
        <v>1031,11;1034,11</v>
      </c>
      <c r="H55" s="3" t="str">
        <f t="shared" si="4"/>
        <v>1,170000</v>
      </c>
      <c r="I55" s="3" t="str">
        <f t="shared" si="7"/>
        <v>1031,11;1034,11;1,170000</v>
      </c>
    </row>
    <row r="56" spans="4:9">
      <c r="D56" s="3">
        <f t="shared" si="5"/>
        <v>1037</v>
      </c>
      <c r="E56" s="3">
        <f t="shared" si="6"/>
        <v>1040</v>
      </c>
      <c r="F56" s="3" t="str">
        <f t="shared" si="3"/>
        <v>1037,12;1040,12</v>
      </c>
      <c r="H56" s="3" t="str">
        <f t="shared" si="4"/>
        <v>1,210000</v>
      </c>
      <c r="I56" s="3" t="str">
        <f t="shared" si="7"/>
        <v>1037,12;1040,12;1,210000</v>
      </c>
    </row>
    <row r="57" spans="4:9">
      <c r="D57" s="3">
        <f t="shared" si="5"/>
        <v>1037</v>
      </c>
      <c r="E57" s="3">
        <f t="shared" si="6"/>
        <v>1040</v>
      </c>
      <c r="F57" s="3" t="str">
        <f t="shared" si="3"/>
        <v>1037,13;1040,13</v>
      </c>
      <c r="H57" s="3" t="str">
        <f t="shared" si="4"/>
        <v>1,255000</v>
      </c>
      <c r="I57" s="3" t="str">
        <f t="shared" si="7"/>
        <v>1037,13;1040,13;1,255000</v>
      </c>
    </row>
    <row r="58" spans="4:9">
      <c r="D58" s="3">
        <f t="shared" si="5"/>
        <v>1037</v>
      </c>
      <c r="E58" s="3">
        <f t="shared" si="6"/>
        <v>1040</v>
      </c>
      <c r="F58" s="3" t="str">
        <f t="shared" si="3"/>
        <v>1037,15;1040,15</v>
      </c>
      <c r="H58" s="3" t="str">
        <f t="shared" si="4"/>
        <v>1,315000</v>
      </c>
      <c r="I58" s="3" t="str">
        <f t="shared" si="7"/>
        <v>1037,15;1040,15;1,315000</v>
      </c>
    </row>
    <row r="59" spans="4:9">
      <c r="D59" s="3">
        <f>VLOOKUP(D7,$D$32:$G$35,3,0)</f>
        <v>1020</v>
      </c>
      <c r="E59" s="3">
        <f t="shared" si="6"/>
        <v>1023</v>
      </c>
      <c r="F59" s="3" t="str">
        <f>CONCATENATE(D59,$E$37,E7,$F$37,E59,$E$37,G7)</f>
        <v>1020,1;1023,1</v>
      </c>
      <c r="H59" s="3" t="str">
        <f>CONCATENATE($H$37,M7)</f>
        <v>1,5000</v>
      </c>
      <c r="I59" s="3" t="str">
        <f t="shared" si="7"/>
        <v>1020,1;1023,1;1,5000</v>
      </c>
    </row>
    <row r="60" spans="4:9">
      <c r="D60" s="3">
        <f t="shared" ref="D60:D93" si="8">VLOOKUP(D8,$D$32:$G$35,3,0)</f>
        <v>1020</v>
      </c>
      <c r="E60" s="3">
        <f t="shared" ref="E60:E93" si="9">D60+3</f>
        <v>1023</v>
      </c>
      <c r="F60" s="3" t="str">
        <f t="shared" ref="F60:F93" si="10">CONCATENATE(D60,$E$37,E8,$F$37,E60,$E$37,G8)</f>
        <v>1020,2;1023,2</v>
      </c>
      <c r="H60" s="3" t="str">
        <f t="shared" ref="H60:H93" si="11">CONCATENATE($H$37,M8)</f>
        <v>1,5000</v>
      </c>
      <c r="I60" s="3" t="str">
        <f t="shared" ref="I60:I93" si="12">_xlfn.CONCAT(F60,$F$37,H60)</f>
        <v>1020,2;1023,2;1,5000</v>
      </c>
    </row>
    <row r="61" spans="4:9">
      <c r="D61" s="3">
        <f t="shared" si="8"/>
        <v>1020</v>
      </c>
      <c r="E61" s="3">
        <f t="shared" si="9"/>
        <v>1023</v>
      </c>
      <c r="F61" s="3" t="str">
        <f t="shared" si="10"/>
        <v>1020,2;1023,2</v>
      </c>
      <c r="H61" s="3" t="str">
        <f t="shared" si="11"/>
        <v>1,10000</v>
      </c>
      <c r="I61" s="3" t="str">
        <f t="shared" si="12"/>
        <v>1020,2;1023,2;1,10000</v>
      </c>
    </row>
    <row r="62" spans="4:9">
      <c r="D62" s="3">
        <f t="shared" si="8"/>
        <v>1020</v>
      </c>
      <c r="E62" s="3">
        <f t="shared" si="9"/>
        <v>1023</v>
      </c>
      <c r="F62" s="3" t="str">
        <f t="shared" si="10"/>
        <v>1020,3;1023,3</v>
      </c>
      <c r="H62" s="3" t="str">
        <f t="shared" si="11"/>
        <v>1,10000</v>
      </c>
      <c r="I62" s="3" t="str">
        <f t="shared" si="12"/>
        <v>1020,3;1023,3;1,10000</v>
      </c>
    </row>
    <row r="63" spans="4:9">
      <c r="D63" s="3">
        <f t="shared" si="8"/>
        <v>1020</v>
      </c>
      <c r="E63" s="3">
        <f t="shared" si="9"/>
        <v>1023</v>
      </c>
      <c r="F63" s="3" t="str">
        <f t="shared" si="10"/>
        <v>1020,4;1023,4</v>
      </c>
      <c r="H63" s="3" t="str">
        <f t="shared" si="11"/>
        <v>1,10000</v>
      </c>
      <c r="I63" s="3" t="str">
        <f t="shared" si="12"/>
        <v>1020,4;1023,4;1,10000</v>
      </c>
    </row>
    <row r="64" spans="4:9">
      <c r="D64" s="3">
        <f t="shared" si="8"/>
        <v>1020</v>
      </c>
      <c r="E64" s="3">
        <f t="shared" si="9"/>
        <v>1023</v>
      </c>
      <c r="F64" s="3" t="str">
        <f t="shared" si="10"/>
        <v>1020,4;1023,4</v>
      </c>
      <c r="H64" s="3" t="str">
        <f t="shared" si="11"/>
        <v>1,15000</v>
      </c>
      <c r="I64" s="3" t="str">
        <f t="shared" si="12"/>
        <v>1020,4;1023,4;1,15000</v>
      </c>
    </row>
    <row r="65" spans="4:9">
      <c r="D65" s="3">
        <f t="shared" si="8"/>
        <v>1020</v>
      </c>
      <c r="E65" s="3">
        <f t="shared" si="9"/>
        <v>1023</v>
      </c>
      <c r="F65" s="3" t="str">
        <f t="shared" si="10"/>
        <v>1020,5;1023,5</v>
      </c>
      <c r="H65" s="3" t="str">
        <f t="shared" si="11"/>
        <v>1,15000</v>
      </c>
      <c r="I65" s="3" t="str">
        <f t="shared" si="12"/>
        <v>1020,5;1023,5;1,15000</v>
      </c>
    </row>
    <row r="66" spans="4:9">
      <c r="D66" s="3">
        <f t="shared" si="8"/>
        <v>1020</v>
      </c>
      <c r="E66" s="3">
        <f t="shared" si="9"/>
        <v>1023</v>
      </c>
      <c r="F66" s="3" t="str">
        <f t="shared" si="10"/>
        <v>1020,5;1023,5</v>
      </c>
      <c r="H66" s="3" t="str">
        <f t="shared" si="11"/>
        <v>1,20000</v>
      </c>
      <c r="I66" s="3" t="str">
        <f t="shared" si="12"/>
        <v>1020,5;1023,5;1,20000</v>
      </c>
    </row>
    <row r="67" spans="4:9">
      <c r="D67" s="3">
        <f t="shared" si="8"/>
        <v>1026</v>
      </c>
      <c r="E67" s="3">
        <f t="shared" si="9"/>
        <v>1029</v>
      </c>
      <c r="F67" s="3" t="str">
        <f t="shared" si="10"/>
        <v>1026,5;1029,5</v>
      </c>
      <c r="H67" s="3" t="str">
        <f t="shared" si="11"/>
        <v>1,25000</v>
      </c>
      <c r="I67" s="3" t="str">
        <f t="shared" si="12"/>
        <v>1026,5;1029,5;1,25000</v>
      </c>
    </row>
    <row r="68" spans="4:9">
      <c r="D68" s="3">
        <f t="shared" si="8"/>
        <v>1026</v>
      </c>
      <c r="E68" s="3">
        <f t="shared" si="9"/>
        <v>1029</v>
      </c>
      <c r="F68" s="3" t="str">
        <f t="shared" si="10"/>
        <v>1026,6;1029,6</v>
      </c>
      <c r="H68" s="3" t="str">
        <f t="shared" si="11"/>
        <v>1,30000</v>
      </c>
      <c r="I68" s="3" t="str">
        <f t="shared" si="12"/>
        <v>1026,6;1029,6;1,30000</v>
      </c>
    </row>
    <row r="69" spans="4:9">
      <c r="D69" s="3">
        <f t="shared" si="8"/>
        <v>1026</v>
      </c>
      <c r="E69" s="3">
        <f t="shared" si="9"/>
        <v>1029</v>
      </c>
      <c r="F69" s="3" t="str">
        <f t="shared" si="10"/>
        <v>1026,6;1029,6</v>
      </c>
      <c r="H69" s="3" t="str">
        <f t="shared" si="11"/>
        <v>1,40000</v>
      </c>
      <c r="I69" s="3" t="str">
        <f t="shared" si="12"/>
        <v>1026,6;1029,6;1,40000</v>
      </c>
    </row>
    <row r="70" spans="4:9">
      <c r="D70" s="3">
        <f t="shared" si="8"/>
        <v>1026</v>
      </c>
      <c r="E70" s="3">
        <f t="shared" si="9"/>
        <v>1029</v>
      </c>
      <c r="F70" s="3" t="str">
        <f t="shared" si="10"/>
        <v>1026,7;1029,7</v>
      </c>
      <c r="H70" s="3" t="str">
        <f t="shared" si="11"/>
        <v>1,50000</v>
      </c>
      <c r="I70" s="3" t="str">
        <f t="shared" si="12"/>
        <v>1026,7;1029,7;1,50000</v>
      </c>
    </row>
    <row r="71" spans="4:9">
      <c r="D71" s="3">
        <f t="shared" si="8"/>
        <v>1026</v>
      </c>
      <c r="E71" s="3">
        <f t="shared" si="9"/>
        <v>1029</v>
      </c>
      <c r="F71" s="3" t="str">
        <f t="shared" si="10"/>
        <v>1026,8;1029,8</v>
      </c>
      <c r="H71" s="3" t="str">
        <f t="shared" si="11"/>
        <v>1,60000</v>
      </c>
      <c r="I71" s="3" t="str">
        <f t="shared" si="12"/>
        <v>1026,8;1029,8;1,60000</v>
      </c>
    </row>
    <row r="72" spans="4:9">
      <c r="D72" s="3">
        <f t="shared" si="8"/>
        <v>1026</v>
      </c>
      <c r="E72" s="3">
        <f t="shared" si="9"/>
        <v>1029</v>
      </c>
      <c r="F72" s="3" t="str">
        <f t="shared" si="10"/>
        <v>1026,9;1029,9</v>
      </c>
      <c r="H72" s="3" t="str">
        <f t="shared" si="11"/>
        <v>1,75000</v>
      </c>
      <c r="I72" s="3" t="str">
        <f t="shared" si="12"/>
        <v>1026,9;1029,9;1,75000</v>
      </c>
    </row>
    <row r="73" spans="4:9">
      <c r="D73" s="3">
        <f t="shared" si="8"/>
        <v>1032</v>
      </c>
      <c r="E73" s="3">
        <f t="shared" si="9"/>
        <v>1035</v>
      </c>
      <c r="F73" s="3" t="str">
        <f t="shared" si="10"/>
        <v>1032,8;1035,8</v>
      </c>
      <c r="H73" s="3" t="str">
        <f t="shared" si="11"/>
        <v>1,90000</v>
      </c>
      <c r="I73" s="3" t="str">
        <f t="shared" si="12"/>
        <v>1032,8;1035,8;1,90000</v>
      </c>
    </row>
    <row r="74" spans="4:9">
      <c r="D74" s="3">
        <f t="shared" si="8"/>
        <v>1032</v>
      </c>
      <c r="E74" s="3">
        <f t="shared" si="9"/>
        <v>1035</v>
      </c>
      <c r="F74" s="3" t="str">
        <f t="shared" si="10"/>
        <v>1032,9;1035,9</v>
      </c>
      <c r="H74" s="3" t="str">
        <f t="shared" si="11"/>
        <v>1,110000</v>
      </c>
      <c r="I74" s="3" t="str">
        <f t="shared" si="12"/>
        <v>1032,9;1035,9;1,110000</v>
      </c>
    </row>
    <row r="75" spans="4:9">
      <c r="D75" s="3">
        <f t="shared" si="8"/>
        <v>1032</v>
      </c>
      <c r="E75" s="3">
        <f t="shared" si="9"/>
        <v>1035</v>
      </c>
      <c r="F75" s="3" t="str">
        <f t="shared" si="10"/>
        <v>1032,10;1035,10</v>
      </c>
      <c r="H75" s="3" t="str">
        <f t="shared" si="11"/>
        <v>1,135000</v>
      </c>
      <c r="I75" s="3" t="str">
        <f t="shared" si="12"/>
        <v>1032,10;1035,10;1,135000</v>
      </c>
    </row>
    <row r="76" spans="4:9">
      <c r="D76" s="3">
        <f t="shared" si="8"/>
        <v>1032</v>
      </c>
      <c r="E76" s="3">
        <f t="shared" si="9"/>
        <v>1035</v>
      </c>
      <c r="F76" s="3" t="str">
        <f t="shared" si="10"/>
        <v>1032,11;1035,11</v>
      </c>
      <c r="H76" s="3" t="str">
        <f t="shared" si="11"/>
        <v>1,170000</v>
      </c>
      <c r="I76" s="3" t="str">
        <f t="shared" si="12"/>
        <v>1032,11;1035,11;1,170000</v>
      </c>
    </row>
    <row r="77" spans="4:9">
      <c r="D77" s="3">
        <f t="shared" si="8"/>
        <v>1038</v>
      </c>
      <c r="E77" s="3">
        <f t="shared" si="9"/>
        <v>1041</v>
      </c>
      <c r="F77" s="3" t="str">
        <f t="shared" si="10"/>
        <v>1038,12;1041,12</v>
      </c>
      <c r="H77" s="3" t="str">
        <f t="shared" si="11"/>
        <v>1,210000</v>
      </c>
      <c r="I77" s="3" t="str">
        <f t="shared" si="12"/>
        <v>1038,12;1041,12;1,210000</v>
      </c>
    </row>
    <row r="78" spans="4:9">
      <c r="D78" s="3">
        <f t="shared" si="8"/>
        <v>1038</v>
      </c>
      <c r="E78" s="3">
        <f t="shared" si="9"/>
        <v>1041</v>
      </c>
      <c r="F78" s="3" t="str">
        <f t="shared" si="10"/>
        <v>1038,13;1041,13</v>
      </c>
      <c r="H78" s="3" t="str">
        <f t="shared" si="11"/>
        <v>1,255000</v>
      </c>
      <c r="I78" s="3" t="str">
        <f t="shared" si="12"/>
        <v>1038,13;1041,13;1,255000</v>
      </c>
    </row>
    <row r="79" spans="4:9">
      <c r="D79" s="3">
        <f t="shared" si="8"/>
        <v>1038</v>
      </c>
      <c r="E79" s="3">
        <f t="shared" si="9"/>
        <v>1041</v>
      </c>
      <c r="F79" s="3" t="str">
        <f t="shared" si="10"/>
        <v>1038,15;1041,15</v>
      </c>
      <c r="H79" s="3" t="str">
        <f t="shared" si="11"/>
        <v>1,315000</v>
      </c>
      <c r="I79" s="3" t="str">
        <f t="shared" si="12"/>
        <v>1038,15;1041,15;1,315000</v>
      </c>
    </row>
    <row r="80" spans="4:9">
      <c r="D80" s="3">
        <f>VLOOKUP(D7,$D$32:$G$35,4,0)</f>
        <v>1021</v>
      </c>
      <c r="E80" s="3">
        <f t="shared" si="9"/>
        <v>1024</v>
      </c>
      <c r="F80" s="3" t="str">
        <f>CONCATENATE(D80,$E$37,E7,$F$37,E80,$E$37,G7)</f>
        <v>1021,1;1024,1</v>
      </c>
      <c r="H80" s="3" t="str">
        <f>CONCATENATE($H$37,M7)</f>
        <v>1,5000</v>
      </c>
      <c r="I80" s="3" t="str">
        <f t="shared" si="12"/>
        <v>1021,1;1024,1;1,5000</v>
      </c>
    </row>
    <row r="81" spans="4:9">
      <c r="D81" s="3">
        <f t="shared" ref="D81:D100" si="13">VLOOKUP(D8,$D$32:$G$35,4,0)</f>
        <v>1021</v>
      </c>
      <c r="E81" s="3">
        <f t="shared" ref="E81:E118" si="14">D81+3</f>
        <v>1024</v>
      </c>
      <c r="F81" s="3" t="str">
        <f t="shared" ref="F81:F118" si="15">CONCATENATE(D81,$E$37,E8,$F$37,E81,$E$37,G8)</f>
        <v>1021,2;1024,2</v>
      </c>
      <c r="H81" s="3" t="str">
        <f t="shared" ref="H81:H118" si="16">CONCATENATE($H$37,M8)</f>
        <v>1,5000</v>
      </c>
      <c r="I81" s="3" t="str">
        <f t="shared" ref="I81:I118" si="17">_xlfn.CONCAT(F81,$F$37,H81)</f>
        <v>1021,2;1024,2;1,5000</v>
      </c>
    </row>
    <row r="82" spans="4:9">
      <c r="D82" s="3">
        <f t="shared" si="13"/>
        <v>1021</v>
      </c>
      <c r="E82" s="3">
        <f t="shared" si="14"/>
        <v>1024</v>
      </c>
      <c r="F82" s="3" t="str">
        <f t="shared" si="15"/>
        <v>1021,2;1024,2</v>
      </c>
      <c r="H82" s="3" t="str">
        <f t="shared" si="16"/>
        <v>1,10000</v>
      </c>
      <c r="I82" s="3" t="str">
        <f t="shared" si="17"/>
        <v>1021,2;1024,2;1,10000</v>
      </c>
    </row>
    <row r="83" spans="4:9">
      <c r="D83" s="3">
        <f t="shared" si="13"/>
        <v>1021</v>
      </c>
      <c r="E83" s="3">
        <f t="shared" si="14"/>
        <v>1024</v>
      </c>
      <c r="F83" s="3" t="str">
        <f t="shared" si="15"/>
        <v>1021,3;1024,3</v>
      </c>
      <c r="H83" s="3" t="str">
        <f t="shared" si="16"/>
        <v>1,10000</v>
      </c>
      <c r="I83" s="3" t="str">
        <f t="shared" si="17"/>
        <v>1021,3;1024,3;1,10000</v>
      </c>
    </row>
    <row r="84" spans="4:9">
      <c r="D84" s="3">
        <f t="shared" si="13"/>
        <v>1021</v>
      </c>
      <c r="E84" s="3">
        <f t="shared" si="14"/>
        <v>1024</v>
      </c>
      <c r="F84" s="3" t="str">
        <f t="shared" si="15"/>
        <v>1021,4;1024,4</v>
      </c>
      <c r="H84" s="3" t="str">
        <f t="shared" si="16"/>
        <v>1,10000</v>
      </c>
      <c r="I84" s="3" t="str">
        <f t="shared" si="17"/>
        <v>1021,4;1024,4;1,10000</v>
      </c>
    </row>
    <row r="85" spans="4:9">
      <c r="D85" s="3">
        <f t="shared" si="13"/>
        <v>1021</v>
      </c>
      <c r="E85" s="3">
        <f t="shared" si="14"/>
        <v>1024</v>
      </c>
      <c r="F85" s="3" t="str">
        <f t="shared" si="15"/>
        <v>1021,4;1024,4</v>
      </c>
      <c r="H85" s="3" t="str">
        <f t="shared" si="16"/>
        <v>1,15000</v>
      </c>
      <c r="I85" s="3" t="str">
        <f t="shared" si="17"/>
        <v>1021,4;1024,4;1,15000</v>
      </c>
    </row>
    <row r="86" spans="4:9">
      <c r="D86" s="3">
        <f t="shared" si="13"/>
        <v>1021</v>
      </c>
      <c r="E86" s="3">
        <f t="shared" si="14"/>
        <v>1024</v>
      </c>
      <c r="F86" s="3" t="str">
        <f t="shared" si="15"/>
        <v>1021,5;1024,5</v>
      </c>
      <c r="H86" s="3" t="str">
        <f t="shared" si="16"/>
        <v>1,15000</v>
      </c>
      <c r="I86" s="3" t="str">
        <f t="shared" si="17"/>
        <v>1021,5;1024,5;1,15000</v>
      </c>
    </row>
    <row r="87" spans="4:9">
      <c r="D87" s="3">
        <f t="shared" si="13"/>
        <v>1021</v>
      </c>
      <c r="E87" s="3">
        <f t="shared" si="14"/>
        <v>1024</v>
      </c>
      <c r="F87" s="3" t="str">
        <f t="shared" si="15"/>
        <v>1021,5;1024,5</v>
      </c>
      <c r="H87" s="3" t="str">
        <f t="shared" si="16"/>
        <v>1,20000</v>
      </c>
      <c r="I87" s="3" t="str">
        <f t="shared" si="17"/>
        <v>1021,5;1024,5;1,20000</v>
      </c>
    </row>
    <row r="88" spans="4:9">
      <c r="D88" s="3">
        <f t="shared" si="13"/>
        <v>1027</v>
      </c>
      <c r="E88" s="3">
        <f t="shared" si="14"/>
        <v>1030</v>
      </c>
      <c r="F88" s="3" t="str">
        <f t="shared" si="15"/>
        <v>1027,5;1030,5</v>
      </c>
      <c r="H88" s="3" t="str">
        <f t="shared" si="16"/>
        <v>1,25000</v>
      </c>
      <c r="I88" s="3" t="str">
        <f t="shared" si="17"/>
        <v>1027,5;1030,5;1,25000</v>
      </c>
    </row>
    <row r="89" spans="4:9">
      <c r="D89" s="3">
        <f t="shared" si="13"/>
        <v>1027</v>
      </c>
      <c r="E89" s="3">
        <f t="shared" si="14"/>
        <v>1030</v>
      </c>
      <c r="F89" s="3" t="str">
        <f t="shared" si="15"/>
        <v>1027,6;1030,6</v>
      </c>
      <c r="H89" s="3" t="str">
        <f t="shared" si="16"/>
        <v>1,30000</v>
      </c>
      <c r="I89" s="3" t="str">
        <f t="shared" si="17"/>
        <v>1027,6;1030,6;1,30000</v>
      </c>
    </row>
    <row r="90" spans="4:9">
      <c r="D90" s="3">
        <f t="shared" si="13"/>
        <v>1027</v>
      </c>
      <c r="E90" s="3">
        <f t="shared" si="14"/>
        <v>1030</v>
      </c>
      <c r="F90" s="3" t="str">
        <f t="shared" si="15"/>
        <v>1027,6;1030,6</v>
      </c>
      <c r="H90" s="3" t="str">
        <f t="shared" si="16"/>
        <v>1,40000</v>
      </c>
      <c r="I90" s="3" t="str">
        <f t="shared" si="17"/>
        <v>1027,6;1030,6;1,40000</v>
      </c>
    </row>
    <row r="91" spans="4:9">
      <c r="D91" s="3">
        <f t="shared" si="13"/>
        <v>1027</v>
      </c>
      <c r="E91" s="3">
        <f t="shared" si="14"/>
        <v>1030</v>
      </c>
      <c r="F91" s="3" t="str">
        <f t="shared" si="15"/>
        <v>1027,7;1030,7</v>
      </c>
      <c r="H91" s="3" t="str">
        <f t="shared" si="16"/>
        <v>1,50000</v>
      </c>
      <c r="I91" s="3" t="str">
        <f t="shared" si="17"/>
        <v>1027,7;1030,7;1,50000</v>
      </c>
    </row>
    <row r="92" spans="4:9">
      <c r="D92" s="3">
        <f t="shared" si="13"/>
        <v>1027</v>
      </c>
      <c r="E92" s="3">
        <f t="shared" si="14"/>
        <v>1030</v>
      </c>
      <c r="F92" s="3" t="str">
        <f t="shared" si="15"/>
        <v>1027,8;1030,8</v>
      </c>
      <c r="H92" s="3" t="str">
        <f t="shared" si="16"/>
        <v>1,60000</v>
      </c>
      <c r="I92" s="3" t="str">
        <f t="shared" si="17"/>
        <v>1027,8;1030,8;1,60000</v>
      </c>
    </row>
    <row r="93" spans="4:9">
      <c r="D93" s="3">
        <f t="shared" si="13"/>
        <v>1027</v>
      </c>
      <c r="E93" s="3">
        <f t="shared" si="14"/>
        <v>1030</v>
      </c>
      <c r="F93" s="3" t="str">
        <f t="shared" si="15"/>
        <v>1027,9;1030,9</v>
      </c>
      <c r="H93" s="3" t="str">
        <f t="shared" si="16"/>
        <v>1,75000</v>
      </c>
      <c r="I93" s="3" t="str">
        <f t="shared" si="17"/>
        <v>1027,9;1030,9;1,75000</v>
      </c>
    </row>
    <row r="94" spans="4:9">
      <c r="D94" s="3">
        <f t="shared" si="13"/>
        <v>1033</v>
      </c>
      <c r="E94" s="3">
        <f t="shared" si="14"/>
        <v>1036</v>
      </c>
      <c r="F94" s="3" t="str">
        <f t="shared" si="15"/>
        <v>1033,8;1036,8</v>
      </c>
      <c r="H94" s="3" t="str">
        <f t="shared" si="16"/>
        <v>1,90000</v>
      </c>
      <c r="I94" s="3" t="str">
        <f t="shared" si="17"/>
        <v>1033,8;1036,8;1,90000</v>
      </c>
    </row>
    <row r="95" spans="4:9">
      <c r="D95" s="3">
        <f t="shared" si="13"/>
        <v>1033</v>
      </c>
      <c r="E95" s="3">
        <f t="shared" si="14"/>
        <v>1036</v>
      </c>
      <c r="F95" s="3" t="str">
        <f t="shared" si="15"/>
        <v>1033,9;1036,9</v>
      </c>
      <c r="H95" s="3" t="str">
        <f t="shared" si="16"/>
        <v>1,110000</v>
      </c>
      <c r="I95" s="3" t="str">
        <f t="shared" si="17"/>
        <v>1033,9;1036,9;1,110000</v>
      </c>
    </row>
    <row r="96" spans="4:9">
      <c r="D96" s="3">
        <f t="shared" si="13"/>
        <v>1033</v>
      </c>
      <c r="E96" s="3">
        <f t="shared" si="14"/>
        <v>1036</v>
      </c>
      <c r="F96" s="3" t="str">
        <f t="shared" si="15"/>
        <v>1033,10;1036,10</v>
      </c>
      <c r="H96" s="3" t="str">
        <f t="shared" si="16"/>
        <v>1,135000</v>
      </c>
      <c r="I96" s="3" t="str">
        <f t="shared" si="17"/>
        <v>1033,10;1036,10;1,135000</v>
      </c>
    </row>
    <row r="97" spans="4:9">
      <c r="D97" s="3">
        <f t="shared" si="13"/>
        <v>1033</v>
      </c>
      <c r="E97" s="3">
        <f t="shared" si="14"/>
        <v>1036</v>
      </c>
      <c r="F97" s="3" t="str">
        <f t="shared" si="15"/>
        <v>1033,11;1036,11</v>
      </c>
      <c r="H97" s="3" t="str">
        <f t="shared" si="16"/>
        <v>1,170000</v>
      </c>
      <c r="I97" s="3" t="str">
        <f t="shared" si="17"/>
        <v>1033,11;1036,11;1,170000</v>
      </c>
    </row>
    <row r="98" spans="4:9">
      <c r="D98" s="3">
        <f t="shared" si="13"/>
        <v>1039</v>
      </c>
      <c r="E98" s="3">
        <f t="shared" si="14"/>
        <v>1042</v>
      </c>
      <c r="F98" s="3" t="str">
        <f t="shared" si="15"/>
        <v>1039,12;1042,12</v>
      </c>
      <c r="H98" s="3" t="str">
        <f t="shared" si="16"/>
        <v>1,210000</v>
      </c>
      <c r="I98" s="3" t="str">
        <f t="shared" si="17"/>
        <v>1039,12;1042,12;1,210000</v>
      </c>
    </row>
    <row r="99" spans="4:9">
      <c r="D99" s="3">
        <f t="shared" si="13"/>
        <v>1039</v>
      </c>
      <c r="E99" s="3">
        <f t="shared" si="14"/>
        <v>1042</v>
      </c>
      <c r="F99" s="3" t="str">
        <f t="shared" si="15"/>
        <v>1039,13;1042,13</v>
      </c>
      <c r="H99" s="3" t="str">
        <f t="shared" si="16"/>
        <v>1,255000</v>
      </c>
      <c r="I99" s="3" t="str">
        <f t="shared" si="17"/>
        <v>1039,13;1042,13;1,255000</v>
      </c>
    </row>
    <row r="100" spans="4:9">
      <c r="D100" s="3">
        <f t="shared" si="13"/>
        <v>1039</v>
      </c>
      <c r="E100" s="3">
        <f t="shared" si="14"/>
        <v>1042</v>
      </c>
      <c r="F100" s="3" t="str">
        <f t="shared" si="15"/>
        <v>1039,15;1042,15</v>
      </c>
      <c r="H100" s="3" t="str">
        <f t="shared" si="16"/>
        <v>1,315000</v>
      </c>
      <c r="I100" s="3" t="str">
        <f t="shared" si="17"/>
        <v>1039,15;1042,15;1,315000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81"/>
  <sheetViews>
    <sheetView topLeftCell="A11" workbookViewId="0">
      <selection activeCell="M24" sqref="M24"/>
    </sheetView>
  </sheetViews>
  <sheetFormatPr defaultColWidth="9" defaultRowHeight="16.5"/>
  <cols>
    <col min="1" max="2" width="9" style="3" customWidth="1"/>
    <col min="3" max="3" width="12.25" style="3" customWidth="1"/>
    <col min="4" max="4" width="14" style="3" customWidth="1"/>
    <col min="5" max="5" width="12.875" style="3" customWidth="1"/>
    <col min="6" max="6" width="9.5" style="3" customWidth="1"/>
    <col min="7" max="7" width="12.875" style="3" customWidth="1"/>
    <col min="8" max="8" width="14.125" style="3" customWidth="1"/>
    <col min="9" max="9" width="13.375" style="3" customWidth="1"/>
    <col min="10" max="10" width="12.875" style="3" customWidth="1"/>
    <col min="11" max="11" width="9" style="3" customWidth="1"/>
    <col min="12" max="12" width="11.25" style="3" customWidth="1"/>
    <col min="13" max="13" width="10.375" style="3" customWidth="1"/>
    <col min="14" max="14" width="12.25" style="3" customWidth="1"/>
    <col min="15" max="15" width="13.125" style="3" customWidth="1"/>
    <col min="16" max="16" width="9.25" style="3" customWidth="1"/>
    <col min="17" max="16384" width="9" style="3" customWidth="1"/>
  </cols>
  <sheetData>
    <row r="5" spans="2:8">
      <c r="B5" s="2" t="s">
        <v>1137</v>
      </c>
    </row>
    <row r="6" spans="2:8">
      <c r="C6" s="3" t="s">
        <v>1138</v>
      </c>
    </row>
    <row r="7" spans="2:8">
      <c r="B7" s="3" t="s">
        <v>718</v>
      </c>
      <c r="C7" s="16">
        <v>3</v>
      </c>
      <c r="D7" s="3" t="s">
        <v>1139</v>
      </c>
      <c r="E7" s="3" t="s">
        <v>719</v>
      </c>
    </row>
    <row r="8" spans="2:8">
      <c r="B8" s="3" t="s">
        <v>719</v>
      </c>
      <c r="C8" s="16">
        <v>3</v>
      </c>
      <c r="D8" s="3" t="s">
        <v>1139</v>
      </c>
      <c r="E8" s="3" t="s">
        <v>720</v>
      </c>
    </row>
    <row r="9" spans="2:8">
      <c r="B9" s="3" t="s">
        <v>720</v>
      </c>
      <c r="C9" s="16">
        <v>3</v>
      </c>
      <c r="D9" s="3" t="s">
        <v>1139</v>
      </c>
      <c r="E9" s="3" t="s">
        <v>721</v>
      </c>
    </row>
    <row r="10" spans="2:8">
      <c r="B10" s="3" t="s">
        <v>721</v>
      </c>
      <c r="C10" s="16">
        <v>3</v>
      </c>
      <c r="D10" s="3" t="s">
        <v>1139</v>
      </c>
      <c r="E10" s="3" t="s">
        <v>722</v>
      </c>
      <c r="H10" s="3" t="s">
        <v>1140</v>
      </c>
    </row>
    <row r="11" spans="2:8">
      <c r="B11" s="3" t="s">
        <v>722</v>
      </c>
      <c r="C11" s="16">
        <v>3</v>
      </c>
      <c r="D11" s="3" t="s">
        <v>1139</v>
      </c>
      <c r="E11" s="3" t="s">
        <v>723</v>
      </c>
    </row>
    <row r="12" spans="2:8">
      <c r="B12" s="3" t="s">
        <v>723</v>
      </c>
      <c r="C12" s="16">
        <v>3</v>
      </c>
      <c r="D12" s="3" t="s">
        <v>1139</v>
      </c>
      <c r="E12" s="3" t="s">
        <v>724</v>
      </c>
    </row>
    <row r="17" spans="2:16">
      <c r="B17" s="2" t="s">
        <v>1141</v>
      </c>
    </row>
    <row r="19" spans="2:16">
      <c r="B19" s="77" t="s">
        <v>1038</v>
      </c>
      <c r="C19" s="179">
        <v>60</v>
      </c>
      <c r="E19" s="77" t="s">
        <v>1142</v>
      </c>
      <c r="F19" s="179">
        <v>8</v>
      </c>
      <c r="G19" s="16">
        <v>0.6</v>
      </c>
      <c r="I19" s="16">
        <v>0.8</v>
      </c>
    </row>
    <row r="20" spans="2:16">
      <c r="C20" s="232" t="s">
        <v>1143</v>
      </c>
      <c r="G20" s="233" t="s">
        <v>1144</v>
      </c>
      <c r="I20" s="234" t="s">
        <v>1145</v>
      </c>
    </row>
    <row r="21" spans="2:16">
      <c r="B21" s="19" t="s">
        <v>1041</v>
      </c>
      <c r="C21" s="19" t="s">
        <v>1043</v>
      </c>
      <c r="D21" s="19" t="s">
        <v>1044</v>
      </c>
      <c r="E21" s="19" t="s">
        <v>1045</v>
      </c>
      <c r="F21" s="19" t="s">
        <v>1046</v>
      </c>
      <c r="G21" s="19" t="s">
        <v>1043</v>
      </c>
      <c r="H21" s="19" t="s">
        <v>1045</v>
      </c>
      <c r="I21" s="19" t="s">
        <v>1043</v>
      </c>
      <c r="J21" s="19" t="s">
        <v>1045</v>
      </c>
      <c r="L21" s="3" t="s">
        <v>1146</v>
      </c>
      <c r="M21" s="3">
        <f>MAX(D22:D81)</f>
        <v>526601</v>
      </c>
    </row>
    <row r="22" spans="2:16">
      <c r="B22" s="16">
        <f t="array" ref="B22:B81">_xlfn.SEQUENCE(C19,1,1,1)</f>
        <v>1</v>
      </c>
      <c r="C22" s="3">
        <v>40</v>
      </c>
      <c r="D22" s="3">
        <f>SUM($C$22:C22)</f>
        <v>40</v>
      </c>
      <c r="E22" s="3">
        <f t="shared" ref="E22:E81" si="0">C22</f>
        <v>40</v>
      </c>
      <c r="F22" s="3">
        <f>SUM($E$22:E22)</f>
        <v>40</v>
      </c>
      <c r="G22" s="3">
        <f t="shared" ref="G22:G81" si="1">ROUND(C22*$G$19,0)</f>
        <v>24</v>
      </c>
      <c r="H22" s="3">
        <f t="shared" ref="H22:H81" si="2">ROUND(E22*$G$19,0)</f>
        <v>24</v>
      </c>
      <c r="I22" s="3">
        <f t="shared" ref="I22:I81" si="3">ROUND(C22*$I$19,0)</f>
        <v>32</v>
      </c>
      <c r="J22" s="3">
        <f t="shared" ref="J22:J81" si="4">ROUND(E22*$I$19,0)</f>
        <v>32</v>
      </c>
      <c r="L22" s="3" t="s">
        <v>1147</v>
      </c>
      <c r="M22" s="3">
        <f>MAX(F22:F81)</f>
        <v>526601</v>
      </c>
    </row>
    <row r="23" spans="2:16">
      <c r="B23" s="16">
        <v>2</v>
      </c>
      <c r="C23" s="3">
        <f t="shared" ref="C23:C41" si="5">ROUND(C22*1.2,0)</f>
        <v>48</v>
      </c>
      <c r="D23" s="3">
        <f>SUM($C$22:C23)</f>
        <v>88</v>
      </c>
      <c r="E23" s="3">
        <f t="shared" si="0"/>
        <v>48</v>
      </c>
      <c r="F23" s="3">
        <f>SUM($E$22:E23)</f>
        <v>88</v>
      </c>
      <c r="G23" s="3">
        <f t="shared" si="1"/>
        <v>29</v>
      </c>
      <c r="H23" s="3">
        <f t="shared" si="2"/>
        <v>29</v>
      </c>
      <c r="I23" s="3">
        <f t="shared" si="3"/>
        <v>38</v>
      </c>
      <c r="J23" s="3">
        <f t="shared" si="4"/>
        <v>38</v>
      </c>
      <c r="L23" s="3" t="s">
        <v>1148</v>
      </c>
      <c r="M23" s="3">
        <f>$F$19*M21</f>
        <v>4212808</v>
      </c>
    </row>
    <row r="24" spans="2:16">
      <c r="B24" s="16">
        <v>3</v>
      </c>
      <c r="C24" s="3">
        <f t="shared" si="5"/>
        <v>58</v>
      </c>
      <c r="D24" s="3">
        <f>SUM($C$22:C24)</f>
        <v>146</v>
      </c>
      <c r="E24" s="3">
        <f t="shared" si="0"/>
        <v>58</v>
      </c>
      <c r="F24" s="3">
        <f>SUM($E$22:E24)</f>
        <v>146</v>
      </c>
      <c r="G24" s="3">
        <f t="shared" si="1"/>
        <v>35</v>
      </c>
      <c r="H24" s="3">
        <f t="shared" si="2"/>
        <v>35</v>
      </c>
      <c r="I24" s="3">
        <f t="shared" si="3"/>
        <v>46</v>
      </c>
      <c r="J24" s="3">
        <f t="shared" si="4"/>
        <v>46</v>
      </c>
      <c r="L24" s="3" t="s">
        <v>1149</v>
      </c>
      <c r="M24" s="3">
        <f>$F$19*M22</f>
        <v>4212808</v>
      </c>
    </row>
    <row r="25" spans="2:16">
      <c r="B25" s="16">
        <v>4</v>
      </c>
      <c r="C25" s="3">
        <f t="shared" si="5"/>
        <v>70</v>
      </c>
      <c r="D25" s="3">
        <f>SUM($C$22:C25)</f>
        <v>216</v>
      </c>
      <c r="E25" s="3">
        <f t="shared" si="0"/>
        <v>70</v>
      </c>
      <c r="F25" s="3">
        <f>SUM($E$22:E25)</f>
        <v>216</v>
      </c>
      <c r="G25" s="3">
        <f t="shared" si="1"/>
        <v>42</v>
      </c>
      <c r="H25" s="3">
        <f t="shared" si="2"/>
        <v>42</v>
      </c>
      <c r="I25" s="3">
        <f t="shared" si="3"/>
        <v>56</v>
      </c>
      <c r="J25" s="3">
        <f t="shared" si="4"/>
        <v>56</v>
      </c>
    </row>
    <row r="26" spans="2:16">
      <c r="B26" s="16">
        <v>5</v>
      </c>
      <c r="C26" s="3">
        <f t="shared" si="5"/>
        <v>84</v>
      </c>
      <c r="D26" s="3">
        <f>SUM($C$22:C26)</f>
        <v>300</v>
      </c>
      <c r="E26" s="3">
        <f t="shared" si="0"/>
        <v>84</v>
      </c>
      <c r="F26" s="3">
        <f>SUM($E$22:E26)</f>
        <v>300</v>
      </c>
      <c r="G26" s="3">
        <f t="shared" si="1"/>
        <v>50</v>
      </c>
      <c r="H26" s="3">
        <f t="shared" si="2"/>
        <v>50</v>
      </c>
      <c r="I26" s="3">
        <f t="shared" si="3"/>
        <v>67</v>
      </c>
      <c r="J26" s="3">
        <f t="shared" si="4"/>
        <v>67</v>
      </c>
      <c r="L26" s="3" t="s">
        <v>1150</v>
      </c>
      <c r="N26" s="221">
        <v>0.8</v>
      </c>
    </row>
    <row r="27" spans="2:16">
      <c r="B27" s="16">
        <v>6</v>
      </c>
      <c r="C27" s="3">
        <f t="shared" si="5"/>
        <v>101</v>
      </c>
      <c r="D27" s="3">
        <f>SUM($C$22:C27)</f>
        <v>401</v>
      </c>
      <c r="E27" s="3">
        <f t="shared" si="0"/>
        <v>101</v>
      </c>
      <c r="F27" s="3">
        <f>SUM($E$22:E27)</f>
        <v>401</v>
      </c>
      <c r="G27" s="3">
        <f t="shared" si="1"/>
        <v>61</v>
      </c>
      <c r="H27" s="3">
        <f t="shared" si="2"/>
        <v>61</v>
      </c>
      <c r="I27" s="3">
        <f t="shared" si="3"/>
        <v>81</v>
      </c>
      <c r="J27" s="3">
        <f t="shared" si="4"/>
        <v>81</v>
      </c>
    </row>
    <row r="28" spans="2:16">
      <c r="B28" s="16">
        <v>7</v>
      </c>
      <c r="C28" s="3">
        <f t="shared" si="5"/>
        <v>121</v>
      </c>
      <c r="D28" s="3">
        <f>SUM($C$22:C28)</f>
        <v>522</v>
      </c>
      <c r="E28" s="3">
        <f t="shared" si="0"/>
        <v>121</v>
      </c>
      <c r="F28" s="3">
        <f>SUM($E$22:E28)</f>
        <v>522</v>
      </c>
      <c r="G28" s="3">
        <f t="shared" si="1"/>
        <v>73</v>
      </c>
      <c r="H28" s="3">
        <f t="shared" si="2"/>
        <v>73</v>
      </c>
      <c r="I28" s="3">
        <f t="shared" si="3"/>
        <v>97</v>
      </c>
      <c r="J28" s="3">
        <f t="shared" si="4"/>
        <v>97</v>
      </c>
      <c r="L28" s="3" t="s">
        <v>1151</v>
      </c>
      <c r="N28" s="235" t="s">
        <v>1152</v>
      </c>
    </row>
    <row r="29" spans="2:16">
      <c r="B29" s="16">
        <v>8</v>
      </c>
      <c r="C29" s="3">
        <f t="shared" si="5"/>
        <v>145</v>
      </c>
      <c r="D29" s="3">
        <f>SUM($C$22:C29)</f>
        <v>667</v>
      </c>
      <c r="E29" s="3">
        <f t="shared" si="0"/>
        <v>145</v>
      </c>
      <c r="F29" s="3">
        <f>SUM($E$22:E29)</f>
        <v>667</v>
      </c>
      <c r="G29" s="3">
        <f t="shared" si="1"/>
        <v>87</v>
      </c>
      <c r="H29" s="3">
        <f t="shared" si="2"/>
        <v>87</v>
      </c>
      <c r="I29" s="3">
        <f t="shared" si="3"/>
        <v>116</v>
      </c>
      <c r="J29" s="3">
        <f t="shared" si="4"/>
        <v>116</v>
      </c>
    </row>
    <row r="30" spans="2:16">
      <c r="B30" s="16">
        <v>9</v>
      </c>
      <c r="C30" s="3">
        <f t="shared" si="5"/>
        <v>174</v>
      </c>
      <c r="D30" s="3">
        <f>SUM($C$22:C30)</f>
        <v>841</v>
      </c>
      <c r="E30" s="3">
        <f t="shared" si="0"/>
        <v>174</v>
      </c>
      <c r="F30" s="3">
        <f>SUM($E$22:E30)</f>
        <v>841</v>
      </c>
      <c r="G30" s="3">
        <f t="shared" si="1"/>
        <v>104</v>
      </c>
      <c r="H30" s="3">
        <f t="shared" si="2"/>
        <v>104</v>
      </c>
      <c r="I30" s="3">
        <f t="shared" si="3"/>
        <v>139</v>
      </c>
      <c r="J30" s="3">
        <f t="shared" si="4"/>
        <v>139</v>
      </c>
      <c r="L30" s="236" t="s">
        <v>1153</v>
      </c>
      <c r="M30" s="237"/>
    </row>
    <row r="31" spans="2:16">
      <c r="B31" s="16">
        <v>10</v>
      </c>
      <c r="C31" s="3">
        <f t="shared" si="5"/>
        <v>209</v>
      </c>
      <c r="D31" s="3">
        <f>SUM($C$22:C31)</f>
        <v>1050</v>
      </c>
      <c r="E31" s="3">
        <f t="shared" si="0"/>
        <v>209</v>
      </c>
      <c r="F31" s="3">
        <f>SUM($E$22:E31)</f>
        <v>1050</v>
      </c>
      <c r="G31" s="3">
        <f t="shared" si="1"/>
        <v>125</v>
      </c>
      <c r="H31" s="3">
        <f t="shared" si="2"/>
        <v>125</v>
      </c>
      <c r="I31" s="3">
        <f t="shared" si="3"/>
        <v>167</v>
      </c>
      <c r="J31" s="3">
        <f t="shared" si="4"/>
        <v>167</v>
      </c>
      <c r="L31" s="236" t="s">
        <v>1154</v>
      </c>
      <c r="M31" s="236" t="s">
        <v>1108</v>
      </c>
    </row>
    <row r="32" spans="2:16">
      <c r="B32" s="16">
        <v>11</v>
      </c>
      <c r="C32" s="3">
        <f t="shared" si="5"/>
        <v>251</v>
      </c>
      <c r="D32" s="3">
        <f>SUM($C$22:C32)</f>
        <v>1301</v>
      </c>
      <c r="E32" s="3">
        <f t="shared" si="0"/>
        <v>251</v>
      </c>
      <c r="F32" s="3">
        <f>SUM($E$22:E32)</f>
        <v>1301</v>
      </c>
      <c r="G32" s="3">
        <f t="shared" si="1"/>
        <v>151</v>
      </c>
      <c r="H32" s="3">
        <f t="shared" si="2"/>
        <v>151</v>
      </c>
      <c r="I32" s="3">
        <f t="shared" si="3"/>
        <v>201</v>
      </c>
      <c r="J32" s="3">
        <f t="shared" si="4"/>
        <v>201</v>
      </c>
      <c r="L32" s="233" t="s">
        <v>1144</v>
      </c>
      <c r="M32" s="236">
        <v>200</v>
      </c>
      <c r="P32" s="238" t="s">
        <v>1155</v>
      </c>
    </row>
    <row r="33" spans="2:15">
      <c r="B33" s="16">
        <v>12</v>
      </c>
      <c r="C33" s="3">
        <f t="shared" si="5"/>
        <v>301</v>
      </c>
      <c r="D33" s="3">
        <f>SUM($C$22:C33)</f>
        <v>1602</v>
      </c>
      <c r="E33" s="3">
        <f t="shared" si="0"/>
        <v>301</v>
      </c>
      <c r="F33" s="3">
        <f>SUM($E$22:E33)</f>
        <v>1602</v>
      </c>
      <c r="G33" s="3">
        <f t="shared" si="1"/>
        <v>181</v>
      </c>
      <c r="H33" s="3">
        <f t="shared" si="2"/>
        <v>181</v>
      </c>
      <c r="I33" s="3">
        <f t="shared" si="3"/>
        <v>241</v>
      </c>
      <c r="J33" s="3">
        <f t="shared" si="4"/>
        <v>241</v>
      </c>
      <c r="L33" s="234" t="s">
        <v>1145</v>
      </c>
      <c r="M33" s="236">
        <v>800</v>
      </c>
      <c r="N33" s="3" t="s">
        <v>1156</v>
      </c>
      <c r="O33" s="5">
        <v>1</v>
      </c>
    </row>
    <row r="34" spans="2:15">
      <c r="B34" s="16">
        <v>13</v>
      </c>
      <c r="C34" s="3">
        <f t="shared" si="5"/>
        <v>361</v>
      </c>
      <c r="D34" s="3">
        <f>SUM($C$22:C34)</f>
        <v>1963</v>
      </c>
      <c r="E34" s="3">
        <f t="shared" si="0"/>
        <v>361</v>
      </c>
      <c r="F34" s="3">
        <f>SUM($E$22:E34)</f>
        <v>1963</v>
      </c>
      <c r="G34" s="3">
        <f t="shared" si="1"/>
        <v>217</v>
      </c>
      <c r="H34" s="3">
        <f t="shared" si="2"/>
        <v>217</v>
      </c>
      <c r="I34" s="3">
        <f t="shared" si="3"/>
        <v>289</v>
      </c>
      <c r="J34" s="3">
        <f t="shared" si="4"/>
        <v>289</v>
      </c>
      <c r="L34" s="232" t="s">
        <v>1157</v>
      </c>
      <c r="M34" s="236">
        <v>2000</v>
      </c>
      <c r="N34" s="3" t="s">
        <v>1158</v>
      </c>
      <c r="O34" s="5">
        <v>1</v>
      </c>
    </row>
    <row r="35" spans="2:15">
      <c r="B35" s="16">
        <v>14</v>
      </c>
      <c r="C35" s="3">
        <f t="shared" si="5"/>
        <v>433</v>
      </c>
      <c r="D35" s="3">
        <f>SUM($C$22:C35)</f>
        <v>2396</v>
      </c>
      <c r="E35" s="3">
        <f t="shared" si="0"/>
        <v>433</v>
      </c>
      <c r="F35" s="3">
        <f>SUM($E$22:E35)</f>
        <v>2396</v>
      </c>
      <c r="G35" s="3">
        <f t="shared" si="1"/>
        <v>260</v>
      </c>
      <c r="H35" s="3">
        <f t="shared" si="2"/>
        <v>260</v>
      </c>
      <c r="I35" s="3">
        <f t="shared" si="3"/>
        <v>346</v>
      </c>
      <c r="J35" s="3">
        <f t="shared" si="4"/>
        <v>346</v>
      </c>
      <c r="L35" s="239" t="s">
        <v>1159</v>
      </c>
      <c r="M35" s="236">
        <v>10000</v>
      </c>
      <c r="N35" s="3" t="s">
        <v>1158</v>
      </c>
      <c r="O35" s="5">
        <v>10</v>
      </c>
    </row>
    <row r="36" spans="2:15">
      <c r="B36" s="16">
        <v>15</v>
      </c>
      <c r="C36" s="3">
        <f t="shared" si="5"/>
        <v>520</v>
      </c>
      <c r="D36" s="3">
        <f>SUM($C$22:C36)</f>
        <v>2916</v>
      </c>
      <c r="E36" s="3">
        <f t="shared" si="0"/>
        <v>520</v>
      </c>
      <c r="F36" s="3">
        <f>SUM($E$22:E36)</f>
        <v>2916</v>
      </c>
      <c r="G36" s="3">
        <f t="shared" si="1"/>
        <v>312</v>
      </c>
      <c r="H36" s="3">
        <f t="shared" si="2"/>
        <v>312</v>
      </c>
      <c r="I36" s="3">
        <f t="shared" si="3"/>
        <v>416</v>
      </c>
      <c r="J36" s="3">
        <f t="shared" si="4"/>
        <v>416</v>
      </c>
    </row>
    <row r="37" spans="2:15">
      <c r="B37" s="16">
        <v>16</v>
      </c>
      <c r="C37" s="3">
        <f t="shared" si="5"/>
        <v>624</v>
      </c>
      <c r="D37" s="3">
        <f>SUM($C$22:C37)</f>
        <v>3540</v>
      </c>
      <c r="E37" s="3">
        <f t="shared" si="0"/>
        <v>624</v>
      </c>
      <c r="F37" s="3">
        <f>SUM($E$22:E37)</f>
        <v>3540</v>
      </c>
      <c r="G37" s="3">
        <f t="shared" si="1"/>
        <v>374</v>
      </c>
      <c r="H37" s="3">
        <f t="shared" si="2"/>
        <v>374</v>
      </c>
      <c r="I37" s="3">
        <f t="shared" si="3"/>
        <v>499</v>
      </c>
      <c r="J37" s="3">
        <f t="shared" si="4"/>
        <v>499</v>
      </c>
    </row>
    <row r="38" spans="2:15">
      <c r="B38" s="16">
        <v>17</v>
      </c>
      <c r="C38" s="3">
        <f t="shared" si="5"/>
        <v>749</v>
      </c>
      <c r="D38" s="3">
        <f>SUM($C$22:C38)</f>
        <v>4289</v>
      </c>
      <c r="E38" s="3">
        <f t="shared" si="0"/>
        <v>749</v>
      </c>
      <c r="F38" s="3">
        <f>SUM($E$22:E38)</f>
        <v>4289</v>
      </c>
      <c r="G38" s="3">
        <f t="shared" si="1"/>
        <v>449</v>
      </c>
      <c r="H38" s="3">
        <f t="shared" si="2"/>
        <v>449</v>
      </c>
      <c r="I38" s="3">
        <f t="shared" si="3"/>
        <v>599</v>
      </c>
      <c r="J38" s="3">
        <f t="shared" si="4"/>
        <v>599</v>
      </c>
    </row>
    <row r="39" spans="2:15">
      <c r="B39" s="16">
        <v>18</v>
      </c>
      <c r="C39" s="3">
        <f t="shared" si="5"/>
        <v>899</v>
      </c>
      <c r="D39" s="3">
        <f>SUM($C$22:C39)</f>
        <v>5188</v>
      </c>
      <c r="E39" s="3">
        <f t="shared" si="0"/>
        <v>899</v>
      </c>
      <c r="F39" s="3">
        <f>SUM($E$22:E39)</f>
        <v>5188</v>
      </c>
      <c r="G39" s="3">
        <f t="shared" si="1"/>
        <v>539</v>
      </c>
      <c r="H39" s="3">
        <f t="shared" si="2"/>
        <v>539</v>
      </c>
      <c r="I39" s="3">
        <f t="shared" si="3"/>
        <v>719</v>
      </c>
      <c r="J39" s="3">
        <f t="shared" si="4"/>
        <v>719</v>
      </c>
    </row>
    <row r="40" spans="2:15">
      <c r="B40" s="16">
        <v>19</v>
      </c>
      <c r="C40" s="3">
        <f t="shared" si="5"/>
        <v>1079</v>
      </c>
      <c r="D40" s="3">
        <f>SUM($C$22:C40)</f>
        <v>6267</v>
      </c>
      <c r="E40" s="3">
        <f t="shared" si="0"/>
        <v>1079</v>
      </c>
      <c r="F40" s="3">
        <f>SUM($E$22:E40)</f>
        <v>6267</v>
      </c>
      <c r="G40" s="3">
        <f t="shared" si="1"/>
        <v>647</v>
      </c>
      <c r="H40" s="3">
        <f t="shared" si="2"/>
        <v>647</v>
      </c>
      <c r="I40" s="3">
        <f t="shared" si="3"/>
        <v>863</v>
      </c>
      <c r="J40" s="3">
        <f t="shared" si="4"/>
        <v>863</v>
      </c>
    </row>
    <row r="41" spans="2:15">
      <c r="B41" s="16">
        <v>20</v>
      </c>
      <c r="C41" s="3">
        <f t="shared" si="5"/>
        <v>1295</v>
      </c>
      <c r="D41" s="3">
        <f>SUM($C$22:C41)</f>
        <v>7562</v>
      </c>
      <c r="E41" s="3">
        <f t="shared" si="0"/>
        <v>1295</v>
      </c>
      <c r="F41" s="3">
        <f>SUM($E$22:E41)</f>
        <v>7562</v>
      </c>
      <c r="G41" s="3">
        <f t="shared" si="1"/>
        <v>777</v>
      </c>
      <c r="H41" s="3">
        <f t="shared" si="2"/>
        <v>777</v>
      </c>
      <c r="I41" s="3">
        <f t="shared" si="3"/>
        <v>1036</v>
      </c>
      <c r="J41" s="3">
        <f t="shared" si="4"/>
        <v>1036</v>
      </c>
    </row>
    <row r="42" spans="2:15">
      <c r="B42" s="16">
        <v>21</v>
      </c>
      <c r="C42" s="3">
        <f t="shared" ref="C42:C70" si="6">ROUND(C41*1.1,0)</f>
        <v>1425</v>
      </c>
      <c r="D42" s="3">
        <f>SUM($C$22:C42)</f>
        <v>8987</v>
      </c>
      <c r="E42" s="3">
        <f t="shared" si="0"/>
        <v>1425</v>
      </c>
      <c r="F42" s="3">
        <f>SUM($E$22:E42)</f>
        <v>8987</v>
      </c>
      <c r="G42" s="3">
        <f t="shared" si="1"/>
        <v>855</v>
      </c>
      <c r="H42" s="3">
        <f t="shared" si="2"/>
        <v>855</v>
      </c>
      <c r="I42" s="3">
        <f t="shared" si="3"/>
        <v>1140</v>
      </c>
      <c r="J42" s="3">
        <f t="shared" si="4"/>
        <v>1140</v>
      </c>
    </row>
    <row r="43" spans="2:15">
      <c r="B43" s="16">
        <v>22</v>
      </c>
      <c r="C43" s="3">
        <f t="shared" si="6"/>
        <v>1568</v>
      </c>
      <c r="D43" s="3">
        <f>SUM($C$22:C43)</f>
        <v>10555</v>
      </c>
      <c r="E43" s="3">
        <f t="shared" si="0"/>
        <v>1568</v>
      </c>
      <c r="F43" s="3">
        <f>SUM($E$22:E43)</f>
        <v>10555</v>
      </c>
      <c r="G43" s="3">
        <f t="shared" si="1"/>
        <v>941</v>
      </c>
      <c r="H43" s="3">
        <f t="shared" si="2"/>
        <v>941</v>
      </c>
      <c r="I43" s="3">
        <f t="shared" si="3"/>
        <v>1254</v>
      </c>
      <c r="J43" s="3">
        <f t="shared" si="4"/>
        <v>1254</v>
      </c>
    </row>
    <row r="44" spans="2:15">
      <c r="B44" s="16">
        <v>23</v>
      </c>
      <c r="C44" s="3">
        <f t="shared" si="6"/>
        <v>1725</v>
      </c>
      <c r="D44" s="3">
        <f>SUM($C$22:C44)</f>
        <v>12280</v>
      </c>
      <c r="E44" s="3">
        <f t="shared" si="0"/>
        <v>1725</v>
      </c>
      <c r="F44" s="3">
        <f>SUM($E$22:E44)</f>
        <v>12280</v>
      </c>
      <c r="G44" s="3">
        <f t="shared" si="1"/>
        <v>1035</v>
      </c>
      <c r="H44" s="3">
        <f t="shared" si="2"/>
        <v>1035</v>
      </c>
      <c r="I44" s="3">
        <f t="shared" si="3"/>
        <v>1380</v>
      </c>
      <c r="J44" s="3">
        <f t="shared" si="4"/>
        <v>1380</v>
      </c>
    </row>
    <row r="45" spans="2:15">
      <c r="B45" s="16">
        <v>24</v>
      </c>
      <c r="C45" s="3">
        <f t="shared" si="6"/>
        <v>1898</v>
      </c>
      <c r="D45" s="3">
        <f>SUM($C$22:C45)</f>
        <v>14178</v>
      </c>
      <c r="E45" s="3">
        <f t="shared" si="0"/>
        <v>1898</v>
      </c>
      <c r="F45" s="3">
        <f>SUM($E$22:E45)</f>
        <v>14178</v>
      </c>
      <c r="G45" s="3">
        <f t="shared" si="1"/>
        <v>1139</v>
      </c>
      <c r="H45" s="3">
        <f t="shared" si="2"/>
        <v>1139</v>
      </c>
      <c r="I45" s="3">
        <f t="shared" si="3"/>
        <v>1518</v>
      </c>
      <c r="J45" s="3">
        <f t="shared" si="4"/>
        <v>1518</v>
      </c>
    </row>
    <row r="46" spans="2:15">
      <c r="B46" s="16">
        <v>25</v>
      </c>
      <c r="C46" s="3">
        <f t="shared" si="6"/>
        <v>2088</v>
      </c>
      <c r="D46" s="3">
        <f>SUM($C$22:C46)</f>
        <v>16266</v>
      </c>
      <c r="E46" s="3">
        <f t="shared" si="0"/>
        <v>2088</v>
      </c>
      <c r="F46" s="3">
        <f>SUM($E$22:E46)</f>
        <v>16266</v>
      </c>
      <c r="G46" s="3">
        <f t="shared" si="1"/>
        <v>1253</v>
      </c>
      <c r="H46" s="3">
        <f t="shared" si="2"/>
        <v>1253</v>
      </c>
      <c r="I46" s="3">
        <f t="shared" si="3"/>
        <v>1670</v>
      </c>
      <c r="J46" s="3">
        <f t="shared" si="4"/>
        <v>1670</v>
      </c>
    </row>
    <row r="47" spans="2:15">
      <c r="B47" s="16">
        <v>26</v>
      </c>
      <c r="C47" s="3">
        <f t="shared" si="6"/>
        <v>2297</v>
      </c>
      <c r="D47" s="3">
        <f>SUM($C$22:C47)</f>
        <v>18563</v>
      </c>
      <c r="E47" s="3">
        <f t="shared" si="0"/>
        <v>2297</v>
      </c>
      <c r="F47" s="3">
        <f>SUM($E$22:E47)</f>
        <v>18563</v>
      </c>
      <c r="G47" s="3">
        <f t="shared" si="1"/>
        <v>1378</v>
      </c>
      <c r="H47" s="3">
        <f t="shared" si="2"/>
        <v>1378</v>
      </c>
      <c r="I47" s="3">
        <f t="shared" si="3"/>
        <v>1838</v>
      </c>
      <c r="J47" s="3">
        <f t="shared" si="4"/>
        <v>1838</v>
      </c>
    </row>
    <row r="48" spans="2:15">
      <c r="B48" s="16">
        <v>27</v>
      </c>
      <c r="C48" s="3">
        <f t="shared" si="6"/>
        <v>2527</v>
      </c>
      <c r="D48" s="3">
        <f>SUM($C$22:C48)</f>
        <v>21090</v>
      </c>
      <c r="E48" s="3">
        <f t="shared" si="0"/>
        <v>2527</v>
      </c>
      <c r="F48" s="3">
        <f>SUM($E$22:E48)</f>
        <v>21090</v>
      </c>
      <c r="G48" s="3">
        <f t="shared" si="1"/>
        <v>1516</v>
      </c>
      <c r="H48" s="3">
        <f t="shared" si="2"/>
        <v>1516</v>
      </c>
      <c r="I48" s="3">
        <f t="shared" si="3"/>
        <v>2022</v>
      </c>
      <c r="J48" s="3">
        <f t="shared" si="4"/>
        <v>2022</v>
      </c>
    </row>
    <row r="49" spans="2:10">
      <c r="B49" s="16">
        <v>28</v>
      </c>
      <c r="C49" s="3">
        <f t="shared" si="6"/>
        <v>2780</v>
      </c>
      <c r="D49" s="3">
        <f>SUM($C$22:C49)</f>
        <v>23870</v>
      </c>
      <c r="E49" s="3">
        <f t="shared" si="0"/>
        <v>2780</v>
      </c>
      <c r="F49" s="3">
        <f>SUM($E$22:E49)</f>
        <v>23870</v>
      </c>
      <c r="G49" s="3">
        <f t="shared" si="1"/>
        <v>1668</v>
      </c>
      <c r="H49" s="3">
        <f t="shared" si="2"/>
        <v>1668</v>
      </c>
      <c r="I49" s="3">
        <f t="shared" si="3"/>
        <v>2224</v>
      </c>
      <c r="J49" s="3">
        <f t="shared" si="4"/>
        <v>2224</v>
      </c>
    </row>
    <row r="50" spans="2:10">
      <c r="B50" s="16">
        <v>29</v>
      </c>
      <c r="C50" s="3">
        <f t="shared" si="6"/>
        <v>3058</v>
      </c>
      <c r="D50" s="3">
        <f>SUM($C$22:C50)</f>
        <v>26928</v>
      </c>
      <c r="E50" s="3">
        <f t="shared" si="0"/>
        <v>3058</v>
      </c>
      <c r="F50" s="3">
        <f>SUM($E$22:E50)</f>
        <v>26928</v>
      </c>
      <c r="G50" s="3">
        <f t="shared" si="1"/>
        <v>1835</v>
      </c>
      <c r="H50" s="3">
        <f t="shared" si="2"/>
        <v>1835</v>
      </c>
      <c r="I50" s="3">
        <f t="shared" si="3"/>
        <v>2446</v>
      </c>
      <c r="J50" s="3">
        <f t="shared" si="4"/>
        <v>2446</v>
      </c>
    </row>
    <row r="51" spans="2:10">
      <c r="B51" s="16">
        <v>30</v>
      </c>
      <c r="C51" s="3">
        <f t="shared" si="6"/>
        <v>3364</v>
      </c>
      <c r="D51" s="3">
        <f>SUM($C$22:C51)</f>
        <v>30292</v>
      </c>
      <c r="E51" s="3">
        <f t="shared" si="0"/>
        <v>3364</v>
      </c>
      <c r="F51" s="3">
        <f>SUM($E$22:E51)</f>
        <v>30292</v>
      </c>
      <c r="G51" s="3">
        <f t="shared" si="1"/>
        <v>2018</v>
      </c>
      <c r="H51" s="3">
        <f t="shared" si="2"/>
        <v>2018</v>
      </c>
      <c r="I51" s="3">
        <f t="shared" si="3"/>
        <v>2691</v>
      </c>
      <c r="J51" s="3">
        <f t="shared" si="4"/>
        <v>2691</v>
      </c>
    </row>
    <row r="52" spans="2:10">
      <c r="B52" s="16">
        <v>31</v>
      </c>
      <c r="C52" s="3">
        <f t="shared" si="6"/>
        <v>3700</v>
      </c>
      <c r="D52" s="3">
        <f>SUM($C$22:C52)</f>
        <v>33992</v>
      </c>
      <c r="E52" s="3">
        <f t="shared" si="0"/>
        <v>3700</v>
      </c>
      <c r="F52" s="3">
        <f>SUM($E$22:E52)</f>
        <v>33992</v>
      </c>
      <c r="G52" s="3">
        <f t="shared" si="1"/>
        <v>2220</v>
      </c>
      <c r="H52" s="3">
        <f t="shared" si="2"/>
        <v>2220</v>
      </c>
      <c r="I52" s="3">
        <f t="shared" si="3"/>
        <v>2960</v>
      </c>
      <c r="J52" s="3">
        <f t="shared" si="4"/>
        <v>2960</v>
      </c>
    </row>
    <row r="53" spans="2:10">
      <c r="B53" s="16">
        <v>32</v>
      </c>
      <c r="C53" s="3">
        <f t="shared" si="6"/>
        <v>4070</v>
      </c>
      <c r="D53" s="3">
        <f>SUM($C$22:C53)</f>
        <v>38062</v>
      </c>
      <c r="E53" s="3">
        <f t="shared" si="0"/>
        <v>4070</v>
      </c>
      <c r="F53" s="3">
        <f>SUM($E$22:E53)</f>
        <v>38062</v>
      </c>
      <c r="G53" s="3">
        <f t="shared" si="1"/>
        <v>2442</v>
      </c>
      <c r="H53" s="3">
        <f t="shared" si="2"/>
        <v>2442</v>
      </c>
      <c r="I53" s="3">
        <f t="shared" si="3"/>
        <v>3256</v>
      </c>
      <c r="J53" s="3">
        <f t="shared" si="4"/>
        <v>3256</v>
      </c>
    </row>
    <row r="54" spans="2:10">
      <c r="B54" s="16">
        <v>33</v>
      </c>
      <c r="C54" s="3">
        <f t="shared" si="6"/>
        <v>4477</v>
      </c>
      <c r="D54" s="3">
        <f>SUM($C$22:C54)</f>
        <v>42539</v>
      </c>
      <c r="E54" s="3">
        <f t="shared" si="0"/>
        <v>4477</v>
      </c>
      <c r="F54" s="3">
        <f>SUM($E$22:E54)</f>
        <v>42539</v>
      </c>
      <c r="G54" s="3">
        <f t="shared" si="1"/>
        <v>2686</v>
      </c>
      <c r="H54" s="3">
        <f t="shared" si="2"/>
        <v>2686</v>
      </c>
      <c r="I54" s="3">
        <f t="shared" si="3"/>
        <v>3582</v>
      </c>
      <c r="J54" s="3">
        <f t="shared" si="4"/>
        <v>3582</v>
      </c>
    </row>
    <row r="55" spans="2:10">
      <c r="B55" s="16">
        <v>34</v>
      </c>
      <c r="C55" s="3">
        <f t="shared" si="6"/>
        <v>4925</v>
      </c>
      <c r="D55" s="3">
        <f>SUM($C$22:C55)</f>
        <v>47464</v>
      </c>
      <c r="E55" s="3">
        <f t="shared" si="0"/>
        <v>4925</v>
      </c>
      <c r="F55" s="3">
        <f>SUM($E$22:E55)</f>
        <v>47464</v>
      </c>
      <c r="G55" s="3">
        <f t="shared" si="1"/>
        <v>2955</v>
      </c>
      <c r="H55" s="3">
        <f t="shared" si="2"/>
        <v>2955</v>
      </c>
      <c r="I55" s="3">
        <f t="shared" si="3"/>
        <v>3940</v>
      </c>
      <c r="J55" s="3">
        <f t="shared" si="4"/>
        <v>3940</v>
      </c>
    </row>
    <row r="56" spans="2:10">
      <c r="B56" s="16">
        <v>35</v>
      </c>
      <c r="C56" s="3">
        <f t="shared" si="6"/>
        <v>5418</v>
      </c>
      <c r="D56" s="3">
        <f>SUM($C$22:C56)</f>
        <v>52882</v>
      </c>
      <c r="E56" s="3">
        <f t="shared" si="0"/>
        <v>5418</v>
      </c>
      <c r="F56" s="3">
        <f>SUM($E$22:E56)</f>
        <v>52882</v>
      </c>
      <c r="G56" s="3">
        <f t="shared" si="1"/>
        <v>3251</v>
      </c>
      <c r="H56" s="3">
        <f t="shared" si="2"/>
        <v>3251</v>
      </c>
      <c r="I56" s="3">
        <f t="shared" si="3"/>
        <v>4334</v>
      </c>
      <c r="J56" s="3">
        <f t="shared" si="4"/>
        <v>4334</v>
      </c>
    </row>
    <row r="57" spans="2:10">
      <c r="B57" s="16">
        <v>36</v>
      </c>
      <c r="C57" s="3">
        <f t="shared" si="6"/>
        <v>5960</v>
      </c>
      <c r="D57" s="3">
        <f>SUM($C$22:C57)</f>
        <v>58842</v>
      </c>
      <c r="E57" s="3">
        <f t="shared" si="0"/>
        <v>5960</v>
      </c>
      <c r="F57" s="3">
        <f>SUM($E$22:E57)</f>
        <v>58842</v>
      </c>
      <c r="G57" s="3">
        <f t="shared" si="1"/>
        <v>3576</v>
      </c>
      <c r="H57" s="3">
        <f t="shared" si="2"/>
        <v>3576</v>
      </c>
      <c r="I57" s="3">
        <f t="shared" si="3"/>
        <v>4768</v>
      </c>
      <c r="J57" s="3">
        <f t="shared" si="4"/>
        <v>4768</v>
      </c>
    </row>
    <row r="58" spans="2:10">
      <c r="B58" s="16">
        <v>37</v>
      </c>
      <c r="C58" s="3">
        <f t="shared" si="6"/>
        <v>6556</v>
      </c>
      <c r="D58" s="3">
        <f>SUM($C$22:C58)</f>
        <v>65398</v>
      </c>
      <c r="E58" s="3">
        <f t="shared" si="0"/>
        <v>6556</v>
      </c>
      <c r="F58" s="3">
        <f>SUM($E$22:E58)</f>
        <v>65398</v>
      </c>
      <c r="G58" s="3">
        <f t="shared" si="1"/>
        <v>3934</v>
      </c>
      <c r="H58" s="3">
        <f t="shared" si="2"/>
        <v>3934</v>
      </c>
      <c r="I58" s="3">
        <f t="shared" si="3"/>
        <v>5245</v>
      </c>
      <c r="J58" s="3">
        <f t="shared" si="4"/>
        <v>5245</v>
      </c>
    </row>
    <row r="59" spans="2:10">
      <c r="B59" s="16">
        <v>38</v>
      </c>
      <c r="C59" s="3">
        <f t="shared" si="6"/>
        <v>7212</v>
      </c>
      <c r="D59" s="3">
        <f>SUM($C$22:C59)</f>
        <v>72610</v>
      </c>
      <c r="E59" s="3">
        <f t="shared" si="0"/>
        <v>7212</v>
      </c>
      <c r="F59" s="3">
        <f>SUM($E$22:E59)</f>
        <v>72610</v>
      </c>
      <c r="G59" s="3">
        <f t="shared" si="1"/>
        <v>4327</v>
      </c>
      <c r="H59" s="3">
        <f t="shared" si="2"/>
        <v>4327</v>
      </c>
      <c r="I59" s="3">
        <f t="shared" si="3"/>
        <v>5770</v>
      </c>
      <c r="J59" s="3">
        <f t="shared" si="4"/>
        <v>5770</v>
      </c>
    </row>
    <row r="60" spans="2:10">
      <c r="B60" s="16">
        <v>39</v>
      </c>
      <c r="C60" s="3">
        <f t="shared" si="6"/>
        <v>7933</v>
      </c>
      <c r="D60" s="3">
        <f>SUM($C$22:C60)</f>
        <v>80543</v>
      </c>
      <c r="E60" s="3">
        <f t="shared" si="0"/>
        <v>7933</v>
      </c>
      <c r="F60" s="3">
        <f>SUM($E$22:E60)</f>
        <v>80543</v>
      </c>
      <c r="G60" s="3">
        <f t="shared" si="1"/>
        <v>4760</v>
      </c>
      <c r="H60" s="3">
        <f t="shared" si="2"/>
        <v>4760</v>
      </c>
      <c r="I60" s="3">
        <f t="shared" si="3"/>
        <v>6346</v>
      </c>
      <c r="J60" s="3">
        <f t="shared" si="4"/>
        <v>6346</v>
      </c>
    </row>
    <row r="61" spans="2:10">
      <c r="B61" s="16">
        <v>40</v>
      </c>
      <c r="C61" s="3">
        <f t="shared" si="6"/>
        <v>8726</v>
      </c>
      <c r="D61" s="3">
        <f>SUM($C$22:C61)</f>
        <v>89269</v>
      </c>
      <c r="E61" s="3">
        <f t="shared" si="0"/>
        <v>8726</v>
      </c>
      <c r="F61" s="3">
        <f>SUM($E$22:E61)</f>
        <v>89269</v>
      </c>
      <c r="G61" s="3">
        <f t="shared" si="1"/>
        <v>5236</v>
      </c>
      <c r="H61" s="3">
        <f t="shared" si="2"/>
        <v>5236</v>
      </c>
      <c r="I61" s="3">
        <f t="shared" si="3"/>
        <v>6981</v>
      </c>
      <c r="J61" s="3">
        <f t="shared" si="4"/>
        <v>6981</v>
      </c>
    </row>
    <row r="62" spans="2:10">
      <c r="B62" s="16">
        <v>41</v>
      </c>
      <c r="C62" s="3">
        <f t="shared" si="6"/>
        <v>9599</v>
      </c>
      <c r="D62" s="3">
        <f>SUM($C$22:C62)</f>
        <v>98868</v>
      </c>
      <c r="E62" s="3">
        <f t="shared" si="0"/>
        <v>9599</v>
      </c>
      <c r="F62" s="3">
        <f>SUM($E$22:E62)</f>
        <v>98868</v>
      </c>
      <c r="G62" s="3">
        <f t="shared" si="1"/>
        <v>5759</v>
      </c>
      <c r="H62" s="3">
        <f t="shared" si="2"/>
        <v>5759</v>
      </c>
      <c r="I62" s="3">
        <f t="shared" si="3"/>
        <v>7679</v>
      </c>
      <c r="J62" s="3">
        <f t="shared" si="4"/>
        <v>7679</v>
      </c>
    </row>
    <row r="63" spans="2:10">
      <c r="B63" s="16">
        <v>42</v>
      </c>
      <c r="C63" s="3">
        <f t="shared" si="6"/>
        <v>10559</v>
      </c>
      <c r="D63" s="3">
        <f>SUM($C$22:C63)</f>
        <v>109427</v>
      </c>
      <c r="E63" s="3">
        <f t="shared" si="0"/>
        <v>10559</v>
      </c>
      <c r="F63" s="3">
        <f>SUM($E$22:E63)</f>
        <v>109427</v>
      </c>
      <c r="G63" s="3">
        <f t="shared" si="1"/>
        <v>6335</v>
      </c>
      <c r="H63" s="3">
        <f t="shared" si="2"/>
        <v>6335</v>
      </c>
      <c r="I63" s="3">
        <f t="shared" si="3"/>
        <v>8447</v>
      </c>
      <c r="J63" s="3">
        <f t="shared" si="4"/>
        <v>8447</v>
      </c>
    </row>
    <row r="64" spans="2:10">
      <c r="B64" s="16">
        <v>43</v>
      </c>
      <c r="C64" s="3">
        <f t="shared" si="6"/>
        <v>11615</v>
      </c>
      <c r="D64" s="3">
        <f>SUM($C$22:C64)</f>
        <v>121042</v>
      </c>
      <c r="E64" s="3">
        <f t="shared" si="0"/>
        <v>11615</v>
      </c>
      <c r="F64" s="3">
        <f>SUM($E$22:E64)</f>
        <v>121042</v>
      </c>
      <c r="G64" s="3">
        <f t="shared" si="1"/>
        <v>6969</v>
      </c>
      <c r="H64" s="3">
        <f t="shared" si="2"/>
        <v>6969</v>
      </c>
      <c r="I64" s="3">
        <f t="shared" si="3"/>
        <v>9292</v>
      </c>
      <c r="J64" s="3">
        <f t="shared" si="4"/>
        <v>9292</v>
      </c>
    </row>
    <row r="65" spans="2:10">
      <c r="B65" s="16">
        <v>44</v>
      </c>
      <c r="C65" s="3">
        <f t="shared" si="6"/>
        <v>12777</v>
      </c>
      <c r="D65" s="3">
        <f>SUM($C$22:C65)</f>
        <v>133819</v>
      </c>
      <c r="E65" s="3">
        <f t="shared" si="0"/>
        <v>12777</v>
      </c>
      <c r="F65" s="3">
        <f>SUM($E$22:E65)</f>
        <v>133819</v>
      </c>
      <c r="G65" s="3">
        <f t="shared" si="1"/>
        <v>7666</v>
      </c>
      <c r="H65" s="3">
        <f t="shared" si="2"/>
        <v>7666</v>
      </c>
      <c r="I65" s="3">
        <f t="shared" si="3"/>
        <v>10222</v>
      </c>
      <c r="J65" s="3">
        <f t="shared" si="4"/>
        <v>10222</v>
      </c>
    </row>
    <row r="66" spans="2:10">
      <c r="B66" s="16">
        <v>45</v>
      </c>
      <c r="C66" s="3">
        <f t="shared" si="6"/>
        <v>14055</v>
      </c>
      <c r="D66" s="3">
        <f>SUM($C$22:C66)</f>
        <v>147874</v>
      </c>
      <c r="E66" s="3">
        <f t="shared" si="0"/>
        <v>14055</v>
      </c>
      <c r="F66" s="3">
        <f>SUM($E$22:E66)</f>
        <v>147874</v>
      </c>
      <c r="G66" s="3">
        <f t="shared" si="1"/>
        <v>8433</v>
      </c>
      <c r="H66" s="3">
        <f t="shared" si="2"/>
        <v>8433</v>
      </c>
      <c r="I66" s="3">
        <f t="shared" si="3"/>
        <v>11244</v>
      </c>
      <c r="J66" s="3">
        <f t="shared" si="4"/>
        <v>11244</v>
      </c>
    </row>
    <row r="67" spans="2:10">
      <c r="B67" s="16">
        <v>46</v>
      </c>
      <c r="C67" s="3">
        <f t="shared" si="6"/>
        <v>15461</v>
      </c>
      <c r="D67" s="3">
        <f>SUM($C$22:C67)</f>
        <v>163335</v>
      </c>
      <c r="E67" s="3">
        <f t="shared" si="0"/>
        <v>15461</v>
      </c>
      <c r="F67" s="3">
        <f>SUM($E$22:E67)</f>
        <v>163335</v>
      </c>
      <c r="G67" s="3">
        <f t="shared" si="1"/>
        <v>9277</v>
      </c>
      <c r="H67" s="3">
        <f t="shared" si="2"/>
        <v>9277</v>
      </c>
      <c r="I67" s="3">
        <f t="shared" si="3"/>
        <v>12369</v>
      </c>
      <c r="J67" s="3">
        <f t="shared" si="4"/>
        <v>12369</v>
      </c>
    </row>
    <row r="68" spans="2:10">
      <c r="B68" s="16">
        <v>47</v>
      </c>
      <c r="C68" s="3">
        <f t="shared" si="6"/>
        <v>17007</v>
      </c>
      <c r="D68" s="3">
        <f>SUM($C$22:C68)</f>
        <v>180342</v>
      </c>
      <c r="E68" s="3">
        <f t="shared" si="0"/>
        <v>17007</v>
      </c>
      <c r="F68" s="3">
        <f>SUM($E$22:E68)</f>
        <v>180342</v>
      </c>
      <c r="G68" s="3">
        <f t="shared" si="1"/>
        <v>10204</v>
      </c>
      <c r="H68" s="3">
        <f t="shared" si="2"/>
        <v>10204</v>
      </c>
      <c r="I68" s="3">
        <f t="shared" si="3"/>
        <v>13606</v>
      </c>
      <c r="J68" s="3">
        <f t="shared" si="4"/>
        <v>13606</v>
      </c>
    </row>
    <row r="69" spans="2:10">
      <c r="B69" s="16">
        <v>48</v>
      </c>
      <c r="C69" s="3">
        <f t="shared" si="6"/>
        <v>18708</v>
      </c>
      <c r="D69" s="3">
        <f>SUM($C$22:C69)</f>
        <v>199050</v>
      </c>
      <c r="E69" s="3">
        <f t="shared" si="0"/>
        <v>18708</v>
      </c>
      <c r="F69" s="3">
        <f>SUM($E$22:E69)</f>
        <v>199050</v>
      </c>
      <c r="G69" s="3">
        <f t="shared" si="1"/>
        <v>11225</v>
      </c>
      <c r="H69" s="3">
        <f t="shared" si="2"/>
        <v>11225</v>
      </c>
      <c r="I69" s="3">
        <f t="shared" si="3"/>
        <v>14966</v>
      </c>
      <c r="J69" s="3">
        <f t="shared" si="4"/>
        <v>14966</v>
      </c>
    </row>
    <row r="70" spans="2:10">
      <c r="B70" s="16">
        <v>49</v>
      </c>
      <c r="C70" s="3">
        <f t="shared" si="6"/>
        <v>20579</v>
      </c>
      <c r="D70" s="3">
        <f>SUM($C$22:C70)</f>
        <v>219629</v>
      </c>
      <c r="E70" s="3">
        <f t="shared" si="0"/>
        <v>20579</v>
      </c>
      <c r="F70" s="3">
        <f>SUM($E$22:E70)</f>
        <v>219629</v>
      </c>
      <c r="G70" s="3">
        <f t="shared" si="1"/>
        <v>12347</v>
      </c>
      <c r="H70" s="3">
        <f t="shared" si="2"/>
        <v>12347</v>
      </c>
      <c r="I70" s="3">
        <f t="shared" si="3"/>
        <v>16463</v>
      </c>
      <c r="J70" s="3">
        <f t="shared" si="4"/>
        <v>16463</v>
      </c>
    </row>
    <row r="71" spans="2:10">
      <c r="B71" s="16">
        <v>50</v>
      </c>
      <c r="C71" s="3">
        <f t="shared" ref="C71:C81" si="7">ROUND(C70*1.05,0)</f>
        <v>21608</v>
      </c>
      <c r="D71" s="3">
        <f>SUM($C$22:C71)</f>
        <v>241237</v>
      </c>
      <c r="E71" s="3">
        <f t="shared" si="0"/>
        <v>21608</v>
      </c>
      <c r="F71" s="3">
        <f>SUM($E$22:E71)</f>
        <v>241237</v>
      </c>
      <c r="G71" s="3">
        <f t="shared" si="1"/>
        <v>12965</v>
      </c>
      <c r="H71" s="3">
        <f t="shared" si="2"/>
        <v>12965</v>
      </c>
      <c r="I71" s="3">
        <f t="shared" si="3"/>
        <v>17286</v>
      </c>
      <c r="J71" s="3">
        <f t="shared" si="4"/>
        <v>17286</v>
      </c>
    </row>
    <row r="72" spans="2:10">
      <c r="B72" s="16">
        <v>51</v>
      </c>
      <c r="C72" s="3">
        <f t="shared" si="7"/>
        <v>22688</v>
      </c>
      <c r="D72" s="3">
        <f>SUM($C$22:C72)</f>
        <v>263925</v>
      </c>
      <c r="E72" s="3">
        <f t="shared" si="0"/>
        <v>22688</v>
      </c>
      <c r="F72" s="3">
        <f>SUM($E$22:E72)</f>
        <v>263925</v>
      </c>
      <c r="G72" s="3">
        <f t="shared" si="1"/>
        <v>13613</v>
      </c>
      <c r="H72" s="3">
        <f t="shared" si="2"/>
        <v>13613</v>
      </c>
      <c r="I72" s="3">
        <f t="shared" si="3"/>
        <v>18150</v>
      </c>
      <c r="J72" s="3">
        <f t="shared" si="4"/>
        <v>18150</v>
      </c>
    </row>
    <row r="73" spans="2:10">
      <c r="B73" s="16">
        <v>52</v>
      </c>
      <c r="C73" s="3">
        <f t="shared" si="7"/>
        <v>23822</v>
      </c>
      <c r="D73" s="3">
        <f>SUM($C$22:C73)</f>
        <v>287747</v>
      </c>
      <c r="E73" s="3">
        <f t="shared" si="0"/>
        <v>23822</v>
      </c>
      <c r="F73" s="3">
        <f>SUM($E$22:E73)</f>
        <v>287747</v>
      </c>
      <c r="G73" s="3">
        <f t="shared" si="1"/>
        <v>14293</v>
      </c>
      <c r="H73" s="3">
        <f t="shared" si="2"/>
        <v>14293</v>
      </c>
      <c r="I73" s="3">
        <f t="shared" si="3"/>
        <v>19058</v>
      </c>
      <c r="J73" s="3">
        <f t="shared" si="4"/>
        <v>19058</v>
      </c>
    </row>
    <row r="74" spans="2:10">
      <c r="B74" s="16">
        <v>53</v>
      </c>
      <c r="C74" s="3">
        <f t="shared" si="7"/>
        <v>25013</v>
      </c>
      <c r="D74" s="3">
        <f>SUM($C$22:C74)</f>
        <v>312760</v>
      </c>
      <c r="E74" s="3">
        <f t="shared" si="0"/>
        <v>25013</v>
      </c>
      <c r="F74" s="3">
        <f>SUM($E$22:E74)</f>
        <v>312760</v>
      </c>
      <c r="G74" s="3">
        <f t="shared" si="1"/>
        <v>15008</v>
      </c>
      <c r="H74" s="3">
        <f t="shared" si="2"/>
        <v>15008</v>
      </c>
      <c r="I74" s="3">
        <f t="shared" si="3"/>
        <v>20010</v>
      </c>
      <c r="J74" s="3">
        <f t="shared" si="4"/>
        <v>20010</v>
      </c>
    </row>
    <row r="75" spans="2:10">
      <c r="B75" s="16">
        <v>54</v>
      </c>
      <c r="C75" s="3">
        <f t="shared" si="7"/>
        <v>26264</v>
      </c>
      <c r="D75" s="3">
        <f>SUM($C$22:C75)</f>
        <v>339024</v>
      </c>
      <c r="E75" s="3">
        <f t="shared" si="0"/>
        <v>26264</v>
      </c>
      <c r="F75" s="3">
        <f>SUM($E$22:E75)</f>
        <v>339024</v>
      </c>
      <c r="G75" s="3">
        <f t="shared" si="1"/>
        <v>15758</v>
      </c>
      <c r="H75" s="3">
        <f t="shared" si="2"/>
        <v>15758</v>
      </c>
      <c r="I75" s="3">
        <f t="shared" si="3"/>
        <v>21011</v>
      </c>
      <c r="J75" s="3">
        <f t="shared" si="4"/>
        <v>21011</v>
      </c>
    </row>
    <row r="76" spans="2:10">
      <c r="B76" s="16">
        <v>55</v>
      </c>
      <c r="C76" s="3">
        <f t="shared" si="7"/>
        <v>27577</v>
      </c>
      <c r="D76" s="3">
        <f>SUM($C$22:C76)</f>
        <v>366601</v>
      </c>
      <c r="E76" s="3">
        <f t="shared" si="0"/>
        <v>27577</v>
      </c>
      <c r="F76" s="3">
        <f>SUM($E$22:E76)</f>
        <v>366601</v>
      </c>
      <c r="G76" s="3">
        <f t="shared" si="1"/>
        <v>16546</v>
      </c>
      <c r="H76" s="3">
        <f t="shared" si="2"/>
        <v>16546</v>
      </c>
      <c r="I76" s="3">
        <f t="shared" si="3"/>
        <v>22062</v>
      </c>
      <c r="J76" s="3">
        <f t="shared" si="4"/>
        <v>22062</v>
      </c>
    </row>
    <row r="77" spans="2:10">
      <c r="B77" s="16">
        <v>56</v>
      </c>
      <c r="C77" s="3">
        <f t="shared" si="7"/>
        <v>28956</v>
      </c>
      <c r="D77" s="3">
        <f>SUM($C$22:C77)</f>
        <v>395557</v>
      </c>
      <c r="E77" s="3">
        <f t="shared" si="0"/>
        <v>28956</v>
      </c>
      <c r="F77" s="3">
        <f>SUM($E$22:E77)</f>
        <v>395557</v>
      </c>
      <c r="G77" s="3">
        <f t="shared" si="1"/>
        <v>17374</v>
      </c>
      <c r="H77" s="3">
        <f t="shared" si="2"/>
        <v>17374</v>
      </c>
      <c r="I77" s="3">
        <f t="shared" si="3"/>
        <v>23165</v>
      </c>
      <c r="J77" s="3">
        <f t="shared" si="4"/>
        <v>23165</v>
      </c>
    </row>
    <row r="78" spans="2:10">
      <c r="B78" s="16">
        <v>57</v>
      </c>
      <c r="C78" s="3">
        <f t="shared" si="7"/>
        <v>30404</v>
      </c>
      <c r="D78" s="3">
        <f>SUM($C$22:C78)</f>
        <v>425961</v>
      </c>
      <c r="E78" s="3">
        <f t="shared" si="0"/>
        <v>30404</v>
      </c>
      <c r="F78" s="3">
        <f>SUM($E$22:E78)</f>
        <v>425961</v>
      </c>
      <c r="G78" s="3">
        <f t="shared" si="1"/>
        <v>18242</v>
      </c>
      <c r="H78" s="3">
        <f t="shared" si="2"/>
        <v>18242</v>
      </c>
      <c r="I78" s="3">
        <f t="shared" si="3"/>
        <v>24323</v>
      </c>
      <c r="J78" s="3">
        <f t="shared" si="4"/>
        <v>24323</v>
      </c>
    </row>
    <row r="79" spans="2:10">
      <c r="B79" s="16">
        <v>58</v>
      </c>
      <c r="C79" s="3">
        <f t="shared" si="7"/>
        <v>31924</v>
      </c>
      <c r="D79" s="3">
        <f>SUM($C$22:C79)</f>
        <v>457885</v>
      </c>
      <c r="E79" s="3">
        <f t="shared" si="0"/>
        <v>31924</v>
      </c>
      <c r="F79" s="3">
        <f>SUM($E$22:E79)</f>
        <v>457885</v>
      </c>
      <c r="G79" s="3">
        <f t="shared" si="1"/>
        <v>19154</v>
      </c>
      <c r="H79" s="3">
        <f t="shared" si="2"/>
        <v>19154</v>
      </c>
      <c r="I79" s="3">
        <f t="shared" si="3"/>
        <v>25539</v>
      </c>
      <c r="J79" s="3">
        <f t="shared" si="4"/>
        <v>25539</v>
      </c>
    </row>
    <row r="80" spans="2:10">
      <c r="B80" s="16">
        <v>59</v>
      </c>
      <c r="C80" s="3">
        <f t="shared" si="7"/>
        <v>33520</v>
      </c>
      <c r="D80" s="3">
        <f>SUM($C$22:C80)</f>
        <v>491405</v>
      </c>
      <c r="E80" s="3">
        <f t="shared" si="0"/>
        <v>33520</v>
      </c>
      <c r="F80" s="3">
        <f>SUM($E$22:E80)</f>
        <v>491405</v>
      </c>
      <c r="G80" s="3">
        <f t="shared" si="1"/>
        <v>20112</v>
      </c>
      <c r="H80" s="3">
        <f t="shared" si="2"/>
        <v>20112</v>
      </c>
      <c r="I80" s="3">
        <f t="shared" si="3"/>
        <v>26816</v>
      </c>
      <c r="J80" s="3">
        <f t="shared" si="4"/>
        <v>26816</v>
      </c>
    </row>
    <row r="81" spans="2:10">
      <c r="B81" s="16">
        <v>60</v>
      </c>
      <c r="C81" s="3">
        <f t="shared" si="7"/>
        <v>35196</v>
      </c>
      <c r="D81" s="3">
        <f>SUM($C$22:C81)</f>
        <v>526601</v>
      </c>
      <c r="E81" s="3">
        <f t="shared" si="0"/>
        <v>35196</v>
      </c>
      <c r="F81" s="3">
        <f>SUM($E$22:E81)</f>
        <v>526601</v>
      </c>
      <c r="G81" s="3">
        <f t="shared" si="1"/>
        <v>21118</v>
      </c>
      <c r="H81" s="3">
        <f t="shared" si="2"/>
        <v>21118</v>
      </c>
      <c r="I81" s="3">
        <f t="shared" si="3"/>
        <v>28157</v>
      </c>
      <c r="J81" s="3">
        <f t="shared" si="4"/>
        <v>28157</v>
      </c>
    </row>
  </sheetData>
  <mergeCells count="1">
    <mergeCell ref="L30:M30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U105"/>
  <sheetViews>
    <sheetView workbookViewId="0">
      <selection activeCell="L31" sqref="L31"/>
    </sheetView>
  </sheetViews>
  <sheetFormatPr defaultColWidth="9" defaultRowHeight="16.5"/>
  <cols>
    <col min="1" max="3" width="9" style="3" customWidth="1"/>
    <col min="4" max="4" width="11.625" style="3" customWidth="1"/>
    <col min="5" max="6" width="12.875" style="3" customWidth="1"/>
    <col min="7" max="7" width="15.5" style="3" customWidth="1"/>
    <col min="8" max="8" width="12.875" style="3" customWidth="1"/>
    <col min="9" max="9" width="12.875" style="3" hidden="1" customWidth="1"/>
    <col min="10" max="10" width="16" style="3" hidden="1" customWidth="1"/>
    <col min="11" max="11" width="12.875" style="3" customWidth="1"/>
    <col min="12" max="14" width="14.125" style="16" customWidth="1"/>
    <col min="15" max="15" width="17.5" style="16" customWidth="1"/>
    <col min="16" max="16" width="13.375" style="3" customWidth="1"/>
    <col min="17" max="17" width="10" style="3" customWidth="1"/>
    <col min="18" max="18" width="9" style="3" customWidth="1"/>
    <col min="19" max="19" width="17.5" style="16" customWidth="1"/>
    <col min="20" max="20" width="11.75" style="16" customWidth="1"/>
    <col min="21" max="21" width="9.75" style="16" customWidth="1"/>
    <col min="22" max="16384" width="9" style="3" customWidth="1"/>
  </cols>
  <sheetData>
    <row r="2" s="3" customFormat="1" spans="2:21">
      <c r="B2" s="3" t="s">
        <v>1160</v>
      </c>
      <c r="D2" s="5">
        <v>60</v>
      </c>
      <c r="F2" s="3">
        <f>MAX($F$5:$F$63)/U18</f>
        <v>29.348275862069</v>
      </c>
      <c r="G2" s="3">
        <f>MAX($F$5:$F$63)/U16</f>
        <v>56.74</v>
      </c>
      <c r="L2" s="16"/>
      <c r="M2" s="16"/>
      <c r="N2" s="16"/>
      <c r="O2" s="16"/>
      <c r="S2" s="16"/>
      <c r="T2" s="16"/>
      <c r="U2" s="16"/>
    </row>
    <row r="3" s="3" customFormat="1" spans="2:21">
      <c r="F3" s="3">
        <f>F63/U16</f>
        <v>56.74</v>
      </c>
      <c r="L3" s="16"/>
      <c r="M3" s="16"/>
      <c r="N3" s="16"/>
      <c r="O3" s="16"/>
      <c r="S3" s="229" t="s">
        <v>1161</v>
      </c>
      <c r="T3" s="16"/>
      <c r="U3" s="16"/>
    </row>
    <row r="4" s="3" customFormat="1" spans="2:21">
      <c r="B4" s="19" t="s">
        <v>1041</v>
      </c>
      <c r="C4" s="19" t="s">
        <v>1162</v>
      </c>
      <c r="D4" s="19" t="s">
        <v>1163</v>
      </c>
      <c r="E4" s="19" t="s">
        <v>1164</v>
      </c>
      <c r="F4" s="19" t="s">
        <v>1165</v>
      </c>
      <c r="G4" s="19" t="s">
        <v>1166</v>
      </c>
      <c r="H4" s="19" t="s">
        <v>1167</v>
      </c>
      <c r="I4" s="19"/>
      <c r="J4" s="19"/>
      <c r="K4" s="19" t="s">
        <v>1168</v>
      </c>
      <c r="L4" s="16"/>
      <c r="M4" s="16"/>
      <c r="N4" s="19" t="s">
        <v>1169</v>
      </c>
      <c r="O4" s="19" t="s">
        <v>1170</v>
      </c>
      <c r="P4" s="19" t="s">
        <v>1171</v>
      </c>
      <c r="Q4" s="19" t="s">
        <v>1172</v>
      </c>
      <c r="S4" s="19" t="s">
        <v>1173</v>
      </c>
      <c r="T4" s="19" t="s">
        <v>1174</v>
      </c>
      <c r="U4" s="19" t="s">
        <v>1175</v>
      </c>
    </row>
    <row r="5" s="3" customFormat="1" spans="2:21">
      <c r="B5" s="3">
        <f t="array" ref="B5:B64">_xlfn.SEQUENCE(D2,1,1,1)</f>
        <v>1</v>
      </c>
      <c r="C5" s="3">
        <v>10</v>
      </c>
      <c r="D5" s="5">
        <v>80</v>
      </c>
      <c r="E5" s="3">
        <v>0</v>
      </c>
      <c r="F5" s="3">
        <f>SUM($D$5:D5)</f>
        <v>80</v>
      </c>
      <c r="G5" s="3">
        <f>SUM($D$5:D5)-10*SUM($E$5:E5)</f>
        <v>80</v>
      </c>
      <c r="H5" s="3">
        <f t="array" ref="H5">INDEX($N$5:$N$18,MATCH(MIN(IF($P$5:$P$18&gt;B5,$P$5:$P$18)),$P$5:$P$18,0))</f>
        <v>0</v>
      </c>
      <c r="I5" s="3">
        <f t="shared" ref="I5:I43" si="0">VLOOKUP(H5,$N$5:$O$18,2,0)/COUNTIF($H$5:$H$74,H5)</f>
        <v>1</v>
      </c>
      <c r="J5" s="3">
        <f t="shared" ref="J5:J43" si="1">IF(H5&lt;&gt;H4,I5,J4+I4)</f>
        <v>1</v>
      </c>
      <c r="K5" s="3">
        <f t="shared" ref="K5:K43" si="2">ROUND(J5,0)</f>
        <v>1</v>
      </c>
      <c r="L5" s="16"/>
      <c r="M5" s="16"/>
      <c r="N5" s="16">
        <v>0</v>
      </c>
      <c r="O5" s="16">
        <v>5</v>
      </c>
      <c r="P5" s="16">
        <v>6</v>
      </c>
      <c r="Q5" s="16">
        <f t="array" ref="Q5">_xlfn.IFNA(INDEX(_xlfn.ANCHORARRAY($N$43),MATCH(P5,$P$43:$P$98))+1,1)</f>
        <v>1</v>
      </c>
      <c r="S5" s="16" t="s">
        <v>1176</v>
      </c>
      <c r="T5" s="179">
        <v>240</v>
      </c>
      <c r="U5" s="16">
        <f>T5*10</f>
        <v>2400</v>
      </c>
    </row>
    <row r="6" s="3" customFormat="1" spans="2:21">
      <c r="B6" s="3">
        <v>2</v>
      </c>
      <c r="C6" s="3">
        <v>10</v>
      </c>
      <c r="D6" s="3">
        <f t="shared" ref="D6:D64" si="3">C6+D5</f>
        <v>90</v>
      </c>
      <c r="E6" s="3">
        <v>5</v>
      </c>
      <c r="F6" s="3">
        <f>SUM($D$5:D6)</f>
        <v>170</v>
      </c>
      <c r="G6" s="3">
        <f>SUM($D$5:D6)-10*SUM($E$5:E6)</f>
        <v>120</v>
      </c>
      <c r="H6" s="3">
        <f t="array" ref="H6">INDEX($N$5:$N$18,MATCH(MIN(IF($P$5:$P$18&gt;B6,$P$5:$P$18)),$P$5:$P$18,0))</f>
        <v>0</v>
      </c>
      <c r="I6" s="3">
        <f t="shared" si="0"/>
        <v>1</v>
      </c>
      <c r="J6" s="3">
        <f t="shared" si="1"/>
        <v>2</v>
      </c>
      <c r="K6" s="3">
        <f t="shared" si="2"/>
        <v>2</v>
      </c>
      <c r="L6" s="16"/>
      <c r="M6" s="16"/>
      <c r="N6" s="16">
        <v>1</v>
      </c>
      <c r="O6" s="16">
        <v>10</v>
      </c>
      <c r="P6" s="16">
        <v>14</v>
      </c>
      <c r="Q6" s="16">
        <f t="array" ref="Q6">_xlfn.IFNA(INDEX(_xlfn.ANCHORARRAY($N$43),MATCH(P6,$P$43:$P$98))+1,1)</f>
        <v>1</v>
      </c>
      <c r="S6" s="16" t="s">
        <v>154</v>
      </c>
      <c r="T6" s="16">
        <v>0</v>
      </c>
      <c r="U6" s="179">
        <v>1500</v>
      </c>
    </row>
    <row r="7" s="3" customFormat="1" spans="2:21">
      <c r="B7" s="3">
        <v>3</v>
      </c>
      <c r="C7" s="3">
        <v>10</v>
      </c>
      <c r="D7" s="3">
        <f t="shared" si="3"/>
        <v>100</v>
      </c>
      <c r="E7" s="3">
        <v>5</v>
      </c>
      <c r="F7" s="3">
        <f>SUM($D$5:D7)</f>
        <v>270</v>
      </c>
      <c r="G7" s="3">
        <f>SUM($D$5:D7)-10*SUM($E$5:E7)</f>
        <v>170</v>
      </c>
      <c r="H7" s="3">
        <f t="array" ref="H7">INDEX($N$5:$N$18,MATCH(MIN(IF($P$5:$P$18&gt;B7,$P$5:$P$18)),$P$5:$P$18,0))</f>
        <v>0</v>
      </c>
      <c r="I7" s="3">
        <f t="shared" si="0"/>
        <v>1</v>
      </c>
      <c r="J7" s="3">
        <f t="shared" si="1"/>
        <v>3</v>
      </c>
      <c r="K7" s="3">
        <f t="shared" si="2"/>
        <v>3</v>
      </c>
      <c r="L7" s="16"/>
      <c r="M7" s="16"/>
      <c r="N7" s="16">
        <v>2</v>
      </c>
      <c r="O7" s="16">
        <v>15</v>
      </c>
      <c r="P7" s="16">
        <v>20</v>
      </c>
      <c r="Q7" s="16">
        <f t="array" ref="Q7">_xlfn.IFNA(INDEX(_xlfn.ANCHORARRAY($N$43),MATCH(P7,$P$43:$P$98))+1,1)</f>
        <v>1</v>
      </c>
      <c r="S7" s="16" t="s">
        <v>1177</v>
      </c>
      <c r="T7" s="179">
        <v>60</v>
      </c>
      <c r="U7" s="16">
        <f t="shared" ref="U7:U14" si="4">T7*10</f>
        <v>600</v>
      </c>
    </row>
    <row r="8" s="3" customFormat="1" spans="2:21">
      <c r="B8" s="3">
        <v>4</v>
      </c>
      <c r="C8" s="3">
        <v>10</v>
      </c>
      <c r="D8" s="3">
        <f t="shared" si="3"/>
        <v>110</v>
      </c>
      <c r="E8" s="3">
        <v>5</v>
      </c>
      <c r="F8" s="3">
        <f>SUM($D$5:D8)</f>
        <v>380</v>
      </c>
      <c r="G8" s="3">
        <f>SUM($D$5:D8)-10*SUM($E$5:E8)</f>
        <v>230</v>
      </c>
      <c r="H8" s="3">
        <f t="array" ref="H8">INDEX($N$5:$N$18,MATCH(MIN(IF($P$5:$P$18&gt;B8,$P$5:$P$18)),$P$5:$P$18,0))</f>
        <v>0</v>
      </c>
      <c r="I8" s="3">
        <f t="shared" si="0"/>
        <v>1</v>
      </c>
      <c r="J8" s="3">
        <f t="shared" si="1"/>
        <v>4</v>
      </c>
      <c r="K8" s="3">
        <f t="shared" si="2"/>
        <v>4</v>
      </c>
      <c r="L8" s="16"/>
      <c r="M8" s="16"/>
      <c r="N8" s="16">
        <v>3</v>
      </c>
      <c r="O8" s="16">
        <v>15</v>
      </c>
      <c r="P8" s="16">
        <v>25</v>
      </c>
      <c r="Q8" s="16">
        <f t="array" ref="Q8">_xlfn.IFNA(INDEX(_xlfn.ANCHORARRAY($N$43),MATCH(P8,$P$43:$P$98))+1,1)</f>
        <v>2</v>
      </c>
      <c r="S8" s="16" t="s">
        <v>1178</v>
      </c>
      <c r="T8" s="179">
        <v>60</v>
      </c>
      <c r="U8" s="16">
        <f t="shared" si="4"/>
        <v>600</v>
      </c>
    </row>
    <row r="9" s="3" customFormat="1" spans="2:21">
      <c r="B9" s="3">
        <v>5</v>
      </c>
      <c r="C9" s="3">
        <v>10</v>
      </c>
      <c r="D9" s="3">
        <f t="shared" si="3"/>
        <v>120</v>
      </c>
      <c r="E9" s="3">
        <v>5</v>
      </c>
      <c r="F9" s="3">
        <f>SUM($D$5:D9)</f>
        <v>500</v>
      </c>
      <c r="G9" s="3">
        <f>SUM($D$5:D9)-10*SUM($E$5:E9)</f>
        <v>300</v>
      </c>
      <c r="H9" s="3">
        <f t="array" ref="H9">INDEX($N$5:$N$18,MATCH(MIN(IF($P$5:$P$18&gt;B9,$P$5:$P$18)),$P$5:$P$18,0))</f>
        <v>0</v>
      </c>
      <c r="I9" s="3">
        <f t="shared" si="0"/>
        <v>1</v>
      </c>
      <c r="J9" s="3">
        <f t="shared" si="1"/>
        <v>5</v>
      </c>
      <c r="K9" s="3">
        <f t="shared" si="2"/>
        <v>5</v>
      </c>
      <c r="L9" s="16"/>
      <c r="M9" s="16"/>
      <c r="N9" s="16">
        <v>4</v>
      </c>
      <c r="O9" s="16">
        <v>15</v>
      </c>
      <c r="P9" s="16">
        <v>30</v>
      </c>
      <c r="Q9" s="16">
        <f t="array" ref="Q9">_xlfn.IFNA(INDEX(_xlfn.ANCHORARRAY($N$43),MATCH(P9,$P$43:$P$98))+1,1)</f>
        <v>2</v>
      </c>
      <c r="S9" s="16" t="s">
        <v>1179</v>
      </c>
      <c r="T9" s="179">
        <v>60</v>
      </c>
      <c r="U9" s="16">
        <f t="shared" si="4"/>
        <v>600</v>
      </c>
    </row>
    <row r="10" s="3" customFormat="1" spans="2:21">
      <c r="B10" s="3">
        <v>6</v>
      </c>
      <c r="C10" s="3">
        <v>10</v>
      </c>
      <c r="D10" s="3">
        <f t="shared" si="3"/>
        <v>130</v>
      </c>
      <c r="E10" s="3">
        <v>5</v>
      </c>
      <c r="F10" s="3">
        <f>SUM($D$5:D10)</f>
        <v>630</v>
      </c>
      <c r="G10" s="3">
        <f>SUM($D$5:D10)-10*SUM($E$5:E10)</f>
        <v>380</v>
      </c>
      <c r="H10" s="3">
        <f t="array" ref="H10">INDEX($N$5:$N$18,MATCH(MIN(IF($P$5:$P$18&gt;B10,$P$5:$P$18)),$P$5:$P$18,0))</f>
        <v>1</v>
      </c>
      <c r="I10" s="3">
        <f t="shared" si="0"/>
        <v>1.25</v>
      </c>
      <c r="J10" s="3">
        <f t="shared" si="1"/>
        <v>1.25</v>
      </c>
      <c r="K10" s="3">
        <f t="shared" si="2"/>
        <v>1</v>
      </c>
      <c r="L10" s="16"/>
      <c r="M10" s="16"/>
      <c r="N10" s="16">
        <v>5</v>
      </c>
      <c r="O10" s="16">
        <v>15</v>
      </c>
      <c r="P10" s="16">
        <v>34</v>
      </c>
      <c r="Q10" s="16">
        <f t="array" ref="Q10">_xlfn.IFNA(INDEX(_xlfn.ANCHORARRAY($N$43),MATCH(P10,$P$43:$P$98))+1,1)</f>
        <v>4</v>
      </c>
      <c r="S10" s="16" t="s">
        <v>1180</v>
      </c>
      <c r="T10" s="179">
        <v>60</v>
      </c>
      <c r="U10" s="16">
        <f t="shared" si="4"/>
        <v>600</v>
      </c>
    </row>
    <row r="11" s="3" customFormat="1" spans="2:21">
      <c r="B11" s="3">
        <v>7</v>
      </c>
      <c r="C11" s="3">
        <v>10</v>
      </c>
      <c r="D11" s="3">
        <f t="shared" si="3"/>
        <v>140</v>
      </c>
      <c r="E11" s="3">
        <v>5</v>
      </c>
      <c r="F11" s="3">
        <f>SUM($D$5:D11)</f>
        <v>770</v>
      </c>
      <c r="G11" s="3">
        <f>SUM($D$5:D11)-10*SUM($E$5:E11)</f>
        <v>470</v>
      </c>
      <c r="H11" s="3">
        <f t="array" ref="H11">INDEX($N$5:$N$18,MATCH(MIN(IF($P$5:$P$18&gt;B11,$P$5:$P$18)),$P$5:$P$18,0))</f>
        <v>1</v>
      </c>
      <c r="I11" s="3">
        <f t="shared" si="0"/>
        <v>1.25</v>
      </c>
      <c r="J11" s="3">
        <f t="shared" si="1"/>
        <v>2.5</v>
      </c>
      <c r="K11" s="3">
        <f t="shared" si="2"/>
        <v>3</v>
      </c>
      <c r="L11" s="16"/>
      <c r="M11" s="16"/>
      <c r="N11" s="16">
        <v>6</v>
      </c>
      <c r="O11" s="16">
        <v>15</v>
      </c>
      <c r="P11" s="16">
        <v>37</v>
      </c>
      <c r="Q11" s="16">
        <f t="array" ref="Q11">_xlfn.IFNA(INDEX(_xlfn.ANCHORARRAY($N$43),MATCH(P11,$P$43:$P$98))+1,1)</f>
        <v>5</v>
      </c>
      <c r="S11" s="16" t="s">
        <v>1181</v>
      </c>
      <c r="T11" s="179">
        <v>60</v>
      </c>
      <c r="U11" s="16">
        <f t="shared" si="4"/>
        <v>600</v>
      </c>
    </row>
    <row r="12" s="3" customFormat="1" spans="2:21">
      <c r="B12" s="3">
        <v>8</v>
      </c>
      <c r="C12" s="3">
        <v>10</v>
      </c>
      <c r="D12" s="3">
        <f t="shared" si="3"/>
        <v>150</v>
      </c>
      <c r="E12" s="3">
        <v>5</v>
      </c>
      <c r="F12" s="3">
        <f>SUM($D$5:D12)</f>
        <v>920</v>
      </c>
      <c r="G12" s="3">
        <f>SUM($D$5:D12)-10*SUM($E$5:E12)</f>
        <v>570</v>
      </c>
      <c r="H12" s="3">
        <f t="array" ref="H12">INDEX($N$5:$N$18,MATCH(MIN(IF($P$5:$P$18&gt;B12,$P$5:$P$18)),$P$5:$P$18,0))</f>
        <v>1</v>
      </c>
      <c r="I12" s="3">
        <f t="shared" si="0"/>
        <v>1.25</v>
      </c>
      <c r="J12" s="3">
        <f t="shared" si="1"/>
        <v>3.75</v>
      </c>
      <c r="K12" s="3">
        <f t="shared" si="2"/>
        <v>4</v>
      </c>
      <c r="L12" s="16"/>
      <c r="M12" s="16"/>
      <c r="N12" s="16">
        <v>7</v>
      </c>
      <c r="O12" s="16">
        <v>15</v>
      </c>
      <c r="P12" s="16">
        <v>40</v>
      </c>
      <c r="Q12" s="16">
        <f t="array" ref="Q12">_xlfn.IFNA(INDEX(_xlfn.ANCHORARRAY($N$43),MATCH(P12,$P$43:$P$98))+1,1)</f>
        <v>7</v>
      </c>
      <c r="S12" s="16" t="s">
        <v>1182</v>
      </c>
      <c r="T12" s="179">
        <v>60</v>
      </c>
      <c r="U12" s="16">
        <f t="shared" si="4"/>
        <v>600</v>
      </c>
    </row>
    <row r="13" s="3" customFormat="1" spans="2:21">
      <c r="B13" s="3">
        <v>9</v>
      </c>
      <c r="C13" s="3">
        <v>10</v>
      </c>
      <c r="D13" s="3">
        <f t="shared" si="3"/>
        <v>160</v>
      </c>
      <c r="E13" s="3">
        <v>5</v>
      </c>
      <c r="F13" s="3">
        <f>SUM($D$5:D13)</f>
        <v>1080</v>
      </c>
      <c r="G13" s="3">
        <f>SUM($D$5:D13)-10*SUM($E$5:E13)</f>
        <v>680</v>
      </c>
      <c r="H13" s="3">
        <f t="array" ref="H13">INDEX($N$5:$N$18,MATCH(MIN(IF($P$5:$P$18&gt;B13,$P$5:$P$18)),$P$5:$P$18,0))</f>
        <v>1</v>
      </c>
      <c r="I13" s="3">
        <f t="shared" si="0"/>
        <v>1.25</v>
      </c>
      <c r="J13" s="3">
        <f t="shared" si="1"/>
        <v>5</v>
      </c>
      <c r="K13" s="3">
        <f t="shared" si="2"/>
        <v>5</v>
      </c>
      <c r="L13" s="16"/>
      <c r="M13" s="16"/>
      <c r="N13" s="16"/>
      <c r="O13" s="16"/>
      <c r="P13" s="16"/>
      <c r="Q13" s="3"/>
      <c r="S13" s="16" t="s">
        <v>1183</v>
      </c>
      <c r="T13" s="179">
        <v>60</v>
      </c>
      <c r="U13" s="16">
        <f t="shared" si="4"/>
        <v>600</v>
      </c>
    </row>
    <row r="14" s="3" customFormat="1" spans="2:21">
      <c r="B14" s="3">
        <v>10</v>
      </c>
      <c r="C14" s="3">
        <v>10</v>
      </c>
      <c r="D14" s="3">
        <f t="shared" si="3"/>
        <v>170</v>
      </c>
      <c r="E14" s="3">
        <v>5</v>
      </c>
      <c r="F14" s="3">
        <f>SUM($D$5:D14)</f>
        <v>1250</v>
      </c>
      <c r="G14" s="3">
        <f>SUM($D$5:D14)-10*SUM($E$5:E14)</f>
        <v>800</v>
      </c>
      <c r="H14" s="3">
        <f t="array" ref="H14">INDEX($N$5:$N$18,MATCH(MIN(IF($P$5:$P$18&gt;B14,$P$5:$P$18)),$P$5:$P$18,0))</f>
        <v>1</v>
      </c>
      <c r="I14" s="3">
        <f t="shared" si="0"/>
        <v>1.25</v>
      </c>
      <c r="J14" s="3">
        <f t="shared" si="1"/>
        <v>6.25</v>
      </c>
      <c r="K14" s="3">
        <f t="shared" si="2"/>
        <v>6</v>
      </c>
      <c r="L14" s="16"/>
      <c r="M14" s="16"/>
      <c r="N14" s="16"/>
      <c r="O14" s="16"/>
      <c r="P14" s="16"/>
      <c r="Q14" s="3"/>
      <c r="S14" s="16" t="s">
        <v>1184</v>
      </c>
      <c r="T14" s="179">
        <v>60</v>
      </c>
      <c r="U14" s="16">
        <f t="shared" si="4"/>
        <v>600</v>
      </c>
    </row>
    <row r="15" s="3" customFormat="1" spans="2:21">
      <c r="B15" s="3">
        <v>11</v>
      </c>
      <c r="C15" s="3">
        <v>20</v>
      </c>
      <c r="D15" s="3">
        <f t="shared" si="3"/>
        <v>190</v>
      </c>
      <c r="E15" s="3">
        <v>10</v>
      </c>
      <c r="F15" s="3">
        <f>SUM($D$5:D15)</f>
        <v>1440</v>
      </c>
      <c r="G15" s="3">
        <f>SUM($D$5:D15)-10*SUM($E$5:E15)</f>
        <v>890</v>
      </c>
      <c r="H15" s="3">
        <f t="array" ref="H15">INDEX($N$5:$N$18,MATCH(MIN(IF($P$5:$P$18&gt;B15,$P$5:$P$18)),$P$5:$P$18,0))</f>
        <v>1</v>
      </c>
      <c r="I15" s="3">
        <f t="shared" si="0"/>
        <v>1.25</v>
      </c>
      <c r="J15" s="3">
        <f t="shared" si="1"/>
        <v>7.5</v>
      </c>
      <c r="K15" s="3">
        <f t="shared" si="2"/>
        <v>8</v>
      </c>
      <c r="L15" s="16"/>
      <c r="M15" s="16"/>
      <c r="N15" s="16"/>
      <c r="O15" s="16"/>
      <c r="P15" s="16"/>
      <c r="Q15" s="3"/>
      <c r="S15" s="16"/>
      <c r="T15" s="16"/>
      <c r="U15" s="16"/>
    </row>
    <row r="16" s="3" customFormat="1" spans="2:21">
      <c r="B16" s="3">
        <v>12</v>
      </c>
      <c r="C16" s="3">
        <v>20</v>
      </c>
      <c r="D16" s="3">
        <f t="shared" si="3"/>
        <v>210</v>
      </c>
      <c r="E16" s="3">
        <v>10</v>
      </c>
      <c r="F16" s="3">
        <f>SUM($D$5:D16)</f>
        <v>1650</v>
      </c>
      <c r="G16" s="3">
        <f>SUM($D$5:D16)-10*SUM($E$5:E16)</f>
        <v>1000</v>
      </c>
      <c r="H16" s="3">
        <f t="array" ref="H16">INDEX($N$5:$N$18,MATCH(MIN(IF($P$5:$P$18&gt;B16,$P$5:$P$18)),$P$5:$P$18,0))</f>
        <v>1</v>
      </c>
      <c r="I16" s="3">
        <f t="shared" si="0"/>
        <v>1.25</v>
      </c>
      <c r="J16" s="3">
        <f t="shared" si="1"/>
        <v>8.75</v>
      </c>
      <c r="K16" s="3">
        <f t="shared" si="2"/>
        <v>9</v>
      </c>
      <c r="L16" s="16"/>
      <c r="M16" s="16"/>
      <c r="N16" s="16"/>
      <c r="O16" s="16"/>
      <c r="P16" s="16"/>
      <c r="Q16" s="3"/>
      <c r="S16" s="16"/>
      <c r="T16" s="16" t="s">
        <v>1185</v>
      </c>
      <c r="U16" s="16">
        <f>SUM(U5:U7)</f>
        <v>4500</v>
      </c>
    </row>
    <row r="17" s="3" customFormat="1" spans="2:21">
      <c r="B17" s="3">
        <v>13</v>
      </c>
      <c r="C17" s="3">
        <v>20</v>
      </c>
      <c r="D17" s="3">
        <f t="shared" si="3"/>
        <v>230</v>
      </c>
      <c r="E17" s="3">
        <v>10</v>
      </c>
      <c r="F17" s="3">
        <f>SUM($D$5:D17)</f>
        <v>1880</v>
      </c>
      <c r="G17" s="3">
        <f>SUM($D$5:D17)-10*SUM($E$5:E17)</f>
        <v>1130</v>
      </c>
      <c r="H17" s="3">
        <f t="array" ref="H17">INDEX($N$5:$N$18,MATCH(MIN(IF($P$5:$P$18&gt;B17,$P$5:$P$18)),$P$5:$P$18,0))</f>
        <v>1</v>
      </c>
      <c r="I17" s="3">
        <f t="shared" si="0"/>
        <v>1.25</v>
      </c>
      <c r="J17" s="3">
        <f t="shared" si="1"/>
        <v>10</v>
      </c>
      <c r="K17" s="3">
        <f t="shared" si="2"/>
        <v>10</v>
      </c>
      <c r="L17" s="16"/>
      <c r="M17" s="16"/>
      <c r="N17" s="16"/>
      <c r="O17" s="16"/>
      <c r="P17" s="16"/>
      <c r="Q17" s="3"/>
      <c r="S17" s="16"/>
      <c r="T17" s="16" t="s">
        <v>1186</v>
      </c>
      <c r="U17" s="16">
        <f>SUM(U5:U9)</f>
        <v>5700</v>
      </c>
    </row>
    <row r="18" s="3" customFormat="1" spans="2:21">
      <c r="B18" s="3">
        <v>14</v>
      </c>
      <c r="C18" s="3">
        <v>20</v>
      </c>
      <c r="D18" s="3">
        <f t="shared" si="3"/>
        <v>250</v>
      </c>
      <c r="E18" s="3">
        <v>10</v>
      </c>
      <c r="F18" s="3">
        <f>SUM($D$5:D18)</f>
        <v>2130</v>
      </c>
      <c r="G18" s="3">
        <f>SUM($D$5:D18)-10*SUM($E$5:E18)</f>
        <v>1280</v>
      </c>
      <c r="H18" s="3">
        <f t="array" ref="H18">INDEX($N$5:$N$18,MATCH(MIN(IF($P$5:$P$18&gt;B18,$P$5:$P$18)),$P$5:$P$18,0))</f>
        <v>2</v>
      </c>
      <c r="I18" s="3">
        <f t="shared" si="0"/>
        <v>2.5</v>
      </c>
      <c r="J18" s="3">
        <f t="shared" si="1"/>
        <v>2.5</v>
      </c>
      <c r="K18" s="3">
        <f t="shared" si="2"/>
        <v>3</v>
      </c>
      <c r="L18" s="16"/>
      <c r="M18" s="16"/>
      <c r="N18" s="16"/>
      <c r="O18" s="16"/>
      <c r="P18" s="16"/>
      <c r="Q18" s="3"/>
      <c r="S18" s="16"/>
      <c r="T18" s="16" t="s">
        <v>1187</v>
      </c>
      <c r="U18" s="16">
        <f>SUM(U5:U14)</f>
        <v>8700</v>
      </c>
    </row>
    <row r="19" s="3" customFormat="1" spans="2:21">
      <c r="B19" s="3">
        <v>15</v>
      </c>
      <c r="C19" s="3">
        <v>20</v>
      </c>
      <c r="D19" s="3">
        <f t="shared" si="3"/>
        <v>270</v>
      </c>
      <c r="E19" s="3">
        <v>10</v>
      </c>
      <c r="F19" s="3">
        <f>SUM($D$5:D19)</f>
        <v>2400</v>
      </c>
      <c r="G19" s="3">
        <f>SUM($D$5:D19)-10*SUM($E$5:E19)</f>
        <v>1450</v>
      </c>
      <c r="H19" s="3">
        <f t="array" ref="H19">INDEX($N$5:$N$18,MATCH(MIN(IF($P$5:$P$18&gt;B19,$P$5:$P$18)),$P$5:$P$18,0))</f>
        <v>2</v>
      </c>
      <c r="I19" s="3">
        <f t="shared" si="0"/>
        <v>2.5</v>
      </c>
      <c r="J19" s="3">
        <f t="shared" si="1"/>
        <v>5</v>
      </c>
      <c r="K19" s="3">
        <f t="shared" si="2"/>
        <v>5</v>
      </c>
      <c r="L19" s="16"/>
      <c r="M19" s="16"/>
      <c r="N19" s="16"/>
      <c r="O19" s="16"/>
      <c r="S19" s="16"/>
      <c r="T19" s="16"/>
      <c r="U19" s="16"/>
    </row>
    <row r="20" s="3" customFormat="1" spans="2:21">
      <c r="B20" s="3">
        <v>16</v>
      </c>
      <c r="C20" s="3">
        <v>30</v>
      </c>
      <c r="D20" s="3">
        <f t="shared" si="3"/>
        <v>300</v>
      </c>
      <c r="E20" s="3">
        <v>10</v>
      </c>
      <c r="F20" s="3">
        <f>SUM($D$5:D20)</f>
        <v>2700</v>
      </c>
      <c r="G20" s="3">
        <f>SUM($D$5:D20)-10*SUM($E$5:E20)</f>
        <v>1650</v>
      </c>
      <c r="H20" s="3">
        <f t="array" ref="H20">INDEX($N$5:$N$18,MATCH(MIN(IF($P$5:$P$18&gt;B20,$P$5:$P$18)),$P$5:$P$18,0))</f>
        <v>2</v>
      </c>
      <c r="I20" s="3">
        <f t="shared" si="0"/>
        <v>2.5</v>
      </c>
      <c r="J20" s="3">
        <f t="shared" si="1"/>
        <v>7.5</v>
      </c>
      <c r="K20" s="3">
        <f t="shared" si="2"/>
        <v>8</v>
      </c>
      <c r="L20" s="16"/>
      <c r="M20" s="16"/>
      <c r="N20" s="19" t="s">
        <v>1188</v>
      </c>
      <c r="O20" s="19" t="s">
        <v>1041</v>
      </c>
      <c r="P20" s="19" t="s">
        <v>1189</v>
      </c>
      <c r="Q20" s="19" t="s">
        <v>1190</v>
      </c>
      <c r="S20" s="16"/>
      <c r="T20" s="16"/>
      <c r="U20" s="16"/>
    </row>
    <row r="21" s="3" customFormat="1" spans="2:21">
      <c r="B21" s="3">
        <v>17</v>
      </c>
      <c r="C21" s="3">
        <v>30</v>
      </c>
      <c r="D21" s="3">
        <f t="shared" si="3"/>
        <v>330</v>
      </c>
      <c r="E21" s="3">
        <v>10</v>
      </c>
      <c r="F21" s="3">
        <f>SUM($D$5:D21)</f>
        <v>3030</v>
      </c>
      <c r="G21" s="3">
        <f>SUM($D$5:D21)-10*SUM($E$5:E21)</f>
        <v>1880</v>
      </c>
      <c r="H21" s="3">
        <f t="array" ref="H21">INDEX($N$5:$N$18,MATCH(MIN(IF($P$5:$P$18&gt;B21,$P$5:$P$18)),$P$5:$P$18,0))</f>
        <v>2</v>
      </c>
      <c r="I21" s="3">
        <f t="shared" si="0"/>
        <v>2.5</v>
      </c>
      <c r="J21" s="3">
        <f t="shared" si="1"/>
        <v>10</v>
      </c>
      <c r="K21" s="3">
        <f t="shared" si="2"/>
        <v>10</v>
      </c>
      <c r="L21" s="16"/>
      <c r="M21" s="16"/>
      <c r="N21" s="230">
        <v>1</v>
      </c>
      <c r="O21" s="230">
        <v>25</v>
      </c>
      <c r="P21" s="231">
        <f t="shared" ref="P21:P39" si="5">VLOOKUP(O21-1,$B:$G,6,0)</f>
        <v>4330</v>
      </c>
      <c r="Q21" s="231">
        <f>P21</f>
        <v>4330</v>
      </c>
      <c r="R21" s="231"/>
      <c r="S21" s="230">
        <f>AVERAGE($Q$21:Q21)</f>
        <v>4330</v>
      </c>
      <c r="T21" s="16"/>
      <c r="U21" s="16"/>
    </row>
    <row r="22" s="3" customFormat="1" spans="2:21">
      <c r="B22" s="3">
        <v>18</v>
      </c>
      <c r="C22" s="3">
        <v>30</v>
      </c>
      <c r="D22" s="3">
        <f t="shared" si="3"/>
        <v>360</v>
      </c>
      <c r="E22" s="3">
        <v>10</v>
      </c>
      <c r="F22" s="3">
        <f>SUM($D$5:D22)</f>
        <v>3390</v>
      </c>
      <c r="G22" s="3">
        <f>SUM($D$5:D22)-10*SUM($E$5:E22)</f>
        <v>2140</v>
      </c>
      <c r="H22" s="3">
        <f t="array" ref="H22">INDEX($N$5:$N$18,MATCH(MIN(IF($P$5:$P$18&gt;B22,$P$5:$P$18)),$P$5:$P$18,0))</f>
        <v>2</v>
      </c>
      <c r="I22" s="3">
        <f t="shared" si="0"/>
        <v>2.5</v>
      </c>
      <c r="J22" s="3">
        <f t="shared" si="1"/>
        <v>12.5</v>
      </c>
      <c r="K22" s="3">
        <f t="shared" si="2"/>
        <v>13</v>
      </c>
      <c r="L22" s="16"/>
      <c r="M22" s="16"/>
      <c r="N22" s="230">
        <v>2</v>
      </c>
      <c r="O22" s="230">
        <v>31</v>
      </c>
      <c r="P22" s="231">
        <f t="shared" si="5"/>
        <v>8950</v>
      </c>
      <c r="Q22" s="231">
        <f t="shared" ref="Q22:Q39" si="6">P22-P21</f>
        <v>4620</v>
      </c>
      <c r="R22" s="231"/>
      <c r="S22" s="230">
        <f>AVERAGE($Q$21:Q22)</f>
        <v>4475</v>
      </c>
      <c r="T22" s="16"/>
      <c r="U22" s="16"/>
    </row>
    <row r="23" s="3" customFormat="1" spans="2:21">
      <c r="B23" s="3">
        <v>19</v>
      </c>
      <c r="C23" s="3">
        <v>30</v>
      </c>
      <c r="D23" s="3">
        <f t="shared" si="3"/>
        <v>390</v>
      </c>
      <c r="E23" s="3">
        <v>10</v>
      </c>
      <c r="F23" s="3">
        <f>SUM($D$5:D23)</f>
        <v>3780</v>
      </c>
      <c r="G23" s="3">
        <f>SUM($D$5:D23)-10*SUM($E$5:E23)</f>
        <v>2430</v>
      </c>
      <c r="H23" s="3">
        <f t="array" ref="H23">INDEX($N$5:$N$18,MATCH(MIN(IF($P$5:$P$18&gt;B23,$P$5:$P$18)),$P$5:$P$18,0))</f>
        <v>2</v>
      </c>
      <c r="I23" s="3">
        <f t="shared" si="0"/>
        <v>2.5</v>
      </c>
      <c r="J23" s="3">
        <f t="shared" si="1"/>
        <v>15</v>
      </c>
      <c r="K23" s="3">
        <f t="shared" si="2"/>
        <v>15</v>
      </c>
      <c r="L23" s="16"/>
      <c r="M23" s="16"/>
      <c r="N23" s="230">
        <v>3</v>
      </c>
      <c r="O23" s="230">
        <v>34</v>
      </c>
      <c r="P23" s="231">
        <f t="shared" si="5"/>
        <v>13060</v>
      </c>
      <c r="Q23" s="231">
        <f t="shared" si="6"/>
        <v>4110</v>
      </c>
      <c r="R23" s="231"/>
      <c r="S23" s="230">
        <f>AVERAGE($Q$21:Q23)</f>
        <v>4353.33333333333</v>
      </c>
      <c r="T23" s="16"/>
      <c r="U23" s="16"/>
    </row>
    <row r="24" s="3" customFormat="1" spans="2:21">
      <c r="B24" s="3">
        <v>20</v>
      </c>
      <c r="C24" s="3">
        <v>30</v>
      </c>
      <c r="D24" s="3">
        <f t="shared" si="3"/>
        <v>420</v>
      </c>
      <c r="E24" s="3">
        <v>10</v>
      </c>
      <c r="F24" s="3">
        <f>SUM($D$5:D24)</f>
        <v>4200</v>
      </c>
      <c r="G24" s="3">
        <f>SUM($D$5:D24)-10*SUM($E$5:E24)</f>
        <v>2750</v>
      </c>
      <c r="H24" s="3">
        <f t="array" ref="H24">INDEX($N$5:$N$18,MATCH(MIN(IF($P$5:$P$18&gt;B24,$P$5:$P$18)),$P$5:$P$18,0))</f>
        <v>3</v>
      </c>
      <c r="I24" s="3">
        <f t="shared" si="0"/>
        <v>3</v>
      </c>
      <c r="J24" s="3">
        <f t="shared" si="1"/>
        <v>3</v>
      </c>
      <c r="K24" s="3">
        <f t="shared" si="2"/>
        <v>3</v>
      </c>
      <c r="L24" s="16"/>
      <c r="M24" s="16"/>
      <c r="N24" s="230">
        <v>4</v>
      </c>
      <c r="O24" s="230">
        <v>36</v>
      </c>
      <c r="P24" s="231">
        <f t="shared" si="5"/>
        <v>16800</v>
      </c>
      <c r="Q24" s="231">
        <f t="shared" si="6"/>
        <v>3740</v>
      </c>
      <c r="R24" s="231"/>
      <c r="S24" s="230">
        <f>AVERAGE($Q$21:Q24)</f>
        <v>4200</v>
      </c>
      <c r="T24" s="16"/>
      <c r="U24" s="16"/>
    </row>
    <row r="25" s="3" customFormat="1" spans="2:21">
      <c r="B25" s="3">
        <v>21</v>
      </c>
      <c r="C25" s="3">
        <v>50</v>
      </c>
      <c r="D25" s="3">
        <f t="shared" si="3"/>
        <v>470</v>
      </c>
      <c r="E25" s="3">
        <v>15</v>
      </c>
      <c r="F25" s="3">
        <f>SUM($D$5:D25)</f>
        <v>4670</v>
      </c>
      <c r="G25" s="3">
        <f>SUM($D$5:D25)-10*SUM($E$5:E25)</f>
        <v>3070</v>
      </c>
      <c r="H25" s="3">
        <f t="array" ref="H25">INDEX($N$5:$N$18,MATCH(MIN(IF($P$5:$P$18&gt;B25,$P$5:$P$18)),$P$5:$P$18,0))</f>
        <v>3</v>
      </c>
      <c r="I25" s="3">
        <f t="shared" si="0"/>
        <v>3</v>
      </c>
      <c r="J25" s="3">
        <f t="shared" si="1"/>
        <v>6</v>
      </c>
      <c r="K25" s="3">
        <f t="shared" si="2"/>
        <v>6</v>
      </c>
      <c r="L25" s="16"/>
      <c r="M25" s="16"/>
      <c r="N25" s="230">
        <v>5</v>
      </c>
      <c r="O25" s="230">
        <v>38</v>
      </c>
      <c r="P25" s="231">
        <f t="shared" si="5"/>
        <v>21640</v>
      </c>
      <c r="Q25" s="231">
        <f t="shared" si="6"/>
        <v>4840</v>
      </c>
      <c r="R25" s="231"/>
      <c r="S25" s="230">
        <f>AVERAGE($Q$21:Q25)</f>
        <v>4328</v>
      </c>
      <c r="T25" s="16"/>
      <c r="U25" s="16"/>
    </row>
    <row r="26" s="3" customFormat="1" spans="2:21">
      <c r="B26" s="3">
        <v>22</v>
      </c>
      <c r="C26" s="3">
        <v>50</v>
      </c>
      <c r="D26" s="3">
        <f t="shared" si="3"/>
        <v>520</v>
      </c>
      <c r="E26" s="3">
        <v>15</v>
      </c>
      <c r="F26" s="3">
        <f>SUM($D$5:D26)</f>
        <v>5190</v>
      </c>
      <c r="G26" s="3">
        <f>SUM($D$5:D26)-10*SUM($E$5:E26)</f>
        <v>3440</v>
      </c>
      <c r="H26" s="3">
        <f t="array" ref="H26">INDEX($N$5:$N$18,MATCH(MIN(IF($P$5:$P$18&gt;B26,$P$5:$P$18)),$P$5:$P$18,0))</f>
        <v>3</v>
      </c>
      <c r="I26" s="3">
        <f t="shared" si="0"/>
        <v>3</v>
      </c>
      <c r="J26" s="3">
        <f t="shared" si="1"/>
        <v>9</v>
      </c>
      <c r="K26" s="3">
        <f t="shared" si="2"/>
        <v>9</v>
      </c>
      <c r="L26" s="16"/>
      <c r="M26" s="16"/>
      <c r="N26" s="230">
        <v>6</v>
      </c>
      <c r="O26" s="230">
        <v>38</v>
      </c>
      <c r="P26" s="231">
        <f t="shared" si="5"/>
        <v>21640</v>
      </c>
      <c r="Q26" s="231">
        <f t="shared" si="6"/>
        <v>0</v>
      </c>
      <c r="R26" s="231"/>
      <c r="S26" s="230">
        <f>AVERAGE($Q$21:Q26)</f>
        <v>3606.66666666667</v>
      </c>
      <c r="T26" s="16"/>
      <c r="U26" s="16"/>
    </row>
    <row r="27" s="3" customFormat="1" spans="2:21">
      <c r="B27" s="3">
        <v>23</v>
      </c>
      <c r="C27" s="3">
        <v>50</v>
      </c>
      <c r="D27" s="3">
        <f t="shared" si="3"/>
        <v>570</v>
      </c>
      <c r="E27" s="3">
        <v>15</v>
      </c>
      <c r="F27" s="3">
        <f>SUM($D$5:D27)</f>
        <v>5760</v>
      </c>
      <c r="G27" s="3">
        <f>SUM($D$5:D27)-10*SUM($E$5:E27)</f>
        <v>3860</v>
      </c>
      <c r="H27" s="3">
        <f t="array" ref="H27">INDEX($N$5:$N$18,MATCH(MIN(IF($P$5:$P$18&gt;B27,$P$5:$P$18)),$P$5:$P$18,0))</f>
        <v>3</v>
      </c>
      <c r="I27" s="3">
        <f t="shared" si="0"/>
        <v>3</v>
      </c>
      <c r="J27" s="3">
        <f t="shared" si="1"/>
        <v>12</v>
      </c>
      <c r="K27" s="3">
        <f t="shared" si="2"/>
        <v>12</v>
      </c>
      <c r="L27" s="16"/>
      <c r="M27" s="16"/>
      <c r="N27" s="230">
        <v>7</v>
      </c>
      <c r="O27" s="230">
        <v>40</v>
      </c>
      <c r="P27" s="231">
        <f t="shared" si="5"/>
        <v>27680</v>
      </c>
      <c r="Q27" s="231">
        <f t="shared" si="6"/>
        <v>6040</v>
      </c>
      <c r="R27" s="231"/>
      <c r="S27" s="230">
        <f>AVERAGE($Q$21:Q27)</f>
        <v>3954.28571428571</v>
      </c>
      <c r="T27" s="16"/>
      <c r="U27" s="16"/>
    </row>
    <row r="28" s="3" customFormat="1" spans="2:21">
      <c r="B28" s="3">
        <v>24</v>
      </c>
      <c r="C28" s="3">
        <v>50</v>
      </c>
      <c r="D28" s="3">
        <f t="shared" si="3"/>
        <v>620</v>
      </c>
      <c r="E28" s="3">
        <v>15</v>
      </c>
      <c r="F28" s="3">
        <f>SUM($D$5:D28)</f>
        <v>6380</v>
      </c>
      <c r="G28" s="3">
        <f>SUM($D$5:D28)-10*SUM($E$5:E28)</f>
        <v>4330</v>
      </c>
      <c r="H28" s="3">
        <f t="array" ref="H28">INDEX($N$5:$N$18,MATCH(MIN(IF($P$5:$P$18&gt;B28,$P$5:$P$18)),$P$5:$P$18,0))</f>
        <v>3</v>
      </c>
      <c r="I28" s="3">
        <f t="shared" si="0"/>
        <v>3</v>
      </c>
      <c r="J28" s="3">
        <f t="shared" si="1"/>
        <v>15</v>
      </c>
      <c r="K28" s="3">
        <f t="shared" si="2"/>
        <v>15</v>
      </c>
      <c r="L28" s="16"/>
      <c r="M28" s="16"/>
      <c r="N28" s="230">
        <v>8</v>
      </c>
      <c r="O28" s="230">
        <v>41</v>
      </c>
      <c r="P28" s="231">
        <f t="shared" si="5"/>
        <v>31150</v>
      </c>
      <c r="Q28" s="231">
        <f t="shared" si="6"/>
        <v>3470</v>
      </c>
      <c r="R28" s="231"/>
      <c r="S28" s="230">
        <f>AVERAGE($Q$21:Q28)</f>
        <v>3893.75</v>
      </c>
      <c r="T28" s="16"/>
      <c r="U28" s="16"/>
    </row>
    <row r="29" s="3" customFormat="1" spans="2:21">
      <c r="B29" s="3">
        <v>25</v>
      </c>
      <c r="C29" s="3">
        <v>50</v>
      </c>
      <c r="D29" s="3">
        <f t="shared" si="3"/>
        <v>670</v>
      </c>
      <c r="E29" s="3">
        <v>15</v>
      </c>
      <c r="F29" s="3">
        <f>SUM($D$5:D29)</f>
        <v>7050</v>
      </c>
      <c r="G29" s="3">
        <f>SUM($D$5:D29)-10*SUM($E$5:E29)</f>
        <v>4850</v>
      </c>
      <c r="H29" s="3">
        <f t="array" ref="H29">INDEX($N$5:$N$18,MATCH(MIN(IF($P$5:$P$18&gt;B29,$P$5:$P$18)),$P$5:$P$18,0))</f>
        <v>4</v>
      </c>
      <c r="I29" s="3">
        <f t="shared" si="0"/>
        <v>3</v>
      </c>
      <c r="J29" s="3">
        <f t="shared" si="1"/>
        <v>3</v>
      </c>
      <c r="K29" s="3">
        <f t="shared" si="2"/>
        <v>3</v>
      </c>
      <c r="L29" s="16"/>
      <c r="M29" s="16"/>
      <c r="N29" s="230">
        <v>9</v>
      </c>
      <c r="O29" s="230">
        <v>42</v>
      </c>
      <c r="P29" s="231">
        <f t="shared" si="5"/>
        <v>34920</v>
      </c>
      <c r="Q29" s="231">
        <f t="shared" si="6"/>
        <v>3770</v>
      </c>
      <c r="R29" s="231"/>
      <c r="S29" s="230">
        <f>AVERAGE($Q$21:Q29)</f>
        <v>3880</v>
      </c>
      <c r="T29" s="16"/>
      <c r="U29" s="16"/>
    </row>
    <row r="30" s="3" customFormat="1" spans="2:21">
      <c r="B30" s="3">
        <v>26</v>
      </c>
      <c r="C30" s="3">
        <v>100</v>
      </c>
      <c r="D30" s="3">
        <f t="shared" si="3"/>
        <v>770</v>
      </c>
      <c r="E30" s="3">
        <v>15</v>
      </c>
      <c r="F30" s="3">
        <f>SUM($D$5:D30)</f>
        <v>7820</v>
      </c>
      <c r="G30" s="3">
        <f>SUM($D$5:D30)-10*SUM($E$5:E30)</f>
        <v>5470</v>
      </c>
      <c r="H30" s="3">
        <f t="array" ref="H30">INDEX($N$5:$N$18,MATCH(MIN(IF($P$5:$P$18&gt;B30,$P$5:$P$18)),$P$5:$P$18,0))</f>
        <v>4</v>
      </c>
      <c r="I30" s="3">
        <f t="shared" si="0"/>
        <v>3</v>
      </c>
      <c r="J30" s="3">
        <f t="shared" si="1"/>
        <v>6</v>
      </c>
      <c r="K30" s="3">
        <f t="shared" si="2"/>
        <v>6</v>
      </c>
      <c r="L30" s="16"/>
      <c r="M30" s="16"/>
      <c r="N30" s="230">
        <v>10</v>
      </c>
      <c r="O30" s="230">
        <v>43</v>
      </c>
      <c r="P30" s="231">
        <f t="shared" si="5"/>
        <v>39140</v>
      </c>
      <c r="Q30" s="231">
        <f t="shared" si="6"/>
        <v>4220</v>
      </c>
      <c r="R30" s="231"/>
      <c r="S30" s="230">
        <f>AVERAGE($Q$21:Q30)</f>
        <v>3914</v>
      </c>
      <c r="T30" s="16"/>
      <c r="U30" s="16"/>
    </row>
    <row r="31" s="3" customFormat="1" spans="2:21">
      <c r="B31" s="3">
        <v>27</v>
      </c>
      <c r="C31" s="3">
        <v>100</v>
      </c>
      <c r="D31" s="3">
        <f t="shared" si="3"/>
        <v>870</v>
      </c>
      <c r="E31" s="3">
        <v>15</v>
      </c>
      <c r="F31" s="3">
        <f>SUM($D$5:D31)</f>
        <v>8690</v>
      </c>
      <c r="G31" s="3">
        <f>SUM($D$5:D31)-10*SUM($E$5:E31)</f>
        <v>6190</v>
      </c>
      <c r="H31" s="3">
        <f t="array" ref="H31">INDEX($N$5:$N$18,MATCH(MIN(IF($P$5:$P$18&gt;B31,$P$5:$P$18)),$P$5:$P$18,0))</f>
        <v>4</v>
      </c>
      <c r="I31" s="3">
        <f t="shared" si="0"/>
        <v>3</v>
      </c>
      <c r="J31" s="3">
        <f t="shared" si="1"/>
        <v>9</v>
      </c>
      <c r="K31" s="3">
        <f t="shared" si="2"/>
        <v>9</v>
      </c>
      <c r="L31" s="16"/>
      <c r="M31" s="16"/>
      <c r="N31" s="230">
        <v>11</v>
      </c>
      <c r="O31" s="230">
        <v>44</v>
      </c>
      <c r="P31" s="231">
        <f t="shared" si="5"/>
        <v>43860</v>
      </c>
      <c r="Q31" s="231">
        <f t="shared" si="6"/>
        <v>4720</v>
      </c>
      <c r="R31" s="231"/>
      <c r="S31" s="230">
        <f>AVERAGE($Q$21:Q31)</f>
        <v>3987.27272727273</v>
      </c>
      <c r="T31" s="16"/>
      <c r="U31" s="16"/>
    </row>
    <row r="32" s="3" customFormat="1" spans="2:21">
      <c r="B32" s="3">
        <v>28</v>
      </c>
      <c r="C32" s="3">
        <v>100</v>
      </c>
      <c r="D32" s="3">
        <f t="shared" si="3"/>
        <v>970</v>
      </c>
      <c r="E32" s="3">
        <v>15</v>
      </c>
      <c r="F32" s="3">
        <f>SUM($D$5:D32)</f>
        <v>9660</v>
      </c>
      <c r="G32" s="3">
        <f>SUM($D$5:D32)-10*SUM($E$5:E32)</f>
        <v>7010</v>
      </c>
      <c r="H32" s="3">
        <f t="array" ref="H32">INDEX($N$5:$N$18,MATCH(MIN(IF($P$5:$P$18&gt;B32,$P$5:$P$18)),$P$5:$P$18,0))</f>
        <v>4</v>
      </c>
      <c r="I32" s="3">
        <f t="shared" si="0"/>
        <v>3</v>
      </c>
      <c r="J32" s="3">
        <f t="shared" si="1"/>
        <v>12</v>
      </c>
      <c r="K32" s="3">
        <f t="shared" si="2"/>
        <v>12</v>
      </c>
      <c r="L32" s="16"/>
      <c r="M32" s="16"/>
      <c r="N32" s="230">
        <v>12</v>
      </c>
      <c r="O32" s="230">
        <v>45</v>
      </c>
      <c r="P32" s="231">
        <f t="shared" si="5"/>
        <v>49130</v>
      </c>
      <c r="Q32" s="231">
        <f t="shared" si="6"/>
        <v>5270</v>
      </c>
      <c r="R32" s="231"/>
      <c r="S32" s="230">
        <f>AVERAGE($Q$21:Q32)</f>
        <v>4094.16666666667</v>
      </c>
      <c r="T32" s="16"/>
      <c r="U32" s="16"/>
    </row>
    <row r="33" s="3" customFormat="1" spans="2:21">
      <c r="B33" s="3">
        <v>29</v>
      </c>
      <c r="C33" s="3">
        <v>100</v>
      </c>
      <c r="D33" s="3">
        <f t="shared" si="3"/>
        <v>1070</v>
      </c>
      <c r="E33" s="3">
        <v>15</v>
      </c>
      <c r="F33" s="3">
        <f>SUM($D$5:D33)</f>
        <v>10730</v>
      </c>
      <c r="G33" s="3">
        <f>SUM($D$5:D33)-10*SUM($E$5:E33)</f>
        <v>7930</v>
      </c>
      <c r="H33" s="3">
        <f t="array" ref="H33">INDEX($N$5:$N$18,MATCH(MIN(IF($P$5:$P$18&gt;B33,$P$5:$P$18)),$P$5:$P$18,0))</f>
        <v>4</v>
      </c>
      <c r="I33" s="3">
        <f t="shared" si="0"/>
        <v>3</v>
      </c>
      <c r="J33" s="3">
        <f t="shared" si="1"/>
        <v>15</v>
      </c>
      <c r="K33" s="3">
        <f t="shared" si="2"/>
        <v>15</v>
      </c>
      <c r="L33" s="16"/>
      <c r="M33" s="16"/>
      <c r="N33" s="230">
        <v>13</v>
      </c>
      <c r="O33" s="230">
        <v>45</v>
      </c>
      <c r="P33" s="231">
        <f t="shared" si="5"/>
        <v>49130</v>
      </c>
      <c r="Q33" s="231">
        <f t="shared" si="6"/>
        <v>0</v>
      </c>
      <c r="R33" s="231"/>
      <c r="S33" s="230">
        <f>AVERAGE($Q$21:Q33)</f>
        <v>3779.23076923077</v>
      </c>
      <c r="T33" s="16"/>
      <c r="U33" s="16"/>
    </row>
    <row r="34" s="3" customFormat="1" spans="2:21">
      <c r="B34" s="3">
        <v>30</v>
      </c>
      <c r="C34" s="3">
        <v>100</v>
      </c>
      <c r="D34" s="3">
        <f t="shared" si="3"/>
        <v>1170</v>
      </c>
      <c r="E34" s="3">
        <v>15</v>
      </c>
      <c r="F34" s="3">
        <f>SUM($D$5:D34)</f>
        <v>11900</v>
      </c>
      <c r="G34" s="3">
        <f>SUM($D$5:D34)-10*SUM($E$5:E34)</f>
        <v>8950</v>
      </c>
      <c r="H34" s="3">
        <f t="array" ref="H34">INDEX($N$5:$N$18,MATCH(MIN(IF($P$5:$P$18&gt;B34,$P$5:$P$18)),$P$5:$P$18,0))</f>
        <v>5</v>
      </c>
      <c r="I34" s="3">
        <f t="shared" si="0"/>
        <v>3.75</v>
      </c>
      <c r="J34" s="3">
        <f t="shared" si="1"/>
        <v>3.75</v>
      </c>
      <c r="K34" s="3">
        <f t="shared" si="2"/>
        <v>4</v>
      </c>
      <c r="L34" s="16"/>
      <c r="M34" s="16"/>
      <c r="N34" s="230">
        <v>14</v>
      </c>
      <c r="O34" s="230">
        <v>46</v>
      </c>
      <c r="P34" s="231">
        <f t="shared" si="5"/>
        <v>55000</v>
      </c>
      <c r="Q34" s="231">
        <f t="shared" si="6"/>
        <v>5870</v>
      </c>
      <c r="R34" s="231"/>
      <c r="S34" s="230">
        <f>AVERAGE($Q$21:Q34)</f>
        <v>3928.57142857143</v>
      </c>
      <c r="T34" s="16"/>
      <c r="U34" s="16"/>
    </row>
    <row r="35" s="3" customFormat="1" spans="2:21">
      <c r="B35" s="3">
        <v>31</v>
      </c>
      <c r="C35" s="3">
        <v>200</v>
      </c>
      <c r="D35" s="3">
        <f t="shared" si="3"/>
        <v>1370</v>
      </c>
      <c r="E35" s="3">
        <v>20</v>
      </c>
      <c r="F35" s="3">
        <f>SUM($D$5:D35)</f>
        <v>13270</v>
      </c>
      <c r="G35" s="3">
        <f>SUM($D$5:D35)-10*SUM($E$5:E35)</f>
        <v>10120</v>
      </c>
      <c r="H35" s="3">
        <f t="array" ref="H35">INDEX($N$5:$N$18,MATCH(MIN(IF($P$5:$P$18&gt;B35,$P$5:$P$18)),$P$5:$P$18,0))</f>
        <v>5</v>
      </c>
      <c r="I35" s="3">
        <f t="shared" si="0"/>
        <v>3.75</v>
      </c>
      <c r="J35" s="3">
        <f t="shared" si="1"/>
        <v>7.5</v>
      </c>
      <c r="K35" s="3">
        <f t="shared" si="2"/>
        <v>8</v>
      </c>
      <c r="L35" s="16"/>
      <c r="M35" s="16"/>
      <c r="N35" s="230">
        <v>15</v>
      </c>
      <c r="O35" s="230">
        <v>46</v>
      </c>
      <c r="P35" s="231">
        <f t="shared" si="5"/>
        <v>55000</v>
      </c>
      <c r="Q35" s="231">
        <f t="shared" si="6"/>
        <v>0</v>
      </c>
      <c r="R35" s="231"/>
      <c r="S35" s="230">
        <f>AVERAGE($Q$21:Q35)</f>
        <v>3666.66666666667</v>
      </c>
      <c r="T35" s="16"/>
      <c r="U35" s="16"/>
    </row>
    <row r="36" s="3" customFormat="1" spans="2:21">
      <c r="B36" s="3">
        <v>32</v>
      </c>
      <c r="C36" s="3">
        <v>200</v>
      </c>
      <c r="D36" s="3">
        <f t="shared" si="3"/>
        <v>1570</v>
      </c>
      <c r="E36" s="3">
        <v>20</v>
      </c>
      <c r="F36" s="3">
        <f>SUM($D$5:D36)</f>
        <v>14840</v>
      </c>
      <c r="G36" s="3">
        <f>SUM($D$5:D36)-10*SUM($E$5:E36)</f>
        <v>11490</v>
      </c>
      <c r="H36" s="3">
        <f t="array" ref="H36">INDEX($N$5:$N$18,MATCH(MIN(IF($P$5:$P$18&gt;B36,$P$5:$P$18)),$P$5:$P$18,0))</f>
        <v>5</v>
      </c>
      <c r="I36" s="3">
        <f t="shared" si="0"/>
        <v>3.75</v>
      </c>
      <c r="J36" s="3">
        <f t="shared" si="1"/>
        <v>11.25</v>
      </c>
      <c r="K36" s="3">
        <f t="shared" si="2"/>
        <v>11</v>
      </c>
      <c r="L36" s="16"/>
      <c r="M36" s="16"/>
      <c r="N36" s="230">
        <v>16</v>
      </c>
      <c r="O36" s="230">
        <v>48</v>
      </c>
      <c r="P36" s="231">
        <f t="shared" si="5"/>
        <v>68740</v>
      </c>
      <c r="Q36" s="231">
        <f t="shared" si="6"/>
        <v>13740</v>
      </c>
      <c r="R36" s="231"/>
      <c r="S36" s="230">
        <f>AVERAGE($Q$21:Q36)</f>
        <v>4296.25</v>
      </c>
      <c r="T36" s="16"/>
      <c r="U36" s="16"/>
    </row>
    <row r="37" s="3" customFormat="1" spans="2:21">
      <c r="B37" s="3">
        <v>33</v>
      </c>
      <c r="C37" s="3">
        <v>200</v>
      </c>
      <c r="D37" s="3">
        <f t="shared" si="3"/>
        <v>1770</v>
      </c>
      <c r="E37" s="3">
        <v>20</v>
      </c>
      <c r="F37" s="3">
        <f>SUM($D$5:D37)</f>
        <v>16610</v>
      </c>
      <c r="G37" s="3">
        <f>SUM($D$5:D37)-10*SUM($E$5:E37)</f>
        <v>13060</v>
      </c>
      <c r="H37" s="3">
        <f t="array" ref="H37">INDEX($N$5:$N$18,MATCH(MIN(IF($P$5:$P$18&gt;B37,$P$5:$P$18)),$P$5:$P$18,0))</f>
        <v>5</v>
      </c>
      <c r="I37" s="3">
        <f t="shared" si="0"/>
        <v>3.75</v>
      </c>
      <c r="J37" s="3">
        <f t="shared" si="1"/>
        <v>15</v>
      </c>
      <c r="K37" s="3">
        <f t="shared" si="2"/>
        <v>15</v>
      </c>
      <c r="L37" s="16"/>
      <c r="M37" s="16"/>
      <c r="N37" s="230">
        <v>17</v>
      </c>
      <c r="O37" s="230">
        <v>49</v>
      </c>
      <c r="P37" s="231">
        <f t="shared" si="5"/>
        <v>76710</v>
      </c>
      <c r="Q37" s="231">
        <f t="shared" si="6"/>
        <v>7970</v>
      </c>
      <c r="R37" s="231"/>
      <c r="S37" s="230">
        <f>AVERAGE($Q$21:Q37)</f>
        <v>4512.35294117647</v>
      </c>
      <c r="T37" s="16"/>
      <c r="U37" s="16"/>
    </row>
    <row r="38" s="3" customFormat="1" spans="2:21">
      <c r="B38" s="3">
        <v>34</v>
      </c>
      <c r="C38" s="3">
        <v>200</v>
      </c>
      <c r="D38" s="3">
        <f t="shared" si="3"/>
        <v>1970</v>
      </c>
      <c r="E38" s="3">
        <v>20</v>
      </c>
      <c r="F38" s="3">
        <f>SUM($D$5:D38)</f>
        <v>18580</v>
      </c>
      <c r="G38" s="3">
        <f>SUM($D$5:D38)-10*SUM($E$5:E38)</f>
        <v>14830</v>
      </c>
      <c r="H38" s="3">
        <f t="array" ref="H38">INDEX($N$5:$N$18,MATCH(MIN(IF($P$5:$P$18&gt;B38,$P$5:$P$18)),$P$5:$P$18,0))</f>
        <v>6</v>
      </c>
      <c r="I38" s="3">
        <f t="shared" si="0"/>
        <v>5</v>
      </c>
      <c r="J38" s="3">
        <f t="shared" si="1"/>
        <v>5</v>
      </c>
      <c r="K38" s="3">
        <f t="shared" si="2"/>
        <v>5</v>
      </c>
      <c r="L38" s="16"/>
      <c r="M38" s="16"/>
      <c r="N38" s="230">
        <v>18</v>
      </c>
      <c r="O38" s="230">
        <v>49</v>
      </c>
      <c r="P38" s="231">
        <f t="shared" si="5"/>
        <v>76710</v>
      </c>
      <c r="Q38" s="231">
        <f t="shared" si="6"/>
        <v>0</v>
      </c>
      <c r="R38" s="231"/>
      <c r="S38" s="230">
        <f>AVERAGE($Q$21:Q38)</f>
        <v>4261.66666666667</v>
      </c>
      <c r="T38" s="16"/>
      <c r="U38" s="16"/>
    </row>
    <row r="39" s="3" customFormat="1" spans="2:21">
      <c r="B39" s="3">
        <v>35</v>
      </c>
      <c r="C39" s="3">
        <v>200</v>
      </c>
      <c r="D39" s="3">
        <f t="shared" si="3"/>
        <v>2170</v>
      </c>
      <c r="E39" s="3">
        <v>20</v>
      </c>
      <c r="F39" s="3">
        <f>SUM($D$5:D39)</f>
        <v>20750</v>
      </c>
      <c r="G39" s="3">
        <f>SUM($D$5:D39)-10*SUM($E$5:E39)</f>
        <v>16800</v>
      </c>
      <c r="H39" s="3">
        <f t="array" ref="H39">INDEX($N$5:$N$18,MATCH(MIN(IF($P$5:$P$18&gt;B39,$P$5:$P$18)),$P$5:$P$18,0))</f>
        <v>6</v>
      </c>
      <c r="I39" s="3">
        <f t="shared" si="0"/>
        <v>5</v>
      </c>
      <c r="J39" s="3">
        <f t="shared" si="1"/>
        <v>10</v>
      </c>
      <c r="K39" s="3">
        <f t="shared" si="2"/>
        <v>10</v>
      </c>
      <c r="L39" s="16"/>
      <c r="M39" s="16"/>
      <c r="N39" s="230">
        <v>19</v>
      </c>
      <c r="O39" s="230">
        <v>50</v>
      </c>
      <c r="P39" s="231">
        <f t="shared" si="5"/>
        <v>85480</v>
      </c>
      <c r="Q39" s="231">
        <f t="shared" si="6"/>
        <v>8770</v>
      </c>
      <c r="R39" s="231"/>
      <c r="S39" s="230">
        <f>AVERAGE($Q$21:Q39)</f>
        <v>4498.94736842105</v>
      </c>
      <c r="T39" s="16"/>
      <c r="U39" s="16"/>
    </row>
    <row r="40" s="3" customFormat="1" spans="2:21">
      <c r="B40" s="3">
        <v>36</v>
      </c>
      <c r="C40" s="3">
        <v>300</v>
      </c>
      <c r="D40" s="3">
        <f t="shared" si="3"/>
        <v>2470</v>
      </c>
      <c r="E40" s="3">
        <v>20</v>
      </c>
      <c r="F40" s="3">
        <f>SUM($D$5:D40)</f>
        <v>23220</v>
      </c>
      <c r="G40" s="3">
        <f>SUM($D$5:D40)-10*SUM($E$5:E40)</f>
        <v>19070</v>
      </c>
      <c r="H40" s="3">
        <f t="array" ref="H40">INDEX($N$5:$N$18,MATCH(MIN(IF($P$5:$P$18&gt;B40,$P$5:$P$18)),$P$5:$P$18,0))</f>
        <v>6</v>
      </c>
      <c r="I40" s="3">
        <f t="shared" si="0"/>
        <v>5</v>
      </c>
      <c r="J40" s="3">
        <f t="shared" si="1"/>
        <v>15</v>
      </c>
      <c r="K40" s="3">
        <f t="shared" si="2"/>
        <v>15</v>
      </c>
      <c r="L40" s="16"/>
      <c r="M40" s="16"/>
      <c r="N40" s="3"/>
      <c r="O40" s="3"/>
      <c r="P40" s="3"/>
      <c r="Q40" s="3"/>
      <c r="S40" s="16"/>
      <c r="T40" s="16"/>
      <c r="U40" s="16"/>
    </row>
    <row r="41" s="3" customFormat="1" spans="2:21">
      <c r="B41" s="3">
        <v>37</v>
      </c>
      <c r="C41" s="3">
        <v>300</v>
      </c>
      <c r="D41" s="3">
        <f t="shared" si="3"/>
        <v>2770</v>
      </c>
      <c r="E41" s="3">
        <v>20</v>
      </c>
      <c r="F41" s="3">
        <f>SUM($D$5:D41)</f>
        <v>25990</v>
      </c>
      <c r="G41" s="3">
        <f>SUM($D$5:D41)-10*SUM($E$5:E41)</f>
        <v>21640</v>
      </c>
      <c r="H41" s="3">
        <f t="array" ref="H41">INDEX($N$5:$N$18,MATCH(MIN(IF($P$5:$P$18&gt;B41,$P$5:$P$18)),$P$5:$P$18,0))</f>
        <v>7</v>
      </c>
      <c r="I41" s="3">
        <f t="shared" si="0"/>
        <v>5</v>
      </c>
      <c r="J41" s="3">
        <f t="shared" si="1"/>
        <v>5</v>
      </c>
      <c r="K41" s="3">
        <f t="shared" si="2"/>
        <v>5</v>
      </c>
      <c r="L41" s="16"/>
      <c r="M41" s="16"/>
      <c r="N41" s="16"/>
      <c r="O41" s="16"/>
      <c r="S41" s="16"/>
      <c r="T41" s="16"/>
      <c r="U41" s="16"/>
    </row>
    <row r="42" s="3" customFormat="1" spans="2:21">
      <c r="B42" s="3">
        <v>38</v>
      </c>
      <c r="C42" s="3">
        <v>300</v>
      </c>
      <c r="D42" s="3">
        <f t="shared" si="3"/>
        <v>3070</v>
      </c>
      <c r="E42" s="3">
        <v>20</v>
      </c>
      <c r="F42" s="3">
        <f>SUM($D$5:D42)</f>
        <v>29060</v>
      </c>
      <c r="G42" s="3">
        <f>SUM($D$5:D42)-10*SUM($E$5:E42)</f>
        <v>24510</v>
      </c>
      <c r="H42" s="3">
        <f t="array" ref="H42">INDEX($N$5:$N$18,MATCH(MIN(IF($P$5:$P$18&gt;B42,$P$5:$P$18)),$P$5:$P$18,0))</f>
        <v>7</v>
      </c>
      <c r="I42" s="3">
        <f t="shared" si="0"/>
        <v>5</v>
      </c>
      <c r="J42" s="3">
        <f t="shared" si="1"/>
        <v>10</v>
      </c>
      <c r="K42" s="3">
        <f t="shared" si="2"/>
        <v>10</v>
      </c>
      <c r="L42" s="16"/>
      <c r="M42" s="16"/>
      <c r="N42" s="19" t="s">
        <v>1188</v>
      </c>
      <c r="O42" s="19" t="s">
        <v>1044</v>
      </c>
      <c r="P42" s="19" t="s">
        <v>1191</v>
      </c>
      <c r="S42" s="16"/>
      <c r="T42" s="16"/>
      <c r="U42" s="16"/>
    </row>
    <row r="43" s="3" customFormat="1" spans="2:21">
      <c r="B43" s="3">
        <v>39</v>
      </c>
      <c r="C43" s="3">
        <v>300</v>
      </c>
      <c r="D43" s="3">
        <f t="shared" si="3"/>
        <v>3370</v>
      </c>
      <c r="E43" s="3">
        <v>20</v>
      </c>
      <c r="F43" s="3">
        <f>SUM($D$5:D43)</f>
        <v>32430</v>
      </c>
      <c r="G43" s="3">
        <f>SUM($D$5:D43)-10*SUM($E$5:E43)</f>
        <v>27680</v>
      </c>
      <c r="H43" s="3">
        <f t="array" ref="H43">INDEX($N$5:$N$18,MATCH(MIN(IF($P$5:$P$18&gt;B43,$P$5:$P$18)),$P$5:$P$18,0))</f>
        <v>7</v>
      </c>
      <c r="I43" s="3">
        <f t="shared" si="0"/>
        <v>5</v>
      </c>
      <c r="J43" s="3">
        <f t="shared" si="1"/>
        <v>15</v>
      </c>
      <c r="K43" s="3">
        <f t="shared" si="2"/>
        <v>15</v>
      </c>
      <c r="L43" s="16"/>
      <c r="M43" s="16"/>
      <c r="N43" s="16">
        <f t="array" ref="N43:N98">_xlfn.SEQUENCE(F3,1,1,1)</f>
        <v>1</v>
      </c>
      <c r="O43" s="16">
        <f t="shared" ref="O43:O98" si="7">N43*$U$16</f>
        <v>4500</v>
      </c>
      <c r="P43" s="3">
        <f t="array" ref="P43">INDEX(_xlfn.ANCHORARRAY($B$5),MATCH(O43,$G$5:$G$64,1))+1</f>
        <v>25</v>
      </c>
      <c r="S43" s="16"/>
      <c r="T43" s="16"/>
      <c r="U43" s="16"/>
    </row>
    <row r="44" s="3" customFormat="1" spans="2:21">
      <c r="B44" s="3">
        <v>40</v>
      </c>
      <c r="C44" s="3">
        <v>300</v>
      </c>
      <c r="D44" s="3">
        <f t="shared" si="3"/>
        <v>3670</v>
      </c>
      <c r="E44" s="3">
        <v>20</v>
      </c>
      <c r="F44" s="3">
        <f>SUM($D$5:D44)</f>
        <v>36100</v>
      </c>
      <c r="G44" s="3">
        <f>SUM($D$5:D44)-10*SUM($E$5:E44)</f>
        <v>31150</v>
      </c>
      <c r="L44" s="16"/>
      <c r="M44" s="16"/>
      <c r="N44" s="16">
        <v>2</v>
      </c>
      <c r="O44" s="16">
        <f t="shared" si="7"/>
        <v>9000</v>
      </c>
      <c r="P44" s="3">
        <f t="array" ref="P44">INDEX(_xlfn.ANCHORARRAY($B$5),MATCH(O44,$G$5:$G$64,1))+1</f>
        <v>31</v>
      </c>
      <c r="S44" s="16"/>
      <c r="T44" s="16"/>
      <c r="U44" s="16"/>
    </row>
    <row r="45" s="3" customFormat="1" spans="2:21">
      <c r="B45" s="3">
        <v>41</v>
      </c>
      <c r="C45" s="3">
        <v>400</v>
      </c>
      <c r="D45" s="3">
        <f t="shared" si="3"/>
        <v>4070</v>
      </c>
      <c r="E45" s="3">
        <v>30</v>
      </c>
      <c r="F45" s="3">
        <f>SUM($D$5:D45)</f>
        <v>40170</v>
      </c>
      <c r="G45" s="3">
        <f>SUM($D$5:D45)-10*SUM($E$5:E45)</f>
        <v>34920</v>
      </c>
      <c r="L45" s="16"/>
      <c r="M45" s="16"/>
      <c r="N45" s="16">
        <v>3</v>
      </c>
      <c r="O45" s="16">
        <f t="shared" si="7"/>
        <v>13500</v>
      </c>
      <c r="P45" s="3">
        <f t="array" ref="P45">INDEX(_xlfn.ANCHORARRAY($B$5),MATCH(O45,$G$5:$G$64,1))+1</f>
        <v>34</v>
      </c>
      <c r="S45" s="16"/>
      <c r="T45" s="16"/>
      <c r="U45" s="16"/>
    </row>
    <row r="46" s="3" customFormat="1" spans="2:21">
      <c r="B46" s="3">
        <v>42</v>
      </c>
      <c r="C46" s="3">
        <v>450</v>
      </c>
      <c r="D46" s="3">
        <f t="shared" si="3"/>
        <v>4520</v>
      </c>
      <c r="E46" s="3">
        <v>30</v>
      </c>
      <c r="F46" s="3">
        <f>SUM($D$5:D46)</f>
        <v>44690</v>
      </c>
      <c r="G46" s="3">
        <f>SUM($D$5:D46)-10*SUM($E$5:E46)</f>
        <v>39140</v>
      </c>
      <c r="L46" s="16"/>
      <c r="M46" s="16"/>
      <c r="N46" s="16">
        <v>4</v>
      </c>
      <c r="O46" s="16">
        <f t="shared" si="7"/>
        <v>18000</v>
      </c>
      <c r="P46" s="3">
        <f t="array" ref="P46">INDEX(_xlfn.ANCHORARRAY($B$5),MATCH(O46,$G$5:$G$64,1))+1</f>
        <v>36</v>
      </c>
      <c r="S46" s="16"/>
      <c r="T46" s="16"/>
      <c r="U46" s="16"/>
    </row>
    <row r="47" s="3" customFormat="1" spans="2:21">
      <c r="B47" s="3">
        <v>43</v>
      </c>
      <c r="C47" s="3">
        <v>500</v>
      </c>
      <c r="D47" s="3">
        <f t="shared" si="3"/>
        <v>5020</v>
      </c>
      <c r="E47" s="3">
        <v>30</v>
      </c>
      <c r="F47" s="3">
        <f>SUM($D$5:D47)</f>
        <v>49710</v>
      </c>
      <c r="G47" s="3">
        <f>SUM($D$5:D47)-10*SUM($E$5:E47)</f>
        <v>43860</v>
      </c>
      <c r="L47" s="16"/>
      <c r="M47" s="16"/>
      <c r="N47" s="16">
        <v>5</v>
      </c>
      <c r="O47" s="16">
        <f t="shared" si="7"/>
        <v>22500</v>
      </c>
      <c r="P47" s="3">
        <f t="array" ref="P47">INDEX(_xlfn.ANCHORARRAY($B$5),MATCH(O47,$G$5:$G$64,1))+1</f>
        <v>38</v>
      </c>
      <c r="S47" s="16"/>
      <c r="T47" s="16"/>
      <c r="U47" s="16"/>
    </row>
    <row r="48" s="3" customFormat="1" spans="2:21">
      <c r="B48" s="3">
        <v>44</v>
      </c>
      <c r="C48" s="3">
        <v>550</v>
      </c>
      <c r="D48" s="3">
        <f t="shared" si="3"/>
        <v>5570</v>
      </c>
      <c r="E48" s="3">
        <v>30</v>
      </c>
      <c r="F48" s="3">
        <f>SUM($D$5:D48)</f>
        <v>55280</v>
      </c>
      <c r="G48" s="3">
        <f>SUM($D$5:D48)-10*SUM($E$5:E48)</f>
        <v>49130</v>
      </c>
      <c r="L48" s="16"/>
      <c r="M48" s="16"/>
      <c r="N48" s="16">
        <v>6</v>
      </c>
      <c r="O48" s="16">
        <f t="shared" si="7"/>
        <v>27000</v>
      </c>
      <c r="P48" s="3">
        <f t="array" ref="P48">INDEX(_xlfn.ANCHORARRAY($B$5),MATCH(O48,$G$5:$G$64,1))+1</f>
        <v>39</v>
      </c>
      <c r="S48" s="16"/>
      <c r="T48" s="16"/>
      <c r="U48" s="16"/>
    </row>
    <row r="49" s="3" customFormat="1" spans="2:21">
      <c r="B49" s="3">
        <v>45</v>
      </c>
      <c r="C49" s="3">
        <v>600</v>
      </c>
      <c r="D49" s="3">
        <f t="shared" si="3"/>
        <v>6170</v>
      </c>
      <c r="E49" s="3">
        <v>30</v>
      </c>
      <c r="F49" s="3">
        <f>SUM($D$5:D49)</f>
        <v>61450</v>
      </c>
      <c r="G49" s="3">
        <f>SUM($D$5:D49)-10*SUM($E$5:E49)</f>
        <v>55000</v>
      </c>
      <c r="L49" s="16"/>
      <c r="M49" s="16"/>
      <c r="N49" s="16">
        <v>7</v>
      </c>
      <c r="O49" s="16">
        <f t="shared" si="7"/>
        <v>31500</v>
      </c>
      <c r="P49" s="3">
        <f t="array" ref="P49">INDEX(_xlfn.ANCHORARRAY($B$5),MATCH(O49,$G$5:$G$64,1))+1</f>
        <v>41</v>
      </c>
      <c r="S49" s="16"/>
      <c r="T49" s="16"/>
      <c r="U49" s="16"/>
    </row>
    <row r="50" s="3" customFormat="1" spans="2:21">
      <c r="B50" s="3">
        <v>46</v>
      </c>
      <c r="C50" s="3">
        <v>650</v>
      </c>
      <c r="D50" s="3">
        <f t="shared" si="3"/>
        <v>6820</v>
      </c>
      <c r="E50" s="3">
        <v>30</v>
      </c>
      <c r="F50" s="3">
        <f>SUM($D$5:D50)</f>
        <v>68270</v>
      </c>
      <c r="G50" s="3">
        <f>SUM($D$5:D50)-10*SUM($E$5:E50)</f>
        <v>61520</v>
      </c>
      <c r="H50" s="16"/>
      <c r="I50" s="16"/>
      <c r="J50" s="16"/>
      <c r="K50" s="16"/>
      <c r="L50" s="16"/>
      <c r="M50" s="16"/>
      <c r="N50" s="16">
        <v>8</v>
      </c>
      <c r="O50" s="16">
        <f t="shared" si="7"/>
        <v>36000</v>
      </c>
      <c r="P50" s="3">
        <f t="array" ref="P50">INDEX(_xlfn.ANCHORARRAY($B$5),MATCH(O50,$G$5:$G$64,1))+1</f>
        <v>42</v>
      </c>
      <c r="S50" s="16"/>
      <c r="T50" s="16"/>
      <c r="U50" s="16"/>
    </row>
    <row r="51" s="3" customFormat="1" spans="2:21">
      <c r="B51" s="3">
        <v>47</v>
      </c>
      <c r="C51" s="3">
        <v>700</v>
      </c>
      <c r="D51" s="3">
        <f t="shared" si="3"/>
        <v>7520</v>
      </c>
      <c r="E51" s="3">
        <v>30</v>
      </c>
      <c r="F51" s="3">
        <f>SUM($D$5:D51)</f>
        <v>75790</v>
      </c>
      <c r="G51" s="3">
        <f>SUM($D$5:D51)-10*SUM($E$5:E51)</f>
        <v>68740</v>
      </c>
      <c r="L51" s="16"/>
      <c r="M51" s="16"/>
      <c r="N51" s="16">
        <v>9</v>
      </c>
      <c r="O51" s="16">
        <f t="shared" si="7"/>
        <v>40500</v>
      </c>
      <c r="P51" s="3">
        <f t="array" ref="P51">INDEX(_xlfn.ANCHORARRAY($B$5),MATCH(O51,$G$5:$G$64,1))+1</f>
        <v>43</v>
      </c>
      <c r="S51" s="16"/>
      <c r="T51" s="16"/>
      <c r="U51" s="16"/>
    </row>
    <row r="52" s="3" customFormat="1" spans="2:21">
      <c r="B52" s="3">
        <v>48</v>
      </c>
      <c r="C52" s="3">
        <v>750</v>
      </c>
      <c r="D52" s="3">
        <f t="shared" si="3"/>
        <v>8270</v>
      </c>
      <c r="E52" s="3">
        <v>30</v>
      </c>
      <c r="F52" s="3">
        <f>SUM($D$5:D52)</f>
        <v>84060</v>
      </c>
      <c r="G52" s="3">
        <f>SUM($D$5:D52)-10*SUM($E$5:E52)</f>
        <v>76710</v>
      </c>
      <c r="L52" s="16"/>
      <c r="M52" s="16"/>
      <c r="N52" s="16">
        <v>10</v>
      </c>
      <c r="O52" s="16">
        <f t="shared" si="7"/>
        <v>45000</v>
      </c>
      <c r="P52" s="3">
        <f t="array" ref="P52">INDEX(_xlfn.ANCHORARRAY($B$5),MATCH(O52,$G$5:$G$64,1))+1</f>
        <v>44</v>
      </c>
      <c r="S52" s="16"/>
      <c r="T52" s="16"/>
      <c r="U52" s="16"/>
    </row>
    <row r="53" s="3" customFormat="1" spans="2:21">
      <c r="B53" s="3">
        <v>49</v>
      </c>
      <c r="C53" s="3">
        <v>800</v>
      </c>
      <c r="D53" s="3">
        <f t="shared" si="3"/>
        <v>9070</v>
      </c>
      <c r="E53" s="3">
        <v>30</v>
      </c>
      <c r="F53" s="3">
        <f>SUM($D$5:D53)</f>
        <v>93130</v>
      </c>
      <c r="G53" s="3">
        <f>SUM($D$5:D53)-10*SUM($E$5:E53)</f>
        <v>85480</v>
      </c>
      <c r="L53" s="16"/>
      <c r="M53" s="16"/>
      <c r="N53" s="16">
        <v>11</v>
      </c>
      <c r="O53" s="16">
        <f t="shared" si="7"/>
        <v>49500</v>
      </c>
      <c r="P53" s="3">
        <f t="array" ref="P53">INDEX(_xlfn.ANCHORARRAY($B$5),MATCH(O53,$G$5:$G$64,1))+1</f>
        <v>45</v>
      </c>
      <c r="S53" s="16"/>
      <c r="T53" s="16"/>
      <c r="U53" s="16"/>
    </row>
    <row r="54" s="3" customFormat="1" spans="2:21">
      <c r="B54" s="3">
        <v>50</v>
      </c>
      <c r="C54" s="3">
        <v>850</v>
      </c>
      <c r="D54" s="3">
        <f t="shared" si="3"/>
        <v>9920</v>
      </c>
      <c r="E54" s="3">
        <v>30</v>
      </c>
      <c r="F54" s="3">
        <f>SUM($D$5:D54)</f>
        <v>103050</v>
      </c>
      <c r="G54" s="3">
        <f>SUM($D$5:D54)-10*SUM($E$5:E54)</f>
        <v>95100</v>
      </c>
      <c r="L54" s="16"/>
      <c r="M54" s="16"/>
      <c r="N54" s="16">
        <v>12</v>
      </c>
      <c r="O54" s="16">
        <f t="shared" si="7"/>
        <v>54000</v>
      </c>
      <c r="P54" s="3">
        <f t="array" ref="P54">INDEX(_xlfn.ANCHORARRAY($B$5),MATCH(O54,$G$5:$G$64,1))+1</f>
        <v>45</v>
      </c>
      <c r="S54" s="16"/>
      <c r="T54" s="16"/>
      <c r="U54" s="16"/>
    </row>
    <row r="55" s="3" customFormat="1" spans="2:21">
      <c r="B55" s="3">
        <v>51</v>
      </c>
      <c r="C55" s="3">
        <v>1000</v>
      </c>
      <c r="D55" s="3">
        <f t="shared" si="3"/>
        <v>10920</v>
      </c>
      <c r="E55" s="3">
        <v>40</v>
      </c>
      <c r="F55" s="3">
        <f>SUM($D$5:D55)</f>
        <v>113970</v>
      </c>
      <c r="G55" s="3">
        <f>SUM($D$5:D55)-10*SUM($E$5:E55)</f>
        <v>105620</v>
      </c>
      <c r="L55" s="16"/>
      <c r="M55" s="16"/>
      <c r="N55" s="16">
        <v>13</v>
      </c>
      <c r="O55" s="16">
        <f t="shared" si="7"/>
        <v>58500</v>
      </c>
      <c r="P55" s="3">
        <f t="array" ref="P55">INDEX(_xlfn.ANCHORARRAY($B$5),MATCH(O55,$G$5:$G$64,1))+1</f>
        <v>46</v>
      </c>
      <c r="S55" s="16"/>
      <c r="T55" s="16"/>
      <c r="U55" s="16"/>
    </row>
    <row r="56" s="3" customFormat="1" spans="2:21">
      <c r="B56" s="3">
        <v>52</v>
      </c>
      <c r="C56" s="3">
        <v>1100</v>
      </c>
      <c r="D56" s="3">
        <f t="shared" si="3"/>
        <v>12020</v>
      </c>
      <c r="E56" s="3">
        <v>40</v>
      </c>
      <c r="F56" s="3">
        <f>SUM($D$5:D56)</f>
        <v>125990</v>
      </c>
      <c r="G56" s="3">
        <f>SUM($D$5:D56)-10*SUM($E$5:E56)</f>
        <v>117240</v>
      </c>
      <c r="L56" s="16"/>
      <c r="M56" s="16"/>
      <c r="N56" s="16">
        <v>14</v>
      </c>
      <c r="O56" s="16">
        <f t="shared" si="7"/>
        <v>63000</v>
      </c>
      <c r="P56" s="3">
        <f t="array" ref="P56">INDEX(_xlfn.ANCHORARRAY($B$5),MATCH(O56,$G$5:$G$64,1))+1</f>
        <v>47</v>
      </c>
      <c r="S56" s="16"/>
      <c r="T56" s="16"/>
      <c r="U56" s="16"/>
    </row>
    <row r="57" s="3" customFormat="1" spans="2:21">
      <c r="B57" s="3">
        <v>53</v>
      </c>
      <c r="C57" s="3">
        <v>1200</v>
      </c>
      <c r="D57" s="3">
        <f t="shared" si="3"/>
        <v>13220</v>
      </c>
      <c r="E57" s="3">
        <v>40</v>
      </c>
      <c r="F57" s="3">
        <f>SUM($D$5:D57)</f>
        <v>139210</v>
      </c>
      <c r="G57" s="3">
        <f>SUM($D$5:D57)-10*SUM($E$5:E57)</f>
        <v>130060</v>
      </c>
      <c r="L57" s="16"/>
      <c r="M57" s="16"/>
      <c r="N57" s="16">
        <v>15</v>
      </c>
      <c r="O57" s="16">
        <f t="shared" si="7"/>
        <v>67500</v>
      </c>
      <c r="P57" s="3">
        <f t="array" ref="P57">INDEX(_xlfn.ANCHORARRAY($B$5),MATCH(O57,$G$5:$G$64,1))+1</f>
        <v>47</v>
      </c>
      <c r="S57" s="16"/>
      <c r="T57" s="16"/>
      <c r="U57" s="16"/>
    </row>
    <row r="58" s="3" customFormat="1" spans="2:21">
      <c r="B58" s="3">
        <v>54</v>
      </c>
      <c r="C58" s="3">
        <v>1300</v>
      </c>
      <c r="D58" s="3">
        <f t="shared" si="3"/>
        <v>14520</v>
      </c>
      <c r="E58" s="3">
        <v>40</v>
      </c>
      <c r="F58" s="3">
        <f>SUM($D$5:D58)</f>
        <v>153730</v>
      </c>
      <c r="G58" s="3">
        <f>SUM($D$5:D58)-10*SUM($E$5:E58)</f>
        <v>144180</v>
      </c>
      <c r="L58" s="16"/>
      <c r="M58" s="16"/>
      <c r="N58" s="16">
        <v>16</v>
      </c>
      <c r="O58" s="16">
        <f t="shared" si="7"/>
        <v>72000</v>
      </c>
      <c r="P58" s="3">
        <f t="array" ref="P58">INDEX(_xlfn.ANCHORARRAY($B$5),MATCH(O58,$G$5:$G$64,1))+1</f>
        <v>48</v>
      </c>
      <c r="S58" s="16"/>
      <c r="T58" s="16"/>
      <c r="U58" s="16"/>
    </row>
    <row r="59" s="3" customFormat="1" spans="2:21">
      <c r="B59" s="3">
        <v>55</v>
      </c>
      <c r="C59" s="3">
        <v>1400</v>
      </c>
      <c r="D59" s="3">
        <f t="shared" si="3"/>
        <v>15920</v>
      </c>
      <c r="E59" s="3">
        <v>40</v>
      </c>
      <c r="F59" s="3">
        <f>SUM($D$5:D59)</f>
        <v>169650</v>
      </c>
      <c r="G59" s="3">
        <f>SUM($D$5:D59)-10*SUM($E$5:E59)</f>
        <v>159700</v>
      </c>
      <c r="L59" s="16"/>
      <c r="M59" s="16"/>
      <c r="N59" s="16">
        <v>17</v>
      </c>
      <c r="O59" s="16">
        <f t="shared" si="7"/>
        <v>76500</v>
      </c>
      <c r="P59" s="3">
        <f t="array" ref="P59">INDEX(_xlfn.ANCHORARRAY($B$5),MATCH(O59,$G$5:$G$64,1))+1</f>
        <v>48</v>
      </c>
      <c r="S59" s="16"/>
      <c r="T59" s="16"/>
      <c r="U59" s="16"/>
    </row>
    <row r="60" s="3" customFormat="1" spans="2:21">
      <c r="B60" s="3">
        <v>56</v>
      </c>
      <c r="C60" s="3">
        <v>1500</v>
      </c>
      <c r="D60" s="3">
        <f t="shared" si="3"/>
        <v>17420</v>
      </c>
      <c r="E60" s="3">
        <v>40</v>
      </c>
      <c r="F60" s="3">
        <f>SUM($D$5:D60)</f>
        <v>187070</v>
      </c>
      <c r="G60" s="3">
        <f>SUM($D$5:D60)-10*SUM($E$5:E60)</f>
        <v>176720</v>
      </c>
      <c r="L60" s="16"/>
      <c r="M60" s="16"/>
      <c r="N60" s="16">
        <v>18</v>
      </c>
      <c r="O60" s="16">
        <f t="shared" si="7"/>
        <v>81000</v>
      </c>
      <c r="P60" s="3">
        <f t="array" ref="P60">INDEX(_xlfn.ANCHORARRAY($B$5),MATCH(O60,$G$5:$G$64,1))+1</f>
        <v>49</v>
      </c>
      <c r="S60" s="16"/>
      <c r="T60" s="16"/>
      <c r="U60" s="16"/>
    </row>
    <row r="61" s="3" customFormat="1" spans="2:21">
      <c r="B61" s="3">
        <v>57</v>
      </c>
      <c r="C61" s="3">
        <v>2000</v>
      </c>
      <c r="D61" s="3">
        <f t="shared" si="3"/>
        <v>19420</v>
      </c>
      <c r="E61" s="3">
        <v>40</v>
      </c>
      <c r="F61" s="3">
        <f>SUM($D$5:D61)</f>
        <v>206490</v>
      </c>
      <c r="G61" s="3">
        <f>SUM($D$5:D61)-10*SUM($E$5:E61)</f>
        <v>195740</v>
      </c>
      <c r="L61" s="16"/>
      <c r="M61" s="16"/>
      <c r="N61" s="16">
        <v>19</v>
      </c>
      <c r="O61" s="16">
        <f t="shared" si="7"/>
        <v>85500</v>
      </c>
      <c r="P61" s="3">
        <f t="array" ref="P61">INDEX(_xlfn.ANCHORARRAY($B$5),MATCH(O61,$G$5:$G$64,1))+1</f>
        <v>50</v>
      </c>
      <c r="S61" s="16"/>
      <c r="T61" s="16"/>
      <c r="U61" s="16"/>
    </row>
    <row r="62" s="3" customFormat="1" spans="2:21">
      <c r="B62" s="3">
        <v>58</v>
      </c>
      <c r="C62" s="3">
        <v>3000</v>
      </c>
      <c r="D62" s="3">
        <f t="shared" si="3"/>
        <v>22420</v>
      </c>
      <c r="E62" s="3">
        <v>40</v>
      </c>
      <c r="F62" s="3">
        <f>SUM($D$5:D62)</f>
        <v>228910</v>
      </c>
      <c r="G62" s="3">
        <f>SUM($D$5:D62)-10*SUM($E$5:E62)</f>
        <v>217760</v>
      </c>
      <c r="L62" s="16"/>
      <c r="M62" s="16"/>
      <c r="N62" s="16">
        <v>20</v>
      </c>
      <c r="O62" s="16">
        <f t="shared" si="7"/>
        <v>90000</v>
      </c>
      <c r="P62" s="3">
        <f t="array" ref="P62">INDEX(_xlfn.ANCHORARRAY($B$5),MATCH(O62,$G$5:$G$64,1))+1</f>
        <v>50</v>
      </c>
      <c r="S62" s="16"/>
      <c r="T62" s="16"/>
      <c r="U62" s="16"/>
    </row>
    <row r="63" s="3" customFormat="1" spans="2:21">
      <c r="B63" s="3">
        <v>59</v>
      </c>
      <c r="C63" s="3">
        <v>4000</v>
      </c>
      <c r="D63" s="3">
        <f t="shared" si="3"/>
        <v>26420</v>
      </c>
      <c r="E63" s="3">
        <v>40</v>
      </c>
      <c r="F63" s="3">
        <f>SUM($D$5:D63)</f>
        <v>255330</v>
      </c>
      <c r="G63" s="3">
        <f>SUM($D$5:D63)-10*SUM($E$5:E63)</f>
        <v>243780</v>
      </c>
      <c r="L63" s="16"/>
      <c r="M63" s="16"/>
      <c r="N63" s="16">
        <v>21</v>
      </c>
      <c r="O63" s="16">
        <f t="shared" si="7"/>
        <v>94500</v>
      </c>
      <c r="P63" s="3">
        <f t="array" ref="P63">INDEX(_xlfn.ANCHORARRAY($B$5),MATCH(O63,$G$5:$G$64,1))+1</f>
        <v>50</v>
      </c>
      <c r="S63" s="16"/>
      <c r="T63" s="16"/>
      <c r="U63" s="16"/>
    </row>
    <row r="64" s="3" customFormat="1" spans="2:21">
      <c r="B64" s="3">
        <v>60</v>
      </c>
      <c r="C64" s="3">
        <v>5000</v>
      </c>
      <c r="D64" s="3">
        <f t="shared" si="3"/>
        <v>31420</v>
      </c>
      <c r="E64" s="3">
        <v>40</v>
      </c>
      <c r="F64" s="3">
        <f>SUM($D$5:D64)</f>
        <v>286750</v>
      </c>
      <c r="G64" s="3">
        <f>SUM($D$5:D64)-10*SUM($E$5:E64)</f>
        <v>274800</v>
      </c>
      <c r="L64" s="16"/>
      <c r="M64" s="16"/>
      <c r="N64" s="16">
        <v>22</v>
      </c>
      <c r="O64" s="16">
        <f t="shared" si="7"/>
        <v>99000</v>
      </c>
      <c r="P64" s="3">
        <f t="array" ref="P64">INDEX(_xlfn.ANCHORARRAY($B$5),MATCH(O64,$G$5:$G$64,1))+1</f>
        <v>51</v>
      </c>
      <c r="S64" s="16"/>
      <c r="T64" s="16"/>
      <c r="U64" s="16"/>
    </row>
    <row r="65" s="3" customFormat="1" spans="3:21">
      <c r="C65" s="16"/>
      <c r="D65" s="16"/>
      <c r="E65" s="16"/>
      <c r="F65" s="16"/>
      <c r="G65" s="16"/>
      <c r="L65" s="16"/>
      <c r="M65" s="16"/>
      <c r="N65" s="16">
        <v>23</v>
      </c>
      <c r="O65" s="16">
        <f t="shared" si="7"/>
        <v>103500</v>
      </c>
      <c r="P65" s="3">
        <f t="array" ref="P65">INDEX(_xlfn.ANCHORARRAY($B$5),MATCH(O65,$G$5:$G$64,1))+1</f>
        <v>51</v>
      </c>
      <c r="S65" s="16"/>
      <c r="T65" s="16"/>
      <c r="U65" s="16"/>
    </row>
    <row r="66" s="3" customFormat="1" spans="3:21">
      <c r="C66" s="16"/>
      <c r="D66" s="16"/>
      <c r="E66" s="16"/>
      <c r="F66" s="16"/>
      <c r="G66" s="16"/>
      <c r="L66" s="16"/>
      <c r="M66" s="16"/>
      <c r="N66" s="16">
        <v>24</v>
      </c>
      <c r="O66" s="16">
        <f t="shared" si="7"/>
        <v>108000</v>
      </c>
      <c r="P66" s="3">
        <f t="array" ref="P66">INDEX(_xlfn.ANCHORARRAY($B$5),MATCH(O66,$G$5:$G$64,1))+1</f>
        <v>52</v>
      </c>
      <c r="S66" s="16"/>
      <c r="T66" s="16"/>
      <c r="U66" s="16"/>
    </row>
    <row r="67" s="3" customFormat="1" spans="3:21">
      <c r="C67" s="16"/>
      <c r="D67" s="16"/>
      <c r="E67" s="16"/>
      <c r="F67" s="16"/>
      <c r="G67" s="16"/>
      <c r="L67" s="16"/>
      <c r="M67" s="16"/>
      <c r="N67" s="16">
        <v>25</v>
      </c>
      <c r="O67" s="16">
        <f t="shared" si="7"/>
        <v>112500</v>
      </c>
      <c r="P67" s="3">
        <f t="array" ref="P67">INDEX(_xlfn.ANCHORARRAY($B$5),MATCH(O67,$G$5:$G$64,1))+1</f>
        <v>52</v>
      </c>
      <c r="S67" s="16"/>
      <c r="T67" s="16"/>
      <c r="U67" s="16"/>
    </row>
    <row r="68" s="3" customFormat="1" spans="3:21">
      <c r="C68" s="16"/>
      <c r="D68" s="16"/>
      <c r="E68" s="16"/>
      <c r="F68" s="16"/>
      <c r="G68" s="16"/>
      <c r="L68" s="16"/>
      <c r="M68" s="16"/>
      <c r="N68" s="16">
        <v>26</v>
      </c>
      <c r="O68" s="16">
        <f t="shared" si="7"/>
        <v>117000</v>
      </c>
      <c r="P68" s="3">
        <f t="array" ref="P68">INDEX(_xlfn.ANCHORARRAY($B$5),MATCH(O68,$G$5:$G$64,1))+1</f>
        <v>52</v>
      </c>
      <c r="S68" s="16"/>
      <c r="T68" s="16"/>
      <c r="U68" s="16"/>
    </row>
    <row r="69" s="3" customFormat="1" spans="3:21">
      <c r="C69" s="16"/>
      <c r="D69" s="16"/>
      <c r="E69" s="16"/>
      <c r="F69" s="16"/>
      <c r="G69" s="16"/>
      <c r="L69" s="16"/>
      <c r="M69" s="16"/>
      <c r="N69" s="16">
        <v>27</v>
      </c>
      <c r="O69" s="16">
        <f t="shared" si="7"/>
        <v>121500</v>
      </c>
      <c r="P69" s="3">
        <f t="array" ref="P69">INDEX(_xlfn.ANCHORARRAY($B$5),MATCH(O69,$G$5:$G$64,1))+1</f>
        <v>53</v>
      </c>
      <c r="S69" s="16"/>
      <c r="T69" s="16"/>
      <c r="U69" s="16"/>
    </row>
    <row r="70" s="3" customFormat="1" spans="3:21">
      <c r="C70" s="16"/>
      <c r="D70" s="16"/>
      <c r="E70" s="16"/>
      <c r="F70" s="16"/>
      <c r="G70" s="16"/>
      <c r="L70" s="16"/>
      <c r="M70" s="16"/>
      <c r="N70" s="16">
        <v>28</v>
      </c>
      <c r="O70" s="16">
        <f t="shared" si="7"/>
        <v>126000</v>
      </c>
      <c r="P70" s="3">
        <f t="array" ref="P70">INDEX(_xlfn.ANCHORARRAY($B$5),MATCH(O70,$G$5:$G$64,1))+1</f>
        <v>53</v>
      </c>
      <c r="S70" s="16"/>
      <c r="T70" s="16"/>
      <c r="U70" s="16"/>
    </row>
    <row r="71" s="3" customFormat="1" spans="3:21">
      <c r="C71" s="16"/>
      <c r="D71" s="16"/>
      <c r="E71" s="16"/>
      <c r="F71" s="16"/>
      <c r="G71" s="16"/>
      <c r="L71" s="16"/>
      <c r="M71" s="16"/>
      <c r="N71" s="16">
        <v>29</v>
      </c>
      <c r="O71" s="16">
        <f t="shared" si="7"/>
        <v>130500</v>
      </c>
      <c r="P71" s="3">
        <f t="array" ref="P71">INDEX(_xlfn.ANCHORARRAY($B$5),MATCH(O71,$G$5:$G$64,1))+1</f>
        <v>54</v>
      </c>
      <c r="S71" s="16"/>
      <c r="T71" s="16"/>
      <c r="U71" s="16"/>
    </row>
    <row r="72" s="3" customFormat="1" spans="3:21">
      <c r="C72" s="16"/>
      <c r="D72" s="16"/>
      <c r="E72" s="16"/>
      <c r="F72" s="16"/>
      <c r="G72" s="16"/>
      <c r="L72" s="16"/>
      <c r="M72" s="16"/>
      <c r="N72" s="16">
        <v>30</v>
      </c>
      <c r="O72" s="16">
        <f t="shared" si="7"/>
        <v>135000</v>
      </c>
      <c r="P72" s="3">
        <f t="array" ref="P72">INDEX(_xlfn.ANCHORARRAY($B$5),MATCH(O72,$G$5:$G$64,1))+1</f>
        <v>54</v>
      </c>
      <c r="S72" s="16"/>
      <c r="T72" s="16"/>
      <c r="U72" s="16"/>
    </row>
    <row r="73" s="3" customFormat="1" spans="3:21">
      <c r="C73" s="16"/>
      <c r="D73" s="16"/>
      <c r="E73" s="16"/>
      <c r="F73" s="16"/>
      <c r="G73" s="16"/>
      <c r="L73" s="16"/>
      <c r="M73" s="16"/>
      <c r="N73" s="16">
        <v>31</v>
      </c>
      <c r="O73" s="16">
        <f t="shared" si="7"/>
        <v>139500</v>
      </c>
      <c r="P73" s="3">
        <f t="array" ref="P73">INDEX(_xlfn.ANCHORARRAY($B$5),MATCH(O73,$G$5:$G$64,1))+1</f>
        <v>54</v>
      </c>
      <c r="S73" s="16"/>
      <c r="T73" s="16"/>
      <c r="U73" s="16"/>
    </row>
    <row r="74" s="3" customFormat="1" spans="3:21">
      <c r="C74" s="16"/>
      <c r="D74" s="16"/>
      <c r="E74" s="16"/>
      <c r="F74" s="16"/>
      <c r="G74" s="16"/>
      <c r="L74" s="16"/>
      <c r="M74" s="16"/>
      <c r="N74" s="16">
        <v>32</v>
      </c>
      <c r="O74" s="16">
        <f t="shared" si="7"/>
        <v>144000</v>
      </c>
      <c r="P74" s="3">
        <f t="array" ref="P74">INDEX(_xlfn.ANCHORARRAY($B$5),MATCH(O74,$G$5:$G$64,1))+1</f>
        <v>54</v>
      </c>
      <c r="S74" s="16"/>
      <c r="T74" s="16"/>
      <c r="U74" s="16"/>
    </row>
    <row r="75" s="3" customFormat="1" spans="3:21">
      <c r="C75" s="16"/>
      <c r="D75" s="16"/>
      <c r="E75" s="16"/>
      <c r="F75" s="16"/>
      <c r="G75" s="16"/>
      <c r="L75" s="16"/>
      <c r="M75" s="16"/>
      <c r="N75" s="16">
        <v>33</v>
      </c>
      <c r="O75" s="16">
        <f t="shared" si="7"/>
        <v>148500</v>
      </c>
      <c r="P75" s="3">
        <f t="array" ref="P75">INDEX(_xlfn.ANCHORARRAY($B$5),MATCH(O75,$G$5:$G$64,1))+1</f>
        <v>55</v>
      </c>
      <c r="S75" s="16"/>
      <c r="T75" s="16"/>
      <c r="U75" s="16"/>
    </row>
    <row r="76" s="3" customFormat="1" spans="3:21">
      <c r="C76" s="16"/>
      <c r="D76" s="16"/>
      <c r="E76" s="16"/>
      <c r="F76" s="16"/>
      <c r="G76" s="16"/>
      <c r="L76" s="16"/>
      <c r="M76" s="16"/>
      <c r="N76" s="16">
        <v>34</v>
      </c>
      <c r="O76" s="16">
        <f t="shared" si="7"/>
        <v>153000</v>
      </c>
      <c r="P76" s="3">
        <f t="array" ref="P76">INDEX(_xlfn.ANCHORARRAY($B$5),MATCH(O76,$G$5:$G$64,1))+1</f>
        <v>55</v>
      </c>
      <c r="S76" s="16"/>
      <c r="T76" s="16"/>
      <c r="U76" s="16"/>
    </row>
    <row r="77" s="3" customFormat="1" spans="3:21">
      <c r="C77" s="16"/>
      <c r="D77" s="16"/>
      <c r="E77" s="16"/>
      <c r="F77" s="16"/>
      <c r="G77" s="16"/>
      <c r="L77" s="16"/>
      <c r="M77" s="16"/>
      <c r="N77" s="16">
        <v>35</v>
      </c>
      <c r="O77" s="16">
        <f t="shared" si="7"/>
        <v>157500</v>
      </c>
      <c r="P77" s="3">
        <f t="array" ref="P77">INDEX(_xlfn.ANCHORARRAY($B$5),MATCH(O77,$G$5:$G$64,1))+1</f>
        <v>55</v>
      </c>
      <c r="S77" s="16"/>
      <c r="T77" s="16"/>
      <c r="U77" s="16"/>
    </row>
    <row r="78" s="3" customFormat="1" spans="3:21">
      <c r="C78" s="16"/>
      <c r="D78" s="16"/>
      <c r="E78" s="16"/>
      <c r="F78" s="16"/>
      <c r="G78" s="16"/>
      <c r="L78" s="16"/>
      <c r="M78" s="16"/>
      <c r="N78" s="16">
        <v>36</v>
      </c>
      <c r="O78" s="16">
        <f t="shared" si="7"/>
        <v>162000</v>
      </c>
      <c r="P78" s="3">
        <f t="array" ref="P78">INDEX(_xlfn.ANCHORARRAY($B$5),MATCH(O78,$G$5:$G$64,1))+1</f>
        <v>56</v>
      </c>
      <c r="S78" s="16"/>
      <c r="T78" s="16"/>
      <c r="U78" s="16"/>
    </row>
    <row r="79" s="3" customFormat="1" spans="3:21">
      <c r="C79" s="16"/>
      <c r="D79" s="16"/>
      <c r="E79" s="16"/>
      <c r="F79" s="16"/>
      <c r="G79" s="16"/>
      <c r="L79" s="16"/>
      <c r="M79" s="16"/>
      <c r="N79" s="16">
        <v>37</v>
      </c>
      <c r="O79" s="16">
        <f t="shared" si="7"/>
        <v>166500</v>
      </c>
      <c r="P79" s="3">
        <f t="array" ref="P79">INDEX(_xlfn.ANCHORARRAY($B$5),MATCH(O79,$G$5:$G$64,1))+1</f>
        <v>56</v>
      </c>
      <c r="S79" s="16"/>
      <c r="T79" s="16"/>
      <c r="U79" s="16"/>
    </row>
    <row r="80" s="3" customFormat="1" spans="3:21">
      <c r="C80" s="16"/>
      <c r="D80" s="16"/>
      <c r="E80" s="16"/>
      <c r="F80" s="16"/>
      <c r="G80" s="16"/>
      <c r="L80" s="16"/>
      <c r="M80" s="16"/>
      <c r="N80" s="16">
        <v>38</v>
      </c>
      <c r="O80" s="16">
        <f t="shared" si="7"/>
        <v>171000</v>
      </c>
      <c r="P80" s="3">
        <f t="array" ref="P80">INDEX(_xlfn.ANCHORARRAY($B$5),MATCH(O80,$G$5:$G$64,1))+1</f>
        <v>56</v>
      </c>
      <c r="S80" s="16"/>
      <c r="T80" s="16"/>
      <c r="U80" s="16"/>
    </row>
    <row r="81" s="3" customFormat="1" spans="3:21">
      <c r="C81" s="16"/>
      <c r="D81" s="16"/>
      <c r="E81" s="16"/>
      <c r="F81" s="16"/>
      <c r="G81" s="16"/>
      <c r="L81" s="16"/>
      <c r="M81" s="16"/>
      <c r="N81" s="16">
        <v>39</v>
      </c>
      <c r="O81" s="16">
        <f t="shared" si="7"/>
        <v>175500</v>
      </c>
      <c r="P81" s="3">
        <f t="array" ref="P81">INDEX(_xlfn.ANCHORARRAY($B$5),MATCH(O81,$G$5:$G$64,1))+1</f>
        <v>56</v>
      </c>
      <c r="S81" s="16"/>
      <c r="T81" s="16"/>
      <c r="U81" s="16"/>
    </row>
    <row r="82" s="3" customFormat="1" spans="3:21">
      <c r="C82" s="16"/>
      <c r="D82" s="16"/>
      <c r="E82" s="16"/>
      <c r="F82" s="16"/>
      <c r="G82" s="16"/>
      <c r="L82" s="16"/>
      <c r="M82" s="16"/>
      <c r="N82" s="16">
        <v>40</v>
      </c>
      <c r="O82" s="16">
        <f t="shared" si="7"/>
        <v>180000</v>
      </c>
      <c r="P82" s="3">
        <f t="array" ref="P82">INDEX(_xlfn.ANCHORARRAY($B$5),MATCH(O82,$G$5:$G$64,1))+1</f>
        <v>57</v>
      </c>
      <c r="S82" s="16"/>
      <c r="T82" s="16"/>
      <c r="U82" s="16"/>
    </row>
    <row r="83" s="3" customFormat="1" spans="3:21">
      <c r="C83" s="16"/>
      <c r="D83" s="16"/>
      <c r="E83" s="16"/>
      <c r="F83" s="16"/>
      <c r="G83" s="16"/>
      <c r="L83" s="16"/>
      <c r="M83" s="16"/>
      <c r="N83" s="16">
        <v>41</v>
      </c>
      <c r="O83" s="16">
        <f t="shared" si="7"/>
        <v>184500</v>
      </c>
      <c r="P83" s="3">
        <f t="array" ref="P83">INDEX(_xlfn.ANCHORARRAY($B$5),MATCH(O83,$G$5:$G$64,1))+1</f>
        <v>57</v>
      </c>
      <c r="S83" s="16"/>
      <c r="T83" s="16"/>
      <c r="U83" s="16"/>
    </row>
    <row r="84" s="3" customFormat="1" spans="3:21">
      <c r="C84" s="16"/>
      <c r="D84" s="16"/>
      <c r="E84" s="16"/>
      <c r="F84" s="16"/>
      <c r="G84" s="16"/>
      <c r="L84" s="16"/>
      <c r="M84" s="16"/>
      <c r="N84" s="16">
        <v>42</v>
      </c>
      <c r="O84" s="16">
        <f t="shared" si="7"/>
        <v>189000</v>
      </c>
      <c r="P84" s="3">
        <f t="array" ref="P84">INDEX(_xlfn.ANCHORARRAY($B$5),MATCH(O84,$G$5:$G$64,1))+1</f>
        <v>57</v>
      </c>
      <c r="S84" s="16"/>
      <c r="T84" s="16"/>
      <c r="U84" s="16"/>
    </row>
    <row r="85" s="3" customFormat="1" spans="3:21">
      <c r="L85" s="16"/>
      <c r="M85" s="16"/>
      <c r="N85" s="16">
        <v>43</v>
      </c>
      <c r="O85" s="16">
        <f t="shared" si="7"/>
        <v>193500</v>
      </c>
      <c r="P85" s="3">
        <f t="array" ref="P85">INDEX(_xlfn.ANCHORARRAY($B$5),MATCH(O85,$G$5:$G$64,1))+1</f>
        <v>57</v>
      </c>
      <c r="S85" s="16"/>
      <c r="T85" s="16"/>
      <c r="U85" s="16"/>
    </row>
    <row r="86" s="3" customFormat="1" spans="3:21">
      <c r="L86" s="16"/>
      <c r="M86" s="16"/>
      <c r="N86" s="16">
        <v>44</v>
      </c>
      <c r="O86" s="16">
        <f t="shared" si="7"/>
        <v>198000</v>
      </c>
      <c r="P86" s="3">
        <f t="array" ref="P86">INDEX(_xlfn.ANCHORARRAY($B$5),MATCH(O86,$G$5:$G$64,1))+1</f>
        <v>58</v>
      </c>
      <c r="S86" s="16"/>
      <c r="T86" s="16"/>
      <c r="U86" s="16"/>
    </row>
    <row r="87" s="3" customFormat="1" spans="3:21">
      <c r="L87" s="16"/>
      <c r="M87" s="16"/>
      <c r="N87" s="16">
        <v>45</v>
      </c>
      <c r="O87" s="16">
        <f t="shared" si="7"/>
        <v>202500</v>
      </c>
      <c r="P87" s="3">
        <f t="array" ref="P87">INDEX(_xlfn.ANCHORARRAY($B$5),MATCH(O87,$G$5:$G$64,1))+1</f>
        <v>58</v>
      </c>
      <c r="S87" s="16"/>
      <c r="T87" s="16"/>
      <c r="U87" s="16"/>
    </row>
    <row r="88" s="3" customFormat="1" spans="3:21">
      <c r="L88" s="16"/>
      <c r="M88" s="16"/>
      <c r="N88" s="16">
        <v>46</v>
      </c>
      <c r="O88" s="16">
        <f t="shared" si="7"/>
        <v>207000</v>
      </c>
      <c r="P88" s="3">
        <f t="array" ref="P88">INDEX(_xlfn.ANCHORARRAY($B$5),MATCH(O88,$G$5:$G$64,1))+1</f>
        <v>58</v>
      </c>
      <c r="S88" s="16"/>
      <c r="T88" s="16"/>
      <c r="U88" s="16"/>
    </row>
    <row r="89" s="3" customFormat="1" spans="3:21">
      <c r="L89" s="16"/>
      <c r="M89" s="16"/>
      <c r="N89" s="16">
        <v>47</v>
      </c>
      <c r="O89" s="16">
        <f t="shared" si="7"/>
        <v>211500</v>
      </c>
      <c r="P89" s="3">
        <f t="array" ref="P89">INDEX(_xlfn.ANCHORARRAY($B$5),MATCH(O89,$G$5:$G$64,1))+1</f>
        <v>58</v>
      </c>
      <c r="S89" s="16"/>
      <c r="T89" s="16"/>
      <c r="U89" s="16"/>
    </row>
    <row r="90" s="3" customFormat="1" spans="3:21">
      <c r="L90" s="16"/>
      <c r="M90" s="16"/>
      <c r="N90" s="16">
        <v>48</v>
      </c>
      <c r="O90" s="16">
        <f t="shared" si="7"/>
        <v>216000</v>
      </c>
      <c r="P90" s="3">
        <f t="array" ref="P90">INDEX(_xlfn.ANCHORARRAY($B$5),MATCH(O90,$G$5:$G$64,1))+1</f>
        <v>58</v>
      </c>
      <c r="S90" s="16"/>
      <c r="T90" s="16"/>
      <c r="U90" s="16"/>
    </row>
    <row r="91" s="3" customFormat="1" spans="3:21">
      <c r="L91" s="16"/>
      <c r="M91" s="16"/>
      <c r="N91" s="16">
        <v>49</v>
      </c>
      <c r="O91" s="16">
        <f t="shared" si="7"/>
        <v>220500</v>
      </c>
      <c r="P91" s="3">
        <f t="array" ref="P91">INDEX(_xlfn.ANCHORARRAY($B$5),MATCH(O91,$G$5:$G$64,1))+1</f>
        <v>59</v>
      </c>
      <c r="S91" s="16"/>
      <c r="T91" s="16"/>
      <c r="U91" s="16"/>
    </row>
    <row r="92" s="3" customFormat="1" spans="3:21">
      <c r="L92" s="16"/>
      <c r="M92" s="16"/>
      <c r="N92" s="16">
        <v>50</v>
      </c>
      <c r="O92" s="16">
        <f t="shared" si="7"/>
        <v>225000</v>
      </c>
      <c r="P92" s="3">
        <f t="array" ref="P92">INDEX(_xlfn.ANCHORARRAY($B$5),MATCH(O92,$G$5:$G$64,1))+1</f>
        <v>59</v>
      </c>
      <c r="S92" s="16"/>
      <c r="T92" s="16"/>
      <c r="U92" s="16"/>
    </row>
    <row r="93" s="3" customFormat="1" spans="3:21">
      <c r="L93" s="16"/>
      <c r="M93" s="16"/>
      <c r="N93" s="16">
        <v>51</v>
      </c>
      <c r="O93" s="16">
        <f t="shared" si="7"/>
        <v>229500</v>
      </c>
      <c r="P93" s="3">
        <f t="array" ref="P93">INDEX(_xlfn.ANCHORARRAY($B$5),MATCH(O93,$G$5:$G$64,1))+1</f>
        <v>59</v>
      </c>
      <c r="S93" s="16"/>
      <c r="T93" s="16"/>
      <c r="U93" s="16"/>
    </row>
    <row r="94" s="3" customFormat="1" spans="3:21">
      <c r="L94" s="16"/>
      <c r="M94" s="16"/>
      <c r="N94" s="16">
        <v>52</v>
      </c>
      <c r="O94" s="16">
        <f t="shared" si="7"/>
        <v>234000</v>
      </c>
      <c r="P94" s="3">
        <f t="array" ref="P94">INDEX(_xlfn.ANCHORARRAY($B$5),MATCH(O94,$G$5:$G$64,1))+1</f>
        <v>59</v>
      </c>
      <c r="S94" s="16"/>
      <c r="T94" s="16"/>
      <c r="U94" s="16"/>
    </row>
    <row r="95" s="3" customFormat="1" spans="3:21">
      <c r="L95" s="16"/>
      <c r="M95" s="16"/>
      <c r="N95" s="16">
        <v>53</v>
      </c>
      <c r="O95" s="16">
        <f t="shared" si="7"/>
        <v>238500</v>
      </c>
      <c r="P95" s="3">
        <f t="array" ref="P95">INDEX(_xlfn.ANCHORARRAY($B$5),MATCH(O95,$G$5:$G$64,1))+1</f>
        <v>59</v>
      </c>
      <c r="S95" s="16"/>
      <c r="T95" s="16"/>
      <c r="U95" s="16"/>
    </row>
    <row r="96" s="3" customFormat="1" spans="3:21">
      <c r="L96" s="16"/>
      <c r="M96" s="16"/>
      <c r="N96" s="16">
        <v>54</v>
      </c>
      <c r="O96" s="16">
        <f t="shared" si="7"/>
        <v>243000</v>
      </c>
      <c r="P96" s="3">
        <f t="array" ref="P96">INDEX(_xlfn.ANCHORARRAY($B$5),MATCH(O96,$G$5:$G$64,1))+1</f>
        <v>59</v>
      </c>
      <c r="S96" s="16"/>
      <c r="T96" s="16"/>
      <c r="U96" s="16"/>
    </row>
    <row r="97" s="3" customFormat="1" spans="12:21">
      <c r="L97" s="16"/>
      <c r="M97" s="16"/>
      <c r="N97" s="16">
        <v>55</v>
      </c>
      <c r="O97" s="16">
        <f t="shared" si="7"/>
        <v>247500</v>
      </c>
      <c r="P97" s="3">
        <f t="array" ref="P97">INDEX(_xlfn.ANCHORARRAY($B$5),MATCH(O97,$G$5:$G$64,1))+1</f>
        <v>60</v>
      </c>
      <c r="S97" s="16"/>
      <c r="T97" s="16"/>
      <c r="U97" s="16"/>
    </row>
    <row r="98" s="3" customFormat="1" spans="12:21">
      <c r="L98" s="16"/>
      <c r="M98" s="16"/>
      <c r="N98" s="16">
        <v>56</v>
      </c>
      <c r="O98" s="16">
        <f t="shared" si="7"/>
        <v>252000</v>
      </c>
      <c r="P98" s="3">
        <f t="array" ref="P98">INDEX(_xlfn.ANCHORARRAY($B$5),MATCH(O98,$G$5:$G$64,1))+1</f>
        <v>60</v>
      </c>
      <c r="S98" s="16"/>
      <c r="T98" s="16"/>
      <c r="U98" s="16"/>
    </row>
    <row r="99" s="3" customFormat="1" spans="12:21">
      <c r="L99" s="16"/>
      <c r="M99" s="16"/>
      <c r="N99" s="16"/>
      <c r="O99" s="3"/>
      <c r="S99" s="16"/>
      <c r="T99" s="16"/>
      <c r="U99" s="16"/>
    </row>
    <row r="100" s="3" customFormat="1" spans="12:21">
      <c r="L100" s="16"/>
      <c r="M100" s="16"/>
      <c r="N100" s="16"/>
      <c r="O100" s="3"/>
      <c r="S100" s="16"/>
      <c r="T100" s="16"/>
      <c r="U100" s="16"/>
    </row>
    <row r="101" s="3" customFormat="1" spans="12:21">
      <c r="L101" s="16"/>
      <c r="M101" s="16"/>
      <c r="N101" s="16"/>
      <c r="O101" s="3"/>
      <c r="S101" s="16"/>
      <c r="T101" s="16"/>
      <c r="U101" s="16"/>
    </row>
    <row r="102" s="3" customFormat="1" spans="12:21">
      <c r="L102" s="16"/>
      <c r="M102" s="16"/>
      <c r="N102" s="16"/>
      <c r="O102" s="3"/>
      <c r="S102" s="16"/>
      <c r="T102" s="16"/>
      <c r="U102" s="16"/>
    </row>
    <row r="103" s="3" customFormat="1" spans="12:21">
      <c r="L103" s="16"/>
      <c r="M103" s="16"/>
      <c r="N103" s="16"/>
      <c r="O103" s="3"/>
      <c r="S103" s="16"/>
      <c r="T103" s="16"/>
      <c r="U103" s="16"/>
    </row>
    <row r="104" s="3" customFormat="1" spans="12:21">
      <c r="L104" s="16"/>
      <c r="M104" s="16"/>
      <c r="N104" s="16"/>
      <c r="O104" s="3"/>
      <c r="S104" s="16"/>
      <c r="T104" s="16"/>
      <c r="U104" s="16"/>
    </row>
    <row r="105" s="3" customFormat="1" spans="12:21">
      <c r="L105" s="16"/>
      <c r="M105" s="16"/>
      <c r="N105" s="16"/>
      <c r="O105" s="3"/>
      <c r="S105" s="16"/>
      <c r="T105" s="16"/>
      <c r="U105" s="16"/>
    </row>
  </sheetData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9"/>
  <sheetViews>
    <sheetView topLeftCell="A24" workbookViewId="0">
      <selection activeCell="L33" sqref="L33"/>
    </sheetView>
  </sheetViews>
  <sheetFormatPr defaultColWidth="9" defaultRowHeight="13.5"/>
  <cols>
    <col min="1" max="1" width="11" style="14" customWidth="1"/>
    <col min="2" max="2" width="14" style="14" customWidth="1"/>
    <col min="3" max="3" width="11" style="14" customWidth="1"/>
    <col min="4" max="4" width="10" style="14" customWidth="1"/>
    <col min="5" max="8" width="12" style="14" customWidth="1"/>
    <col min="9" max="9" width="15" style="14" customWidth="1"/>
    <col min="10" max="10" width="18" style="14" customWidth="1"/>
    <col min="11" max="12" width="14" style="14" customWidth="1"/>
    <col min="13" max="13" width="13" style="14" customWidth="1"/>
    <col min="14" max="14" width="15" style="14" customWidth="1"/>
    <col min="15" max="15" width="14" style="14" customWidth="1"/>
    <col min="16" max="16" width="20" style="14" customWidth="1"/>
    <col min="17" max="20" width="13" style="14" customWidth="1"/>
    <col min="21" max="24" width="14" style="14" customWidth="1"/>
    <col min="25" max="25" width="12" style="14" customWidth="1"/>
    <col min="26" max="26" width="24" style="14" customWidth="1"/>
    <col min="27" max="27" width="28" style="14" customWidth="1"/>
  </cols>
  <sheetData>
    <row r="1" ht="26" customHeight="1" spans="1:27">
      <c r="A1" s="194" t="s">
        <v>1192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6"/>
    </row>
    <row r="2" ht="36" customHeight="1" spans="1:27">
      <c r="A2" s="197" t="s">
        <v>1193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6"/>
    </row>
    <row r="3" ht="21" customHeight="1"/>
    <row r="4" ht="21" customHeight="1" spans="1:27">
      <c r="A4" s="198" t="s">
        <v>1194</v>
      </c>
      <c r="B4" s="195"/>
      <c r="C4" s="195"/>
      <c r="D4" s="195"/>
      <c r="E4" s="195"/>
      <c r="F4" s="196"/>
      <c r="J4" s="198" t="s">
        <v>1195</v>
      </c>
      <c r="K4" s="195"/>
      <c r="L4" s="195"/>
      <c r="M4" s="195"/>
      <c r="N4" s="195"/>
      <c r="O4" s="195"/>
      <c r="P4" s="196"/>
    </row>
    <row r="5" ht="21" customHeight="1" spans="1:27">
      <c r="A5" s="199" t="s">
        <v>1196</v>
      </c>
      <c r="B5" s="203" t="s">
        <v>1197</v>
      </c>
      <c r="C5" s="223" t="s">
        <v>1198</v>
      </c>
      <c r="D5" s="195"/>
      <c r="E5" s="195"/>
      <c r="F5" s="196"/>
      <c r="J5" s="199" t="s">
        <v>1199</v>
      </c>
      <c r="K5" s="224">
        <f>SUMPRODUCT((竞技场!$J$86:$J$95="赛季限购")*(竞技场!$C$86:$C$95&lt;&gt;"炮台升级小材料")*(竞技场!$C$86:$C$95&lt;&gt;"炮台升级大材料")*竞技场!$G$86:$G$95*竞技场!$K$86:$K$95)</f>
        <v>1000</v>
      </c>
      <c r="L5" s="223" t="s">
        <v>1200</v>
      </c>
      <c r="M5" s="195"/>
      <c r="N5" s="195"/>
      <c r="O5" s="195"/>
      <c r="P5" s="196"/>
    </row>
    <row r="6" ht="21" customHeight="1" spans="1:27">
      <c r="A6" s="199" t="s">
        <v>1201</v>
      </c>
      <c r="B6" s="200">
        <v>50</v>
      </c>
      <c r="C6" s="223" t="s">
        <v>1202</v>
      </c>
      <c r="D6" s="195"/>
      <c r="E6" s="195"/>
      <c r="F6" s="196"/>
      <c r="J6" s="199" t="s">
        <v>1203</v>
      </c>
      <c r="K6" s="224">
        <f>SUMPRODUCT((竞技场!$J$86:$J$95="赛季限购")*(竞技场!$C$86:$C$95="炮台升级小材料")*竞技场!$D$86:$D$95*竞技场!$K$86:$K$95)</f>
        <v>6000</v>
      </c>
      <c r="L6" s="223" t="s">
        <v>1204</v>
      </c>
      <c r="M6" s="195"/>
      <c r="N6" s="195"/>
      <c r="O6" s="195"/>
      <c r="P6" s="196"/>
    </row>
    <row r="7" ht="21" customHeight="1" spans="1:27">
      <c r="A7" s="199" t="s">
        <v>1205</v>
      </c>
      <c r="B7" s="200">
        <v>40</v>
      </c>
      <c r="C7" s="223" t="s">
        <v>1206</v>
      </c>
      <c r="D7" s="195"/>
      <c r="E7" s="195"/>
      <c r="F7" s="196"/>
      <c r="J7" s="199" t="s">
        <v>1207</v>
      </c>
      <c r="K7" s="224">
        <f>SUMPRODUCT((竞技场!$J$86:$J$95="赛季限购")*(竞技场!$C$86:$C$95="炮台升级大材料")*竞技场!$D$86:$D$95*竞技场!$K$86:$K$95)</f>
        <v>0</v>
      </c>
      <c r="L7" s="223" t="s">
        <v>1204</v>
      </c>
      <c r="M7" s="195"/>
      <c r="N7" s="195"/>
      <c r="O7" s="195"/>
      <c r="P7" s="196"/>
    </row>
    <row r="8" ht="21" customHeight="1" spans="1:27">
      <c r="A8" s="199" t="s">
        <v>1208</v>
      </c>
      <c r="B8" s="200">
        <v>30</v>
      </c>
      <c r="C8" s="223" t="s">
        <v>1209</v>
      </c>
      <c r="D8" s="195"/>
      <c r="E8" s="195"/>
      <c r="F8" s="196"/>
      <c r="J8" s="199" t="s">
        <v>1210</v>
      </c>
      <c r="K8" s="224">
        <f>SUMPRODUCT((竞技场!$J$86:$J$95="赛季限购")*(((竞技场!$C$86:$C$95="炮台升级小材料")+(竞技场!$C$86:$C$95="炮台升级大材料")))*竞技场!$G$86:$G$95*竞技场!$K$86:$K$95)</f>
        <v>500</v>
      </c>
      <c r="L8" s="223" t="s">
        <v>1211</v>
      </c>
      <c r="M8" s="195"/>
      <c r="N8" s="195"/>
      <c r="O8" s="195"/>
      <c r="P8" s="196"/>
    </row>
    <row r="9" ht="21" customHeight="1" spans="1:27">
      <c r="A9" s="199" t="s">
        <v>1212</v>
      </c>
      <c r="B9" s="203" t="s">
        <v>1213</v>
      </c>
      <c r="C9" s="223" t="s">
        <v>1214</v>
      </c>
      <c r="D9" s="195"/>
      <c r="E9" s="195"/>
      <c r="F9" s="196"/>
      <c r="J9" s="199" t="s">
        <v>1215</v>
      </c>
      <c r="K9" s="224">
        <f>SUMPRODUCT((竞技场!$J$86:$J$95="不限购")*(竞技场!$C$86:$C$95="炮台升级大材料")*竞技场!$G$86:$G$95)</f>
        <v>0</v>
      </c>
      <c r="L9" s="223" t="s">
        <v>1216</v>
      </c>
      <c r="M9" s="195"/>
      <c r="N9" s="195"/>
      <c r="O9" s="195"/>
      <c r="P9" s="196"/>
    </row>
    <row r="10" ht="21" customHeight="1" spans="1:27">
      <c r="A10" s="199" t="s">
        <v>1217</v>
      </c>
      <c r="B10" s="200">
        <v>8</v>
      </c>
      <c r="C10" s="223" t="s">
        <v>1218</v>
      </c>
      <c r="D10" s="195"/>
      <c r="E10" s="195"/>
      <c r="F10" s="196"/>
      <c r="J10" s="199" t="s">
        <v>1219</v>
      </c>
      <c r="K10" s="224" t="e">
        <f>SUMPRODUCT((竞技场!$J$86:$J$95="不限购")*(竞技场!$C$86:$C$95="炮台升级小材料")*竞技场!$D$86:$D$95)/SUMPRODUCT((竞技场!$J$86:$J$95="不限购")*(竞技场!$C$86:$C$95="炮台升级小材料")*竞技场!$G$86:$G$95)</f>
        <v>#DIV/0!</v>
      </c>
      <c r="L10" s="223" t="s">
        <v>1220</v>
      </c>
      <c r="M10" s="195"/>
      <c r="N10" s="195"/>
      <c r="O10" s="195"/>
      <c r="P10" s="196"/>
    </row>
    <row r="11" ht="21" customHeight="1" spans="1:27">
      <c r="A11" s="199" t="s">
        <v>1221</v>
      </c>
      <c r="B11" s="225">
        <v>3.5</v>
      </c>
      <c r="C11" s="223" t="s">
        <v>1222</v>
      </c>
      <c r="D11" s="195"/>
      <c r="E11" s="195"/>
      <c r="F11" s="196"/>
      <c r="J11" s="199" t="s">
        <v>1223</v>
      </c>
      <c r="K11" s="224">
        <f>VLOOKUP("炮台升级小材料",道具定价!$C:$F,4,0)</f>
        <v>1</v>
      </c>
      <c r="L11" s="223" t="s">
        <v>1224</v>
      </c>
      <c r="M11" s="195"/>
      <c r="N11" s="195"/>
      <c r="O11" s="195"/>
      <c r="P11" s="196"/>
    </row>
    <row r="12" ht="21" customHeight="1" spans="1:27">
      <c r="A12" s="199" t="s">
        <v>1225</v>
      </c>
      <c r="B12" s="225">
        <v>1.2</v>
      </c>
      <c r="C12" s="223" t="s">
        <v>1226</v>
      </c>
      <c r="D12" s="195"/>
      <c r="E12" s="195"/>
      <c r="F12" s="196"/>
      <c r="J12" s="199" t="s">
        <v>1227</v>
      </c>
      <c r="K12" s="224">
        <f>VLOOKUP("炮台升级大材料",道具定价!$C:$F,4,0)</f>
        <v>1000</v>
      </c>
      <c r="L12" s="223" t="s">
        <v>1224</v>
      </c>
      <c r="M12" s="195"/>
      <c r="N12" s="195"/>
      <c r="O12" s="195"/>
      <c r="P12" s="196"/>
    </row>
    <row r="13" ht="21" customHeight="1"/>
    <row r="14" ht="21" customHeight="1"/>
    <row r="15" ht="21" customHeight="1" spans="1:27">
      <c r="A15" s="198" t="s">
        <v>1228</v>
      </c>
      <c r="B15" s="195"/>
      <c r="C15" s="195"/>
      <c r="D15" s="195"/>
      <c r="E15" s="195"/>
      <c r="F15" s="195"/>
      <c r="G15" s="196"/>
      <c r="J15" s="198" t="s">
        <v>1229</v>
      </c>
      <c r="K15" s="195"/>
      <c r="L15" s="195"/>
      <c r="M15" s="195"/>
      <c r="N15" s="195"/>
      <c r="O15" s="195"/>
      <c r="P15" s="196"/>
    </row>
    <row r="16" ht="21" customHeight="1" spans="1:27">
      <c r="A16" s="202" t="s">
        <v>1230</v>
      </c>
      <c r="B16" s="202" t="s">
        <v>1231</v>
      </c>
      <c r="C16" s="202" t="s">
        <v>1232</v>
      </c>
      <c r="D16" s="202" t="s">
        <v>1233</v>
      </c>
      <c r="E16" s="202" t="s">
        <v>1234</v>
      </c>
      <c r="F16" s="202" t="s">
        <v>1235</v>
      </c>
      <c r="G16" s="202" t="s">
        <v>1236</v>
      </c>
      <c r="J16" s="202" t="s">
        <v>1237</v>
      </c>
      <c r="K16" s="202" t="s">
        <v>1038</v>
      </c>
      <c r="L16" s="202" t="s">
        <v>1238</v>
      </c>
      <c r="M16" s="202" t="s">
        <v>1239</v>
      </c>
      <c r="N16" s="202" t="s">
        <v>1240</v>
      </c>
      <c r="O16" s="202" t="s">
        <v>1241</v>
      </c>
      <c r="P16" s="202" t="s">
        <v>1236</v>
      </c>
    </row>
    <row r="17" ht="21" customHeight="1" spans="1:16">
      <c r="A17" s="200">
        <v>2</v>
      </c>
      <c r="B17" s="206">
        <f t="shared" ref="B17:B65" si="0">ROUND($B$10+(A17-1)^$B$12*$B$11,0)</f>
        <v>12</v>
      </c>
      <c r="C17" s="200">
        <f>SUM($B$17:B17)</f>
        <v>12</v>
      </c>
      <c r="D17" s="200">
        <v>0</v>
      </c>
      <c r="E17" s="200">
        <v>0</v>
      </c>
      <c r="F17" s="200">
        <v>0</v>
      </c>
      <c r="G17" s="223" t="s">
        <v>1242</v>
      </c>
      <c r="I17" t="str">
        <f t="shared" ref="I17:I65" si="1">_xlfn.CONCAT($H$18,B17,IF(F17=0,"",_xlfn.CONCAT($H$19,F17)))</f>
        <v>28,12</v>
      </c>
      <c r="J17" s="200" t="s">
        <v>733</v>
      </c>
      <c r="K17" s="200">
        <f>B6</f>
        <v>50</v>
      </c>
      <c r="L17" s="200">
        <f>SUMIFS($B$17:$B$65,$A$17:$A$65,"&lt;="&amp;$B$6)</f>
        <v>8897</v>
      </c>
      <c r="M17" s="200">
        <f>COUNTIF($D$17:$D$65,1)</f>
        <v>4</v>
      </c>
      <c r="N17" s="200">
        <f>L17*$K$11+M17*$K$12</f>
        <v>12897</v>
      </c>
      <c r="O17" s="200">
        <f>1+M17</f>
        <v>5</v>
      </c>
      <c r="P17" s="226" t="s">
        <v>1243</v>
      </c>
    </row>
    <row r="18" ht="21" customHeight="1" spans="1:16">
      <c r="A18" s="200">
        <v>3</v>
      </c>
      <c r="B18" s="206">
        <f t="shared" si="0"/>
        <v>16</v>
      </c>
      <c r="C18" s="200">
        <f>SUM($B$17:B18)</f>
        <v>28</v>
      </c>
      <c r="D18" s="200">
        <v>0</v>
      </c>
      <c r="E18" s="200">
        <v>0</v>
      </c>
      <c r="F18" s="200">
        <v>0</v>
      </c>
      <c r="G18" s="223" t="s">
        <v>1242</v>
      </c>
      <c r="H18" t="s">
        <v>1244</v>
      </c>
      <c r="I18" t="str">
        <f t="shared" si="1"/>
        <v>28,16</v>
      </c>
      <c r="J18" s="200" t="s">
        <v>734</v>
      </c>
      <c r="K18" s="200">
        <f>B7</f>
        <v>40</v>
      </c>
      <c r="L18" s="200">
        <f>SUMIFS($B$17:$B$65,$A$17:$A$65,"&lt;="&amp;$B$7)</f>
        <v>5489</v>
      </c>
      <c r="M18" s="200">
        <f>COUNTIF($E$17:$E$65,1)</f>
        <v>2</v>
      </c>
      <c r="N18" s="200">
        <f>L18*$K$11+M18*$K$12</f>
        <v>7489</v>
      </c>
      <c r="O18" s="200">
        <f>1+M18</f>
        <v>3</v>
      </c>
      <c r="P18" s="226" t="s">
        <v>1245</v>
      </c>
    </row>
    <row r="19" ht="21" customHeight="1" spans="1:16">
      <c r="A19" s="200">
        <v>4</v>
      </c>
      <c r="B19" s="206">
        <f t="shared" si="0"/>
        <v>21</v>
      </c>
      <c r="C19" s="200">
        <f>SUM($B$17:B19)</f>
        <v>49</v>
      </c>
      <c r="D19" s="200">
        <v>0</v>
      </c>
      <c r="E19" s="200">
        <v>0</v>
      </c>
      <c r="F19" s="200">
        <v>0</v>
      </c>
      <c r="G19" s="223" t="s">
        <v>1242</v>
      </c>
      <c r="H19" t="s">
        <v>1246</v>
      </c>
      <c r="I19" t="str">
        <f t="shared" si="1"/>
        <v>28,21</v>
      </c>
      <c r="J19" s="200" t="s">
        <v>735</v>
      </c>
      <c r="K19" s="200">
        <f>B8</f>
        <v>30</v>
      </c>
      <c r="L19" s="200">
        <f>SUMIFS($B$17:$B$65,$A$17:$A$65,"&lt;="&amp;$B$8)</f>
        <v>2956</v>
      </c>
      <c r="M19" s="200">
        <f>COUNTIF($F$17:$F$65,1)</f>
        <v>0</v>
      </c>
      <c r="N19" s="200">
        <f>L19*$K$11+M19*$K$12</f>
        <v>2956</v>
      </c>
      <c r="O19" s="200">
        <f>1+M19</f>
        <v>1</v>
      </c>
      <c r="P19" s="226" t="s">
        <v>1247</v>
      </c>
    </row>
    <row r="20" ht="21" customHeight="1" spans="1:16">
      <c r="A20" s="200">
        <v>5</v>
      </c>
      <c r="B20" s="206">
        <f t="shared" si="0"/>
        <v>26</v>
      </c>
      <c r="C20" s="200">
        <f>SUM($B$17:B20)</f>
        <v>75</v>
      </c>
      <c r="D20" s="200">
        <v>0</v>
      </c>
      <c r="E20" s="200">
        <v>0</v>
      </c>
      <c r="F20" s="200">
        <v>0</v>
      </c>
      <c r="G20" s="223" t="s">
        <v>1242</v>
      </c>
      <c r="I20" t="str">
        <f t="shared" si="1"/>
        <v>28,26</v>
      </c>
      <c r="J20" s="206" t="s">
        <v>1248</v>
      </c>
      <c r="K20" s="206" t="s">
        <v>1249</v>
      </c>
      <c r="L20" s="206">
        <f>SUM(L17:L19)</f>
        <v>17342</v>
      </c>
      <c r="M20" s="206">
        <f>SUM(M17:M19)</f>
        <v>6</v>
      </c>
      <c r="N20" s="206">
        <f>SUM(N17:N19)</f>
        <v>23342</v>
      </c>
      <c r="O20" s="206" t="s">
        <v>1250</v>
      </c>
      <c r="P20" s="227" t="s">
        <v>1251</v>
      </c>
    </row>
    <row r="21" ht="21" customHeight="1" spans="1:16">
      <c r="A21" s="200">
        <v>6</v>
      </c>
      <c r="B21" s="206">
        <f t="shared" si="0"/>
        <v>32</v>
      </c>
      <c r="C21" s="200">
        <f>SUM($B$17:B21)</f>
        <v>107</v>
      </c>
      <c r="D21" s="200">
        <v>0</v>
      </c>
      <c r="E21" s="200">
        <v>0</v>
      </c>
      <c r="F21" s="200">
        <v>0</v>
      </c>
      <c r="G21" s="223" t="s">
        <v>1242</v>
      </c>
      <c r="I21" t="str">
        <f t="shared" si="1"/>
        <v>28,32</v>
      </c>
      <c r="J21" s="206" t="s">
        <v>1252</v>
      </c>
      <c r="K21" s="206" t="s">
        <v>1253</v>
      </c>
      <c r="L21" s="206">
        <f>L17*3</f>
        <v>26691</v>
      </c>
      <c r="M21" s="206">
        <f>M17*3</f>
        <v>12</v>
      </c>
      <c r="N21" s="206">
        <f>N17*3</f>
        <v>38691</v>
      </c>
      <c r="O21" s="206" t="s">
        <v>1254</v>
      </c>
      <c r="P21" s="227" t="s">
        <v>1255</v>
      </c>
    </row>
    <row r="22" ht="21" customHeight="1" spans="1:16">
      <c r="A22" s="200">
        <v>7</v>
      </c>
      <c r="B22" s="206">
        <f t="shared" si="0"/>
        <v>38</v>
      </c>
      <c r="C22" s="200">
        <f>SUM($B$17:B22)</f>
        <v>145</v>
      </c>
      <c r="D22" s="200">
        <v>0</v>
      </c>
      <c r="E22" s="200">
        <v>0</v>
      </c>
      <c r="F22" s="200">
        <v>0</v>
      </c>
      <c r="G22" s="223" t="s">
        <v>1242</v>
      </c>
      <c r="I22" t="str">
        <f t="shared" si="1"/>
        <v>28,38</v>
      </c>
    </row>
    <row r="23" ht="21" customHeight="1" spans="1:16">
      <c r="A23" s="200">
        <v>8</v>
      </c>
      <c r="B23" s="206">
        <f t="shared" si="0"/>
        <v>44</v>
      </c>
      <c r="C23" s="200">
        <f>SUM($B$17:B23)</f>
        <v>189</v>
      </c>
      <c r="D23" s="200">
        <v>0</v>
      </c>
      <c r="E23" s="200">
        <v>0</v>
      </c>
      <c r="F23" s="200">
        <v>0</v>
      </c>
      <c r="G23" s="223" t="s">
        <v>1242</v>
      </c>
      <c r="I23" t="str">
        <f t="shared" si="1"/>
        <v>28,44</v>
      </c>
    </row>
    <row r="24" ht="21" customHeight="1" spans="1:16">
      <c r="A24" s="200">
        <v>9</v>
      </c>
      <c r="B24" s="206">
        <f t="shared" si="0"/>
        <v>50</v>
      </c>
      <c r="C24" s="200">
        <f>SUM($B$17:B24)</f>
        <v>239</v>
      </c>
      <c r="D24" s="200">
        <v>0</v>
      </c>
      <c r="E24" s="200">
        <v>0</v>
      </c>
      <c r="F24" s="200">
        <v>0</v>
      </c>
      <c r="G24" s="223" t="s">
        <v>1242</v>
      </c>
      <c r="I24" t="str">
        <f t="shared" si="1"/>
        <v>28,50</v>
      </c>
    </row>
    <row r="25" ht="21" customHeight="1" spans="1:16">
      <c r="A25" s="200">
        <v>10</v>
      </c>
      <c r="B25" s="206">
        <f t="shared" si="0"/>
        <v>57</v>
      </c>
      <c r="C25" s="200">
        <f>SUM($B$17:B25)</f>
        <v>296</v>
      </c>
      <c r="D25" s="200">
        <v>0</v>
      </c>
      <c r="E25" s="200">
        <v>0</v>
      </c>
      <c r="F25" s="200">
        <v>0</v>
      </c>
      <c r="G25" s="223" t="s">
        <v>1242</v>
      </c>
      <c r="I25" t="str">
        <f t="shared" si="1"/>
        <v>28,57</v>
      </c>
    </row>
    <row r="26" ht="30" customHeight="1" spans="1:16">
      <c r="A26" s="200">
        <v>11</v>
      </c>
      <c r="B26" s="206">
        <f t="shared" si="0"/>
        <v>63</v>
      </c>
      <c r="C26" s="200">
        <f>SUM($B$17:B26)</f>
        <v>359</v>
      </c>
      <c r="D26" s="200">
        <v>1</v>
      </c>
      <c r="E26" s="200">
        <v>0</v>
      </c>
      <c r="F26" s="200">
        <v>0</v>
      </c>
      <c r="G26" s="223" t="s">
        <v>1256</v>
      </c>
      <c r="I26" t="str">
        <f t="shared" si="1"/>
        <v>28,63</v>
      </c>
    </row>
    <row r="27" ht="21" customHeight="1" spans="1:16">
      <c r="A27" s="200">
        <v>12</v>
      </c>
      <c r="B27" s="206">
        <f t="shared" si="0"/>
        <v>70</v>
      </c>
      <c r="C27" s="200">
        <f>SUM($B$17:B27)</f>
        <v>429</v>
      </c>
      <c r="D27" s="200">
        <v>0</v>
      </c>
      <c r="E27" s="200">
        <v>0</v>
      </c>
      <c r="F27" s="200">
        <v>0</v>
      </c>
      <c r="G27" s="223" t="s">
        <v>1242</v>
      </c>
      <c r="I27" t="str">
        <f t="shared" si="1"/>
        <v>28,70</v>
      </c>
    </row>
    <row r="28" ht="21" customHeight="1" spans="1:16">
      <c r="A28" s="200">
        <v>13</v>
      </c>
      <c r="B28" s="206">
        <f t="shared" si="0"/>
        <v>77</v>
      </c>
      <c r="C28" s="200">
        <f>SUM($B$17:B28)</f>
        <v>506</v>
      </c>
      <c r="D28" s="200">
        <v>0</v>
      </c>
      <c r="E28" s="200">
        <v>0</v>
      </c>
      <c r="F28" s="200">
        <v>0</v>
      </c>
      <c r="G28" s="223" t="s">
        <v>1242</v>
      </c>
      <c r="I28" t="str">
        <f t="shared" si="1"/>
        <v>28,77</v>
      </c>
    </row>
    <row r="29" ht="21" customHeight="1" spans="1:16">
      <c r="A29" s="200">
        <v>14</v>
      </c>
      <c r="B29" s="206">
        <f t="shared" si="0"/>
        <v>84</v>
      </c>
      <c r="C29" s="200">
        <f>SUM($B$17:B29)</f>
        <v>590</v>
      </c>
      <c r="D29" s="200">
        <v>0</v>
      </c>
      <c r="E29" s="200">
        <v>0</v>
      </c>
      <c r="F29" s="200">
        <v>0</v>
      </c>
      <c r="G29" s="223" t="s">
        <v>1242</v>
      </c>
      <c r="I29" t="str">
        <f t="shared" si="1"/>
        <v>28,84</v>
      </c>
    </row>
    <row r="30" ht="21" customHeight="1" spans="1:16">
      <c r="A30" s="200">
        <v>15</v>
      </c>
      <c r="B30" s="206">
        <f t="shared" si="0"/>
        <v>91</v>
      </c>
      <c r="C30" s="200">
        <f>SUM($B$17:B30)</f>
        <v>681</v>
      </c>
      <c r="D30" s="200">
        <v>0</v>
      </c>
      <c r="E30" s="200">
        <v>0</v>
      </c>
      <c r="F30" s="200">
        <v>0</v>
      </c>
      <c r="G30" s="223" t="s">
        <v>1242</v>
      </c>
      <c r="I30" t="str">
        <f t="shared" si="1"/>
        <v>28,91</v>
      </c>
    </row>
    <row r="31" ht="21" customHeight="1" spans="1:16">
      <c r="A31" s="200">
        <v>16</v>
      </c>
      <c r="B31" s="206">
        <f t="shared" si="0"/>
        <v>98</v>
      </c>
      <c r="C31" s="200">
        <f>SUM($B$17:B31)</f>
        <v>779</v>
      </c>
      <c r="D31" s="200">
        <v>0</v>
      </c>
      <c r="E31" s="200">
        <v>0</v>
      </c>
      <c r="F31" s="200">
        <v>0</v>
      </c>
      <c r="G31" s="223" t="s">
        <v>1242</v>
      </c>
      <c r="I31" t="str">
        <f t="shared" si="1"/>
        <v>28,98</v>
      </c>
    </row>
    <row r="32" ht="21" customHeight="1" spans="1:16">
      <c r="A32" s="200">
        <v>17</v>
      </c>
      <c r="B32" s="206">
        <f t="shared" si="0"/>
        <v>106</v>
      </c>
      <c r="C32" s="200">
        <f>SUM($B$17:B32)</f>
        <v>885</v>
      </c>
      <c r="D32" s="200">
        <v>0</v>
      </c>
      <c r="E32" s="200">
        <v>0</v>
      </c>
      <c r="F32" s="200">
        <v>0</v>
      </c>
      <c r="G32" s="223" t="s">
        <v>1242</v>
      </c>
      <c r="I32" t="str">
        <f t="shared" si="1"/>
        <v>28,106</v>
      </c>
    </row>
    <row r="33" ht="21" customHeight="1" spans="1:9">
      <c r="A33" s="200">
        <v>18</v>
      </c>
      <c r="B33" s="206">
        <f t="shared" si="0"/>
        <v>113</v>
      </c>
      <c r="C33" s="200">
        <f>SUM($B$17:B33)</f>
        <v>998</v>
      </c>
      <c r="D33" s="200">
        <v>0</v>
      </c>
      <c r="E33" s="200">
        <v>0</v>
      </c>
      <c r="F33" s="200">
        <v>0</v>
      </c>
      <c r="G33" s="223" t="s">
        <v>1242</v>
      </c>
      <c r="I33" t="str">
        <f t="shared" si="1"/>
        <v>28,113</v>
      </c>
    </row>
    <row r="34" ht="21" customHeight="1" spans="1:9">
      <c r="A34" s="200">
        <v>19</v>
      </c>
      <c r="B34" s="206">
        <f t="shared" si="0"/>
        <v>120</v>
      </c>
      <c r="C34" s="200">
        <f>SUM($B$17:B34)</f>
        <v>1118</v>
      </c>
      <c r="D34" s="200">
        <v>0</v>
      </c>
      <c r="E34" s="200">
        <v>0</v>
      </c>
      <c r="F34" s="200">
        <v>0</v>
      </c>
      <c r="G34" s="223" t="s">
        <v>1242</v>
      </c>
      <c r="I34" t="str">
        <f t="shared" si="1"/>
        <v>28,120</v>
      </c>
    </row>
    <row r="35" ht="21" customHeight="1" spans="1:9">
      <c r="A35" s="200">
        <v>20</v>
      </c>
      <c r="B35" s="206">
        <f t="shared" si="0"/>
        <v>128</v>
      </c>
      <c r="C35" s="200">
        <f>SUM($B$17:B35)</f>
        <v>1246</v>
      </c>
      <c r="D35" s="200">
        <v>0</v>
      </c>
      <c r="E35" s="200">
        <v>0</v>
      </c>
      <c r="F35" s="200">
        <v>0</v>
      </c>
      <c r="G35" s="223" t="s">
        <v>1242</v>
      </c>
      <c r="I35" t="str">
        <f t="shared" si="1"/>
        <v>28,128</v>
      </c>
    </row>
    <row r="36" ht="21" customHeight="1" spans="1:9">
      <c r="A36" s="200">
        <v>21</v>
      </c>
      <c r="B36" s="206">
        <f t="shared" si="0"/>
        <v>135</v>
      </c>
      <c r="C36" s="200">
        <f>SUM($B$17:B36)</f>
        <v>1381</v>
      </c>
      <c r="D36" s="200">
        <v>1</v>
      </c>
      <c r="E36" s="200">
        <v>1</v>
      </c>
      <c r="F36" s="200">
        <v>0</v>
      </c>
      <c r="G36" s="223" t="s">
        <v>1256</v>
      </c>
      <c r="I36" t="str">
        <f t="shared" si="1"/>
        <v>28,135</v>
      </c>
    </row>
    <row r="37" ht="21" customHeight="1" spans="1:9">
      <c r="A37" s="200">
        <v>22</v>
      </c>
      <c r="B37" s="206">
        <f t="shared" si="0"/>
        <v>143</v>
      </c>
      <c r="C37" s="200">
        <f>SUM($B$17:B37)</f>
        <v>1524</v>
      </c>
      <c r="D37" s="200">
        <v>0</v>
      </c>
      <c r="E37" s="200">
        <v>0</v>
      </c>
      <c r="F37" s="200">
        <v>0</v>
      </c>
      <c r="G37" s="223" t="s">
        <v>1242</v>
      </c>
      <c r="I37" t="str">
        <f t="shared" si="1"/>
        <v>28,143</v>
      </c>
    </row>
    <row r="38" ht="21" customHeight="1" spans="1:9">
      <c r="A38" s="200">
        <v>23</v>
      </c>
      <c r="B38" s="206">
        <f t="shared" si="0"/>
        <v>151</v>
      </c>
      <c r="C38" s="200">
        <f>SUM($B$17:B38)</f>
        <v>1675</v>
      </c>
      <c r="D38" s="200">
        <v>0</v>
      </c>
      <c r="E38" s="200">
        <v>0</v>
      </c>
      <c r="F38" s="200">
        <v>0</v>
      </c>
      <c r="G38" s="223" t="s">
        <v>1242</v>
      </c>
      <c r="I38" t="str">
        <f t="shared" si="1"/>
        <v>28,151</v>
      </c>
    </row>
    <row r="39" ht="21" customHeight="1" spans="1:9">
      <c r="A39" s="200">
        <v>24</v>
      </c>
      <c r="B39" s="206">
        <f t="shared" si="0"/>
        <v>159</v>
      </c>
      <c r="C39" s="200">
        <f>SUM($B$17:B39)</f>
        <v>1834</v>
      </c>
      <c r="D39" s="200">
        <v>0</v>
      </c>
      <c r="E39" s="200">
        <v>0</v>
      </c>
      <c r="F39" s="200">
        <v>0</v>
      </c>
      <c r="G39" s="223" t="s">
        <v>1242</v>
      </c>
      <c r="I39" t="str">
        <f t="shared" si="1"/>
        <v>28,159</v>
      </c>
    </row>
    <row r="40" ht="21" customHeight="1" spans="1:9">
      <c r="A40" s="200">
        <v>25</v>
      </c>
      <c r="B40" s="206">
        <f t="shared" si="0"/>
        <v>167</v>
      </c>
      <c r="C40" s="200">
        <f>SUM($B$17:B40)</f>
        <v>2001</v>
      </c>
      <c r="D40" s="200">
        <v>0</v>
      </c>
      <c r="E40" s="200">
        <v>0</v>
      </c>
      <c r="F40" s="200">
        <v>0</v>
      </c>
      <c r="G40" s="223" t="s">
        <v>1242</v>
      </c>
      <c r="I40" t="str">
        <f t="shared" si="1"/>
        <v>28,167</v>
      </c>
    </row>
    <row r="41" ht="21" customHeight="1" spans="1:9">
      <c r="A41" s="200">
        <v>26</v>
      </c>
      <c r="B41" s="206">
        <f t="shared" si="0"/>
        <v>175</v>
      </c>
      <c r="C41" s="200">
        <f>SUM($B$17:B41)</f>
        <v>2176</v>
      </c>
      <c r="D41" s="200">
        <v>0</v>
      </c>
      <c r="E41" s="200">
        <v>0</v>
      </c>
      <c r="F41" s="200">
        <v>0</v>
      </c>
      <c r="G41" s="223" t="s">
        <v>1242</v>
      </c>
      <c r="I41" t="str">
        <f t="shared" si="1"/>
        <v>28,175</v>
      </c>
    </row>
    <row r="42" ht="21" customHeight="1" spans="1:9">
      <c r="A42" s="200">
        <v>27</v>
      </c>
      <c r="B42" s="206">
        <f t="shared" si="0"/>
        <v>183</v>
      </c>
      <c r="C42" s="200">
        <f>SUM($B$17:B42)</f>
        <v>2359</v>
      </c>
      <c r="D42" s="200">
        <v>0</v>
      </c>
      <c r="E42" s="200">
        <v>0</v>
      </c>
      <c r="F42" s="200">
        <v>0</v>
      </c>
      <c r="G42" s="223" t="s">
        <v>1242</v>
      </c>
      <c r="I42" t="str">
        <f t="shared" si="1"/>
        <v>28,183</v>
      </c>
    </row>
    <row r="43" ht="21" customHeight="1" spans="1:9">
      <c r="A43" s="200">
        <v>28</v>
      </c>
      <c r="B43" s="206">
        <f t="shared" si="0"/>
        <v>191</v>
      </c>
      <c r="C43" s="200">
        <f>SUM($B$17:B43)</f>
        <v>2550</v>
      </c>
      <c r="D43" s="200">
        <v>0</v>
      </c>
      <c r="E43" s="200">
        <v>0</v>
      </c>
      <c r="F43" s="200">
        <v>0</v>
      </c>
      <c r="G43" s="223" t="s">
        <v>1242</v>
      </c>
      <c r="I43" t="str">
        <f t="shared" si="1"/>
        <v>28,191</v>
      </c>
    </row>
    <row r="44" ht="21" customHeight="1" spans="1:9">
      <c r="A44" s="200">
        <v>29</v>
      </c>
      <c r="B44" s="206">
        <f t="shared" si="0"/>
        <v>199</v>
      </c>
      <c r="C44" s="200">
        <f>SUM($B$17:B44)</f>
        <v>2749</v>
      </c>
      <c r="D44" s="200">
        <v>0</v>
      </c>
      <c r="E44" s="200">
        <v>0</v>
      </c>
      <c r="F44" s="200">
        <v>0</v>
      </c>
      <c r="G44" s="223" t="s">
        <v>1242</v>
      </c>
      <c r="I44" t="str">
        <f t="shared" si="1"/>
        <v>28,199</v>
      </c>
    </row>
    <row r="45" ht="21" customHeight="1" spans="1:9">
      <c r="A45" s="200">
        <v>30</v>
      </c>
      <c r="B45" s="206">
        <f t="shared" si="0"/>
        <v>207</v>
      </c>
      <c r="C45" s="200">
        <f>SUM($B$17:B45)</f>
        <v>2956</v>
      </c>
      <c r="D45" s="200">
        <v>0</v>
      </c>
      <c r="E45" s="200">
        <v>0</v>
      </c>
      <c r="F45" s="200">
        <v>0</v>
      </c>
      <c r="G45" s="223" t="s">
        <v>1242</v>
      </c>
      <c r="I45" t="str">
        <f t="shared" si="1"/>
        <v>28,207</v>
      </c>
    </row>
    <row r="46" ht="21" customHeight="1" spans="1:9">
      <c r="A46" s="200">
        <v>31</v>
      </c>
      <c r="B46" s="206">
        <f t="shared" si="0"/>
        <v>215</v>
      </c>
      <c r="C46" s="200">
        <f>SUM($B$17:B46)</f>
        <v>3171</v>
      </c>
      <c r="D46" s="200">
        <v>1</v>
      </c>
      <c r="E46" s="200">
        <v>1</v>
      </c>
      <c r="F46" s="200">
        <v>0</v>
      </c>
      <c r="G46" s="223" t="s">
        <v>1257</v>
      </c>
      <c r="I46" t="str">
        <f t="shared" si="1"/>
        <v>28,215</v>
      </c>
    </row>
    <row r="47" ht="21" customHeight="1" spans="1:9">
      <c r="A47" s="200">
        <v>32</v>
      </c>
      <c r="B47" s="206">
        <f t="shared" si="0"/>
        <v>224</v>
      </c>
      <c r="C47" s="200">
        <f>SUM($B$17:B47)</f>
        <v>3395</v>
      </c>
      <c r="D47" s="200">
        <v>0</v>
      </c>
      <c r="E47" s="200">
        <v>0</v>
      </c>
      <c r="F47" s="200">
        <v>0</v>
      </c>
      <c r="G47" s="223" t="s">
        <v>1242</v>
      </c>
      <c r="I47" t="str">
        <f t="shared" si="1"/>
        <v>28,224</v>
      </c>
    </row>
    <row r="48" ht="21" customHeight="1" spans="1:9">
      <c r="A48" s="200">
        <v>33</v>
      </c>
      <c r="B48" s="206">
        <f t="shared" si="0"/>
        <v>232</v>
      </c>
      <c r="C48" s="200">
        <f>SUM($B$17:B48)</f>
        <v>3627</v>
      </c>
      <c r="D48" s="200">
        <v>0</v>
      </c>
      <c r="E48" s="200">
        <v>0</v>
      </c>
      <c r="F48" s="200">
        <v>0</v>
      </c>
      <c r="G48" s="223" t="s">
        <v>1242</v>
      </c>
      <c r="I48" t="str">
        <f t="shared" si="1"/>
        <v>28,232</v>
      </c>
    </row>
    <row r="49" ht="21" customHeight="1" spans="1:9">
      <c r="A49" s="200">
        <v>34</v>
      </c>
      <c r="B49" s="206">
        <f t="shared" si="0"/>
        <v>240</v>
      </c>
      <c r="C49" s="200">
        <f>SUM($B$17:B49)</f>
        <v>3867</v>
      </c>
      <c r="D49" s="200">
        <v>0</v>
      </c>
      <c r="E49" s="200">
        <v>0</v>
      </c>
      <c r="F49" s="200">
        <v>0</v>
      </c>
      <c r="G49" s="223" t="s">
        <v>1242</v>
      </c>
      <c r="I49" t="str">
        <f t="shared" si="1"/>
        <v>28,240</v>
      </c>
    </row>
    <row r="50" ht="21" customHeight="1" spans="1:9">
      <c r="A50" s="200">
        <v>35</v>
      </c>
      <c r="B50" s="206">
        <f t="shared" si="0"/>
        <v>249</v>
      </c>
      <c r="C50" s="200">
        <f>SUM($B$17:B50)</f>
        <v>4116</v>
      </c>
      <c r="D50" s="200">
        <v>0</v>
      </c>
      <c r="E50" s="200">
        <v>0</v>
      </c>
      <c r="F50" s="200">
        <v>0</v>
      </c>
      <c r="G50" s="223" t="s">
        <v>1242</v>
      </c>
      <c r="I50" t="str">
        <f t="shared" si="1"/>
        <v>28,249</v>
      </c>
    </row>
    <row r="51" ht="21" customHeight="1" spans="1:9">
      <c r="A51" s="200">
        <v>36</v>
      </c>
      <c r="B51" s="206">
        <f t="shared" si="0"/>
        <v>257</v>
      </c>
      <c r="C51" s="200">
        <f>SUM($B$17:B51)</f>
        <v>4373</v>
      </c>
      <c r="D51" s="200">
        <v>0</v>
      </c>
      <c r="E51" s="200">
        <v>0</v>
      </c>
      <c r="F51" s="200">
        <v>0</v>
      </c>
      <c r="G51" s="223" t="s">
        <v>1242</v>
      </c>
      <c r="I51" t="str">
        <f t="shared" si="1"/>
        <v>28,257</v>
      </c>
    </row>
    <row r="52" ht="21" customHeight="1" spans="1:9">
      <c r="A52" s="200">
        <v>37</v>
      </c>
      <c r="B52" s="206">
        <f t="shared" si="0"/>
        <v>266</v>
      </c>
      <c r="C52" s="200">
        <f>SUM($B$17:B52)</f>
        <v>4639</v>
      </c>
      <c r="D52" s="200">
        <v>0</v>
      </c>
      <c r="E52" s="200">
        <v>0</v>
      </c>
      <c r="F52" s="200">
        <v>0</v>
      </c>
      <c r="G52" s="223" t="s">
        <v>1242</v>
      </c>
      <c r="I52" t="str">
        <f t="shared" si="1"/>
        <v>28,266</v>
      </c>
    </row>
    <row r="53" ht="21" customHeight="1" spans="1:9">
      <c r="A53" s="200">
        <v>38</v>
      </c>
      <c r="B53" s="206">
        <f t="shared" si="0"/>
        <v>275</v>
      </c>
      <c r="C53" s="200">
        <f>SUM($B$17:B53)</f>
        <v>4914</v>
      </c>
      <c r="D53" s="200">
        <v>0</v>
      </c>
      <c r="E53" s="200">
        <v>0</v>
      </c>
      <c r="F53" s="200">
        <v>0</v>
      </c>
      <c r="G53" s="223" t="s">
        <v>1242</v>
      </c>
      <c r="I53" t="str">
        <f t="shared" si="1"/>
        <v>28,275</v>
      </c>
    </row>
    <row r="54" ht="21" customHeight="1" spans="1:9">
      <c r="A54" s="200">
        <v>39</v>
      </c>
      <c r="B54" s="206">
        <f t="shared" si="0"/>
        <v>283</v>
      </c>
      <c r="C54" s="200">
        <f>SUM($B$17:B54)</f>
        <v>5197</v>
      </c>
      <c r="D54" s="200">
        <v>0</v>
      </c>
      <c r="E54" s="200">
        <v>0</v>
      </c>
      <c r="F54" s="200">
        <v>0</v>
      </c>
      <c r="G54" s="223" t="s">
        <v>1242</v>
      </c>
      <c r="I54" t="str">
        <f t="shared" si="1"/>
        <v>28,283</v>
      </c>
    </row>
    <row r="55" ht="21" customHeight="1" spans="1:9">
      <c r="A55" s="200">
        <v>40</v>
      </c>
      <c r="B55" s="206">
        <f t="shared" si="0"/>
        <v>292</v>
      </c>
      <c r="C55" s="200">
        <f>SUM($B$17:B55)</f>
        <v>5489</v>
      </c>
      <c r="D55" s="200">
        <v>0</v>
      </c>
      <c r="E55" s="200">
        <v>0</v>
      </c>
      <c r="F55" s="200">
        <v>0</v>
      </c>
      <c r="G55" s="223" t="s">
        <v>1242</v>
      </c>
      <c r="I55" t="str">
        <f t="shared" si="1"/>
        <v>28,292</v>
      </c>
    </row>
    <row r="56" ht="21" customHeight="1" spans="1:9">
      <c r="A56" s="200">
        <v>41</v>
      </c>
      <c r="B56" s="206">
        <f t="shared" si="0"/>
        <v>301</v>
      </c>
      <c r="C56" s="200">
        <f>SUM($B$17:B56)</f>
        <v>5790</v>
      </c>
      <c r="D56" s="200">
        <v>1</v>
      </c>
      <c r="E56" s="200">
        <v>0</v>
      </c>
      <c r="F56" s="200">
        <v>0</v>
      </c>
      <c r="G56" s="223" t="s">
        <v>1258</v>
      </c>
      <c r="I56" t="str">
        <f t="shared" si="1"/>
        <v>28,301</v>
      </c>
    </row>
    <row r="57" ht="21" customHeight="1" spans="1:9">
      <c r="A57" s="200">
        <v>42</v>
      </c>
      <c r="B57" s="206">
        <f t="shared" si="0"/>
        <v>310</v>
      </c>
      <c r="C57" s="200">
        <f>SUM($B$17:B57)</f>
        <v>6100</v>
      </c>
      <c r="D57" s="200">
        <v>0</v>
      </c>
      <c r="E57" s="200">
        <v>0</v>
      </c>
      <c r="F57" s="200">
        <v>0</v>
      </c>
      <c r="G57" s="223" t="s">
        <v>1242</v>
      </c>
      <c r="I57" t="str">
        <f t="shared" si="1"/>
        <v>28,310</v>
      </c>
    </row>
    <row r="58" ht="21" customHeight="1" spans="1:9">
      <c r="A58" s="200">
        <v>43</v>
      </c>
      <c r="B58" s="206">
        <f t="shared" si="0"/>
        <v>318</v>
      </c>
      <c r="C58" s="200">
        <f>SUM($B$17:B58)</f>
        <v>6418</v>
      </c>
      <c r="D58" s="200">
        <v>0</v>
      </c>
      <c r="E58" s="200">
        <v>0</v>
      </c>
      <c r="F58" s="200">
        <v>0</v>
      </c>
      <c r="G58" s="223" t="s">
        <v>1242</v>
      </c>
      <c r="I58" t="str">
        <f t="shared" si="1"/>
        <v>28,318</v>
      </c>
    </row>
    <row r="59" ht="21" customHeight="1" spans="1:9">
      <c r="A59" s="200">
        <v>44</v>
      </c>
      <c r="B59" s="206">
        <f t="shared" si="0"/>
        <v>327</v>
      </c>
      <c r="C59" s="200">
        <f>SUM($B$17:B59)</f>
        <v>6745</v>
      </c>
      <c r="D59" s="200">
        <v>0</v>
      </c>
      <c r="E59" s="200">
        <v>0</v>
      </c>
      <c r="F59" s="200">
        <v>0</v>
      </c>
      <c r="G59" s="223" t="s">
        <v>1242</v>
      </c>
      <c r="I59" t="str">
        <f t="shared" si="1"/>
        <v>28,327</v>
      </c>
    </row>
    <row r="60" ht="21" customHeight="1" spans="1:9">
      <c r="A60" s="200">
        <v>45</v>
      </c>
      <c r="B60" s="206">
        <f t="shared" si="0"/>
        <v>336</v>
      </c>
      <c r="C60" s="200">
        <f>SUM($B$17:B60)</f>
        <v>7081</v>
      </c>
      <c r="D60" s="200">
        <v>0</v>
      </c>
      <c r="E60" s="200">
        <v>0</v>
      </c>
      <c r="F60" s="200">
        <v>0</v>
      </c>
      <c r="G60" s="223" t="s">
        <v>1242</v>
      </c>
      <c r="I60" t="str">
        <f t="shared" si="1"/>
        <v>28,336</v>
      </c>
    </row>
    <row r="61" ht="21" customHeight="1" spans="1:9">
      <c r="A61" s="200">
        <v>46</v>
      </c>
      <c r="B61" s="206">
        <f t="shared" si="0"/>
        <v>345</v>
      </c>
      <c r="C61" s="200">
        <f>SUM($B$17:B61)</f>
        <v>7426</v>
      </c>
      <c r="D61" s="200">
        <v>0</v>
      </c>
      <c r="E61" s="200">
        <v>0</v>
      </c>
      <c r="F61" s="200">
        <v>0</v>
      </c>
      <c r="G61" s="223" t="s">
        <v>1242</v>
      </c>
      <c r="I61" t="str">
        <f t="shared" si="1"/>
        <v>28,345</v>
      </c>
    </row>
    <row r="62" ht="21" customHeight="1" spans="1:9">
      <c r="A62" s="200">
        <v>47</v>
      </c>
      <c r="B62" s="206">
        <f t="shared" si="0"/>
        <v>354</v>
      </c>
      <c r="C62" s="200">
        <f>SUM($B$17:B62)</f>
        <v>7780</v>
      </c>
      <c r="D62" s="200">
        <v>0</v>
      </c>
      <c r="E62" s="200">
        <v>0</v>
      </c>
      <c r="F62" s="200">
        <v>0</v>
      </c>
      <c r="G62" s="223" t="s">
        <v>1242</v>
      </c>
      <c r="I62" t="str">
        <f t="shared" si="1"/>
        <v>28,354</v>
      </c>
    </row>
    <row r="63" ht="21" customHeight="1" spans="1:9">
      <c r="A63" s="200">
        <v>48</v>
      </c>
      <c r="B63" s="206">
        <f t="shared" si="0"/>
        <v>363</v>
      </c>
      <c r="C63" s="200">
        <f>SUM($B$17:B63)</f>
        <v>8143</v>
      </c>
      <c r="D63" s="200">
        <v>0</v>
      </c>
      <c r="E63" s="200">
        <v>0</v>
      </c>
      <c r="F63" s="200">
        <v>0</v>
      </c>
      <c r="G63" s="223" t="s">
        <v>1242</v>
      </c>
      <c r="I63" t="str">
        <f t="shared" si="1"/>
        <v>28,363</v>
      </c>
    </row>
    <row r="64" ht="21" customHeight="1" spans="1:9">
      <c r="A64" s="200">
        <v>49</v>
      </c>
      <c r="B64" s="206">
        <f t="shared" si="0"/>
        <v>372</v>
      </c>
      <c r="C64" s="200">
        <f>SUM($B$17:B64)</f>
        <v>8515</v>
      </c>
      <c r="D64" s="200">
        <v>0</v>
      </c>
      <c r="E64" s="200">
        <v>0</v>
      </c>
      <c r="F64" s="200">
        <v>0</v>
      </c>
      <c r="G64" s="223" t="s">
        <v>1242</v>
      </c>
      <c r="I64" t="str">
        <f t="shared" si="1"/>
        <v>28,372</v>
      </c>
    </row>
    <row r="65" ht="21" customHeight="1" spans="1:27">
      <c r="A65" s="200">
        <v>50</v>
      </c>
      <c r="B65" s="206">
        <f t="shared" si="0"/>
        <v>382</v>
      </c>
      <c r="C65" s="200">
        <f>SUM($B$17:B65)</f>
        <v>8897</v>
      </c>
      <c r="D65" s="200">
        <v>0</v>
      </c>
      <c r="E65" s="200">
        <v>0</v>
      </c>
      <c r="F65" s="200">
        <v>0</v>
      </c>
      <c r="G65" s="223" t="s">
        <v>1242</v>
      </c>
      <c r="I65" t="str">
        <f t="shared" si="1"/>
        <v>28,382</v>
      </c>
    </row>
    <row r="66" ht="21" customHeight="1"/>
    <row r="67" ht="21" customHeight="1"/>
    <row r="68" ht="21" customHeight="1" spans="1:27">
      <c r="A68" s="198" t="s">
        <v>1259</v>
      </c>
      <c r="B68" s="195"/>
      <c r="C68" s="195"/>
      <c r="D68" s="195"/>
      <c r="E68" s="195"/>
      <c r="F68" s="195"/>
      <c r="G68" s="195"/>
      <c r="H68" s="195"/>
      <c r="I68" s="196"/>
      <c r="K68" s="198" t="s">
        <v>1260</v>
      </c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6"/>
    </row>
    <row r="69" ht="21" customHeight="1" spans="1:27">
      <c r="A69" s="202" t="s">
        <v>1261</v>
      </c>
      <c r="B69" s="202" t="s">
        <v>1262</v>
      </c>
      <c r="C69" s="202" t="s">
        <v>1105</v>
      </c>
      <c r="D69" s="202" t="s">
        <v>1263</v>
      </c>
      <c r="E69" s="202" t="s">
        <v>1264</v>
      </c>
      <c r="F69" s="202" t="s">
        <v>1265</v>
      </c>
      <c r="G69" s="202" t="s">
        <v>1232</v>
      </c>
      <c r="H69" s="202" t="s">
        <v>1266</v>
      </c>
      <c r="I69" s="202" t="s">
        <v>1267</v>
      </c>
      <c r="K69" s="202" t="s">
        <v>1268</v>
      </c>
      <c r="L69" s="202" t="s">
        <v>1269</v>
      </c>
      <c r="M69" s="202" t="s">
        <v>1270</v>
      </c>
      <c r="N69" s="202" t="s">
        <v>1271</v>
      </c>
      <c r="O69" s="202" t="s">
        <v>1272</v>
      </c>
      <c r="P69" s="202" t="s">
        <v>1273</v>
      </c>
      <c r="Q69" s="202" t="s">
        <v>1274</v>
      </c>
      <c r="R69" s="202" t="s">
        <v>1275</v>
      </c>
      <c r="S69" s="202" t="s">
        <v>1276</v>
      </c>
      <c r="T69" s="202" t="s">
        <v>1277</v>
      </c>
      <c r="U69" s="202" t="s">
        <v>1278</v>
      </c>
      <c r="V69" s="202" t="s">
        <v>1279</v>
      </c>
      <c r="W69" s="202" t="s">
        <v>1280</v>
      </c>
      <c r="X69" s="202" t="s">
        <v>1281</v>
      </c>
      <c r="Y69" s="202" t="s">
        <v>1282</v>
      </c>
      <c r="Z69" s="202" t="s">
        <v>1283</v>
      </c>
      <c r="AA69" s="202" t="s">
        <v>13</v>
      </c>
    </row>
    <row r="70" ht="35" customHeight="1" spans="1:27">
      <c r="A70" s="200">
        <v>0</v>
      </c>
      <c r="B70" s="203" t="s">
        <v>1284</v>
      </c>
      <c r="C70" s="203" t="s">
        <v>1285</v>
      </c>
      <c r="D70" s="203" t="s">
        <v>1285</v>
      </c>
      <c r="E70" s="200">
        <v>0</v>
      </c>
      <c r="F70" s="200">
        <v>0</v>
      </c>
      <c r="G70" s="200">
        <v>0</v>
      </c>
      <c r="H70" s="200">
        <v>0</v>
      </c>
      <c r="I70" s="203" t="s">
        <v>1286</v>
      </c>
      <c r="K70" s="203" t="str">
        <f>竞技场分层!A20</f>
        <v>免费</v>
      </c>
      <c r="L70" s="203" t="str">
        <f>竞技场分层!L20</f>
        <v>黄金Ⅲ</v>
      </c>
      <c r="M70" s="200">
        <f>竞技场分层!I20</f>
        <v>32</v>
      </c>
      <c r="N70" s="200">
        <f>竞技场分层!J20</f>
        <v>38</v>
      </c>
      <c r="O70" s="200">
        <f>M70*竞技场!$C$40+N70*竞技场!$C$44+SUMPRODUCT((竞技场!$B$100:$B$108&lt;=M70)*(竞技场!$C$100:$C$108="竞技场代币")*竞技场!$D$100:$D$108)+INDEX(竞技场!$K$49:$K$70,MATCH(L70,竞技场!$B$49:$B$70,0))</f>
        <v>776</v>
      </c>
      <c r="P70" s="200">
        <f>O70+SUMPRODUCT((ROW(竞技场!$B$50:$B$70)-ROW(竞技场!$B$50)+1&lt;=MATCH(L70,竞技场!$B$50:$B$70,0))*(((竞技场!$D$50:$D$70="竞技场代币")*竞技场!$E$50:$E$70)+((竞技场!$F$50:$F$70="竞技场代币")*竞技场!$G$50:$G$70)))</f>
        <v>1776</v>
      </c>
      <c r="Q70" s="200" t="e">
        <f>M70*竞技场!$F$40+N70*竞技场!$F$44+SUMPRODUCT((竞技场!$B$100:$B$108&lt;=M70)*(竞技场!$C$100:$C$108="炮台升级小材料")*竞技场!$D$100:$D$108)+$K$6+MOD(MAX(O70-$K$5-$K$8,0),$K$9)*$K$10</f>
        <v>#DIV/0!</v>
      </c>
      <c r="R70" s="200" t="e">
        <f>SUMPRODUCT((竞技场!$B$100:$B$108&lt;=M70)*(竞技场!$C$100:$C$108="炮台升级大材料")*竞技场!$D$100:$D$108)+$K$7+INT(MAX(O70-$K$5-$K$8,0)/$K$9)</f>
        <v>#DIV/0!</v>
      </c>
      <c r="S70" s="206" t="e">
        <f>M70*竞技场!$F$40+N70*竞技场!$F$44+SUMPRODUCT((竞技场!$B$100:$B$108&lt;=M70)*(竞技场!$C$100:$C$108="炮台升级小材料")*竞技场!$D$100:$D$108)+(SUMPRODUCT((ROW(竞技场!$B$50:$B$70)-ROW(竞技场!$B$50)+1&lt;=MATCH(L70,竞技场!$B$50:$B$70,0))*(((竞技场!$D$50:$D$70="炮台升级小材料")*竞技场!$E$50:$E$70)+((竞技场!$F$50:$F$70="炮台升级小材料")*竞技场!$G$50:$G$70))))+$K$6+MOD(MAX(P70-$K$5-$K$8,0),$K$9)*$K$10</f>
        <v>#DIV/0!</v>
      </c>
      <c r="T70" s="206" t="e">
        <f>SUMPRODUCT((竞技场!$B$100:$B$108&lt;=M70)*(竞技场!$C$100:$C$108="炮台升级大材料")*竞技场!$D$100:$D$108)+(SUMPRODUCT((ROW(竞技场!$B$50:$B$70)-ROW(竞技场!$B$50)+1&lt;=MATCH(L70,竞技场!$B$50:$B$70,0))*(((竞技场!$D$50:$D$70="炮台升级大材料")*竞技场!$E$50:$E$70)+((竞技场!$F$50:$F$70="炮台升级大材料")*竞技场!$G$50:$G$70))))+$K$7+INT(MAX(P70-$K$5-$K$8,0)/$K$9)</f>
        <v>#DIV/0!</v>
      </c>
      <c r="U70" s="228" t="e">
        <f>LOOKUP(2,1/(($G$70:$G$187&lt;=S70)*($H$70:$H$187&lt;=T70)),$I$70:$I$187)</f>
        <v>#N/A</v>
      </c>
      <c r="V70" s="203" t="e">
        <f>LOOKUP(2,1/(($G$70:$G$187&lt;=S70+Q70)*($H$70:$H$187&lt;=T70+R70)),$I$70:$I$187)</f>
        <v>#N/A</v>
      </c>
      <c r="W70" s="203" t="e">
        <f>LOOKUP(2,1/(($G$70:$G$187&lt;=S70+Q70*2)*($H$70:$H$187&lt;=T70+R70*2)),$I$70:$I$187)</f>
        <v>#N/A</v>
      </c>
      <c r="X70" s="203" t="e">
        <f>LOOKUP(2,1/(($G$70:$G$187&lt;=S70+Q70*3)*($H$70:$H$187&lt;=T70+R70*3)),$I$70:$I$187)</f>
        <v>#N/A</v>
      </c>
      <c r="Y70" s="228" t="str">
        <f>IFERROR(MATCH("S50/A40/B30",U70:X70,0),"&gt;4")</f>
        <v>&gt;4</v>
      </c>
      <c r="Z70" s="199" t="str">
        <f>IF(MAX(P70-$K$5-$K$8,0)&gt;=750,"赛季限购买完后，还能补齐 1S+1A+1B",IF(MAX(P70-$K$5-$K$8,0)&gt;=650,"赛季限购买完后，还能补 1S+1B",IF(MAX(P70-$K$5-$K$8,0)&gt;=600,"赛季限购买完后，还能补 1S",IF(MAX(P70-$K$5-$K$8,0)&gt;=150,"赛季限购买完后，还能补 1A+1B",IF(MAX(P70-$K$5-$K$8,0)&gt;=100,"赛季限购买完后，还能补 1A",IF(MAX(P70-$K$5-$K$8,0)&gt;=50,"赛季限购买完后，还能补 1B","赛季限购买完后，还不够补本体"))))))</f>
        <v>赛季限购买完后，还能补 1A+1B</v>
      </c>
      <c r="AA70" s="223" t="s">
        <v>1287</v>
      </c>
    </row>
    <row r="71" ht="30" customHeight="1" spans="1:27">
      <c r="A71" s="200">
        <v>1</v>
      </c>
      <c r="B71" s="203" t="s">
        <v>1288</v>
      </c>
      <c r="C71" s="203" t="s">
        <v>754</v>
      </c>
      <c r="D71" s="203">
        <v>2</v>
      </c>
      <c r="E71" s="206">
        <f t="shared" ref="E71:E134" si="2">INDEX($B$17:$B$65,MATCH(D71,$A$17:$A$65,0))</f>
        <v>12</v>
      </c>
      <c r="F71" s="206">
        <f t="shared" ref="F71:F134" si="3">IF(C71="S",INDEX($D$17:$D$65,MATCH(D71,$A$17:$A$65,0)),IF(C71="A",INDEX($E$17:$E$65,MATCH(D71,$A$17:$A$65,0)),INDEX($F$17:$F$65,MATCH(D71,$A$17:$A$65,0))))</f>
        <v>0</v>
      </c>
      <c r="G71" s="200">
        <f t="shared" ref="G71:G134" si="4">G70+E71</f>
        <v>12</v>
      </c>
      <c r="H71" s="200">
        <f t="shared" ref="H71:H134" si="5">H70+F71</f>
        <v>0</v>
      </c>
      <c r="I71" s="203" t="s">
        <v>1289</v>
      </c>
      <c r="K71" s="203" t="str">
        <f>竞技场分层!A21</f>
        <v>小R</v>
      </c>
      <c r="L71" s="203" t="str">
        <f>竞技场分层!L21</f>
        <v>黄金Ⅰ</v>
      </c>
      <c r="M71" s="200">
        <f>竞技场分层!I21</f>
        <v>43</v>
      </c>
      <c r="N71" s="200">
        <f>竞技场分层!J21</f>
        <v>41</v>
      </c>
      <c r="O71" s="200">
        <f>M71*竞技场!$C$40+N71*竞技场!$C$44+SUMPRODUCT((竞技场!$B$100:$B$108&lt;=M71)*(竞技场!$C$100:$C$108="竞技场代币")*竞技场!$D$100:$D$108)+INDEX(竞技场!$K$49:$K$70,MATCH(L71,竞技场!$B$49:$B$70,0))</f>
        <v>1037</v>
      </c>
      <c r="P71" s="200">
        <f>O71+SUMPRODUCT((ROW(竞技场!$B$50:$B$70)-ROW(竞技场!$B$50)+1&lt;=MATCH(L71,竞技场!$B$50:$B$70,0))*(((竞技场!$D$50:$D$70="竞技场代币")*竞技场!$E$50:$E$70)+((竞技场!$F$50:$F$70="竞技场代币")*竞技场!$G$50:$G$70)))</f>
        <v>2637</v>
      </c>
      <c r="Q71" s="200" t="e">
        <f>M71*竞技场!$F$40+N71*竞技场!$F$44+SUMPRODUCT((竞技场!$B$100:$B$108&lt;=M71)*(竞技场!$C$100:$C$108="炮台升级小材料")*竞技场!$D$100:$D$108)+$K$6+MOD(MAX(O71-$K$5-$K$8,0),$K$9)*$K$10</f>
        <v>#DIV/0!</v>
      </c>
      <c r="R71" s="200" t="e">
        <f>SUMPRODUCT((竞技场!$B$100:$B$108&lt;=M71)*(竞技场!$C$100:$C$108="炮台升级大材料")*竞技场!$D$100:$D$108)+$K$7+INT(MAX(O71-$K$5-$K$8,0)/$K$9)</f>
        <v>#DIV/0!</v>
      </c>
      <c r="S71" s="206" t="e">
        <f>M71*竞技场!$F$40+N71*竞技场!$F$44+SUMPRODUCT((竞技场!$B$100:$B$108&lt;=M71)*(竞技场!$C$100:$C$108="炮台升级小材料")*竞技场!$D$100:$D$108)+(SUMPRODUCT((ROW(竞技场!$B$50:$B$70)-ROW(竞技场!$B$50)+1&lt;=MATCH(L71,竞技场!$B$50:$B$70,0))*(((竞技场!$D$50:$D$70="炮台升级小材料")*竞技场!$E$50:$E$70)+((竞技场!$F$50:$F$70="炮台升级小材料")*竞技场!$G$50:$G$70))))+$K$6+MOD(MAX(P71-$K$5-$K$8,0),$K$9)*$K$10</f>
        <v>#DIV/0!</v>
      </c>
      <c r="T71" s="206" t="e">
        <f>SUMPRODUCT((竞技场!$B$100:$B$108&lt;=M71)*(竞技场!$C$100:$C$108="炮台升级大材料")*竞技场!$D$100:$D$108)+(SUMPRODUCT((ROW(竞技场!$B$50:$B$70)-ROW(竞技场!$B$50)+1&lt;=MATCH(L71,竞技场!$B$50:$B$70,0))*(((竞技场!$D$50:$D$70="炮台升级大材料")*竞技场!$E$50:$E$70)+((竞技场!$F$50:$F$70="炮台升级大材料")*竞技场!$G$50:$G$70))))+$K$7+INT(MAX(P71-$K$5-$K$8,0)/$K$9)</f>
        <v>#DIV/0!</v>
      </c>
      <c r="U71" s="228" t="e">
        <f>LOOKUP(2,1/(($G$70:$G$187&lt;=S71)*($H$70:$H$187&lt;=T71)),$I$70:$I$187)</f>
        <v>#N/A</v>
      </c>
      <c r="V71" s="203" t="e">
        <f>LOOKUP(2,1/(($G$70:$G$187&lt;=S71+Q71)*($H$70:$H$187&lt;=T71+R71)),$I$70:$I$187)</f>
        <v>#N/A</v>
      </c>
      <c r="W71" s="203" t="e">
        <f>LOOKUP(2,1/(($G$70:$G$187&lt;=S71+Q71*2)*($H$70:$H$187&lt;=T71+R71*2)),$I$70:$I$187)</f>
        <v>#N/A</v>
      </c>
      <c r="X71" s="203" t="e">
        <f>LOOKUP(2,1/(($G$70:$G$187&lt;=S71+Q71*3)*($H$70:$H$187&lt;=T71+R71*3)),$I$70:$I$187)</f>
        <v>#N/A</v>
      </c>
      <c r="Y71" s="228" t="str">
        <f>IFERROR(MATCH("S50/A40/B30",U71:X71,0),"&gt;4")</f>
        <v>&gt;4</v>
      </c>
      <c r="Z71" s="199" t="str">
        <f>IF(MAX(P71-$K$5-$K$8,0)&gt;=750,"赛季限购买完后，还能补齐 1S+1A+1B",IF(MAX(P71-$K$5-$K$8,0)&gt;=650,"赛季限购买完后，还能补 1S+1B",IF(MAX(P71-$K$5-$K$8,0)&gt;=600,"赛季限购买完后，还能补 1S",IF(MAX(P71-$K$5-$K$8,0)&gt;=150,"赛季限购买完后，还能补 1A+1B",IF(MAX(P71-$K$5-$K$8,0)&gt;=100,"赛季限购买完后，还能补 1A",IF(MAX(P71-$K$5-$K$8,0)&gt;=50,"赛季限购买完后，还能补 1B","赛季限购买完后，还不够补本体"))))))</f>
        <v>赛季限购买完后，还能补齐 1S+1A+1B</v>
      </c>
      <c r="AA71" s="223" t="s">
        <v>1290</v>
      </c>
    </row>
    <row r="72" ht="29" customHeight="1" spans="1:27">
      <c r="A72" s="200">
        <v>2</v>
      </c>
      <c r="B72" s="203" t="s">
        <v>1288</v>
      </c>
      <c r="C72" s="203" t="s">
        <v>754</v>
      </c>
      <c r="D72" s="203">
        <v>3</v>
      </c>
      <c r="E72" s="206">
        <f t="shared" si="2"/>
        <v>16</v>
      </c>
      <c r="F72" s="206">
        <f t="shared" si="3"/>
        <v>0</v>
      </c>
      <c r="G72" s="200">
        <f t="shared" si="4"/>
        <v>28</v>
      </c>
      <c r="H72" s="200">
        <f t="shared" si="5"/>
        <v>0</v>
      </c>
      <c r="I72" s="203" t="s">
        <v>1291</v>
      </c>
      <c r="K72" s="203" t="str">
        <f>竞技场分层!A22</f>
        <v>中R</v>
      </c>
      <c r="L72" s="203" t="str">
        <f>竞技场分层!L22</f>
        <v>铂金Ⅰ</v>
      </c>
      <c r="M72" s="200">
        <f>竞技场分层!I22</f>
        <v>58</v>
      </c>
      <c r="N72" s="200">
        <f>竞技场分层!J22</f>
        <v>54</v>
      </c>
      <c r="O72" s="200">
        <f>M72*竞技场!$C$40+N72*竞技场!$C$44+SUMPRODUCT((竞技场!$B$100:$B$108&lt;=M72)*(竞技场!$C$100:$C$108="竞技场代币")*竞技场!$D$100:$D$108)+INDEX(竞技场!$K$49:$K$70,MATCH(L72,竞技场!$B$49:$B$70,0))</f>
        <v>1288</v>
      </c>
      <c r="P72" s="200">
        <f>O72+SUMPRODUCT((ROW(竞技场!$B$50:$B$70)-ROW(竞技场!$B$50)+1&lt;=MATCH(L72,竞技场!$B$50:$B$70,0))*(((竞技场!$D$50:$D$70="竞技场代币")*竞技场!$E$50:$E$70)+((竞技场!$F$50:$F$70="竞技场代币")*竞技场!$G$50:$G$70)))</f>
        <v>3688</v>
      </c>
      <c r="Q72" s="200" t="e">
        <f>M72*竞技场!$F$40+N72*竞技场!$F$44+SUMPRODUCT((竞技场!$B$100:$B$108&lt;=M72)*(竞技场!$C$100:$C$108="炮台升级小材料")*竞技场!$D$100:$D$108)+$K$6+MOD(MAX(O72-$K$5-$K$8,0),$K$9)*$K$10</f>
        <v>#DIV/0!</v>
      </c>
      <c r="R72" s="200" t="e">
        <f>SUMPRODUCT((竞技场!$B$100:$B$108&lt;=M72)*(竞技场!$C$100:$C$108="炮台升级大材料")*竞技场!$D$100:$D$108)+$K$7+INT(MAX(O72-$K$5-$K$8,0)/$K$9)</f>
        <v>#DIV/0!</v>
      </c>
      <c r="S72" s="206" t="e">
        <f>M72*竞技场!$F$40+N72*竞技场!$F$44+SUMPRODUCT((竞技场!$B$100:$B$108&lt;=M72)*(竞技场!$C$100:$C$108="炮台升级小材料")*竞技场!$D$100:$D$108)+(SUMPRODUCT((ROW(竞技场!$B$50:$B$70)-ROW(竞技场!$B$50)+1&lt;=MATCH(L72,竞技场!$B$50:$B$70,0))*(((竞技场!$D$50:$D$70="炮台升级小材料")*竞技场!$E$50:$E$70)+((竞技场!$F$50:$F$70="炮台升级小材料")*竞技场!$G$50:$G$70))))+$K$6+MOD(MAX(P72-$K$5-$K$8,0),$K$9)*$K$10</f>
        <v>#DIV/0!</v>
      </c>
      <c r="T72" s="206" t="e">
        <f>SUMPRODUCT((竞技场!$B$100:$B$108&lt;=M72)*(竞技场!$C$100:$C$108="炮台升级大材料")*竞技场!$D$100:$D$108)+(SUMPRODUCT((ROW(竞技场!$B$50:$B$70)-ROW(竞技场!$B$50)+1&lt;=MATCH(L72,竞技场!$B$50:$B$70,0))*(((竞技场!$D$50:$D$70="炮台升级大材料")*竞技场!$E$50:$E$70)+((竞技场!$F$50:$F$70="炮台升级大材料")*竞技场!$G$50:$G$70))))+$K$7+INT(MAX(P72-$K$5-$K$8,0)/$K$9)</f>
        <v>#DIV/0!</v>
      </c>
      <c r="U72" s="228" t="e">
        <f>LOOKUP(2,1/(($G$70:$G$187&lt;=S72)*($H$70:$H$187&lt;=T72)),$I$70:$I$187)</f>
        <v>#N/A</v>
      </c>
      <c r="V72" s="203" t="e">
        <f>LOOKUP(2,1/(($G$70:$G$187&lt;=S72+Q72)*($H$70:$H$187&lt;=T72+R72)),$I$70:$I$187)</f>
        <v>#N/A</v>
      </c>
      <c r="W72" s="203" t="e">
        <f>LOOKUP(2,1/(($G$70:$G$187&lt;=S72+Q72*2)*($H$70:$H$187&lt;=T72+R72*2)),$I$70:$I$187)</f>
        <v>#N/A</v>
      </c>
      <c r="X72" s="203" t="e">
        <f>LOOKUP(2,1/(($G$70:$G$187&lt;=S72+Q72*3)*($H$70:$H$187&lt;=T72+R72*3)),$I$70:$I$187)</f>
        <v>#N/A</v>
      </c>
      <c r="Y72" s="228" t="str">
        <f>IFERROR(MATCH("S50/A40/B30",U72:X72,0),"&gt;4")</f>
        <v>&gt;4</v>
      </c>
      <c r="Z72" s="199" t="str">
        <f>IF(MAX(P72-$K$5-$K$8,0)&gt;=750,"赛季限购买完后，还能补齐 1S+1A+1B",IF(MAX(P72-$K$5-$K$8,0)&gt;=650,"赛季限购买完后，还能补 1S+1B",IF(MAX(P72-$K$5-$K$8,0)&gt;=600,"赛季限购买完后，还能补 1S",IF(MAX(P72-$K$5-$K$8,0)&gt;=150,"赛季限购买完后，还能补 1A+1B",IF(MAX(P72-$K$5-$K$8,0)&gt;=100,"赛季限购买完后，还能补 1A",IF(MAX(P72-$K$5-$K$8,0)&gt;=50,"赛季限购买完后，还能补 1B","赛季限购买完后，还不够补本体"))))))</f>
        <v>赛季限购买完后，还能补齐 1S+1A+1B</v>
      </c>
      <c r="AA72" s="223" t="s">
        <v>1292</v>
      </c>
    </row>
    <row r="73" ht="40" customHeight="1" spans="1:27">
      <c r="A73" s="200">
        <v>3</v>
      </c>
      <c r="B73" s="203" t="s">
        <v>1288</v>
      </c>
      <c r="C73" s="203" t="s">
        <v>754</v>
      </c>
      <c r="D73" s="203">
        <v>4</v>
      </c>
      <c r="E73" s="206">
        <f t="shared" si="2"/>
        <v>21</v>
      </c>
      <c r="F73" s="206">
        <f t="shared" si="3"/>
        <v>0</v>
      </c>
      <c r="G73" s="200">
        <f t="shared" si="4"/>
        <v>49</v>
      </c>
      <c r="H73" s="200">
        <f t="shared" si="5"/>
        <v>0</v>
      </c>
      <c r="I73" s="203" t="s">
        <v>1293</v>
      </c>
      <c r="K73" s="203" t="str">
        <f>竞技场分层!A23</f>
        <v>大R</v>
      </c>
      <c r="L73" s="203" t="str">
        <f>竞技场分层!L23</f>
        <v>大师Ⅱ</v>
      </c>
      <c r="M73" s="200">
        <f>竞技场分层!I23</f>
        <v>85</v>
      </c>
      <c r="N73" s="200">
        <f>竞技场分层!J23</f>
        <v>55</v>
      </c>
      <c r="O73" s="200">
        <f>M73*竞技场!$C$40+N73*竞技场!$C$44+SUMPRODUCT((竞技场!$B$100:$B$108&lt;=M73)*(竞技场!$C$100:$C$108="竞技场代币")*竞技场!$D$100:$D$108)+INDEX(竞技场!$K$49:$K$70,MATCH(L73,竞技场!$B$49:$B$70,0))</f>
        <v>1825</v>
      </c>
      <c r="P73" s="200">
        <f>O73+SUMPRODUCT((ROW(竞技场!$B$50:$B$70)-ROW(竞技场!$B$50)+1&lt;=MATCH(L73,竞技场!$B$50:$B$70,0))*(((竞技场!$D$50:$D$70="竞技场代币")*竞技场!$E$50:$E$70)+((竞技场!$F$50:$F$70="竞技场代币")*竞技场!$G$50:$G$70)))</f>
        <v>6025</v>
      </c>
      <c r="Q73" s="200" t="e">
        <f>M73*竞技场!$F$40+N73*竞技场!$F$44+SUMPRODUCT((竞技场!$B$100:$B$108&lt;=M73)*(竞技场!$C$100:$C$108="炮台升级小材料")*竞技场!$D$100:$D$108)+$K$6+MOD(MAX(O73-$K$5-$K$8,0),$K$9)*$K$10</f>
        <v>#DIV/0!</v>
      </c>
      <c r="R73" s="200" t="e">
        <f>SUMPRODUCT((竞技场!$B$100:$B$108&lt;=M73)*(竞技场!$C$100:$C$108="炮台升级大材料")*竞技场!$D$100:$D$108)+$K$7+INT(MAX(O73-$K$5-$K$8,0)/$K$9)</f>
        <v>#DIV/0!</v>
      </c>
      <c r="S73" s="206" t="e">
        <f>M73*竞技场!$F$40+N73*竞技场!$F$44+SUMPRODUCT((竞技场!$B$100:$B$108&lt;=M73)*(竞技场!$C$100:$C$108="炮台升级小材料")*竞技场!$D$100:$D$108)+(SUMPRODUCT((ROW(竞技场!$B$50:$B$70)-ROW(竞技场!$B$50)+1&lt;=MATCH(L73,竞技场!$B$50:$B$70,0))*(((竞技场!$D$50:$D$70="炮台升级小材料")*竞技场!$E$50:$E$70)+((竞技场!$F$50:$F$70="炮台升级小材料")*竞技场!$G$50:$G$70))))+$K$6+MOD(MAX(P73-$K$5-$K$8,0),$K$9)*$K$10</f>
        <v>#DIV/0!</v>
      </c>
      <c r="T73" s="206" t="e">
        <f>SUMPRODUCT((竞技场!$B$100:$B$108&lt;=M73)*(竞技场!$C$100:$C$108="炮台升级大材料")*竞技场!$D$100:$D$108)+(SUMPRODUCT((ROW(竞技场!$B$50:$B$70)-ROW(竞技场!$B$50)+1&lt;=MATCH(L73,竞技场!$B$50:$B$70,0))*(((竞技场!$D$50:$D$70="炮台升级大材料")*竞技场!$E$50:$E$70)+((竞技场!$F$50:$F$70="炮台升级大材料")*竞技场!$G$50:$G$70))))+$K$7+INT(MAX(P73-$K$5-$K$8,0)/$K$9)</f>
        <v>#DIV/0!</v>
      </c>
      <c r="U73" s="228" t="e">
        <f>LOOKUP(2,1/(($G$70:$G$187&lt;=S73)*($H$70:$H$187&lt;=T73)),$I$70:$I$187)</f>
        <v>#N/A</v>
      </c>
      <c r="V73" s="203" t="e">
        <f>LOOKUP(2,1/(($G$70:$G$187&lt;=S73+Q73)*($H$70:$H$187&lt;=T73+R73)),$I$70:$I$187)</f>
        <v>#N/A</v>
      </c>
      <c r="W73" s="203" t="e">
        <f>LOOKUP(2,1/(($G$70:$G$187&lt;=S73+Q73*2)*($H$70:$H$187&lt;=T73+R73*2)),$I$70:$I$187)</f>
        <v>#N/A</v>
      </c>
      <c r="X73" s="203" t="e">
        <f>LOOKUP(2,1/(($G$70:$G$187&lt;=S73+Q73*3)*($H$70:$H$187&lt;=T73+R73*3)),$I$70:$I$187)</f>
        <v>#N/A</v>
      </c>
      <c r="Y73" s="228" t="str">
        <f>IFERROR(MATCH("S50/A40/B30",U73:X73,0),"&gt;4")</f>
        <v>&gt;4</v>
      </c>
      <c r="Z73" s="199" t="str">
        <f>IF(MAX(P73-$K$5-$K$8,0)&gt;=750,"赛季限购买完后，还能补齐 1S+1A+1B",IF(MAX(P73-$K$5-$K$8,0)&gt;=650,"赛季限购买完后，还能补 1S+1B",IF(MAX(P73-$K$5-$K$8,0)&gt;=600,"赛季限购买完后，还能补 1S",IF(MAX(P73-$K$5-$K$8,0)&gt;=150,"赛季限购买完后，还能补 1A+1B",IF(MAX(P73-$K$5-$K$8,0)&gt;=100,"赛季限购买完后，还能补 1A",IF(MAX(P73-$K$5-$K$8,0)&gt;=50,"赛季限购买完后，还能补 1B","赛季限购买完后，还不够补本体"))))))</f>
        <v>赛季限购买完后，还能补齐 1S+1A+1B</v>
      </c>
      <c r="AA73" s="223" t="s">
        <v>1294</v>
      </c>
    </row>
    <row r="74" ht="21" customHeight="1" spans="1:27">
      <c r="A74" s="200">
        <v>4</v>
      </c>
      <c r="B74" s="203" t="s">
        <v>1288</v>
      </c>
      <c r="C74" s="203" t="s">
        <v>754</v>
      </c>
      <c r="D74" s="203">
        <v>5</v>
      </c>
      <c r="E74" s="206">
        <f t="shared" si="2"/>
        <v>26</v>
      </c>
      <c r="F74" s="206">
        <f t="shared" si="3"/>
        <v>0</v>
      </c>
      <c r="G74" s="200">
        <f t="shared" si="4"/>
        <v>75</v>
      </c>
      <c r="H74" s="200">
        <f t="shared" si="5"/>
        <v>0</v>
      </c>
      <c r="I74" s="203" t="s">
        <v>1295</v>
      </c>
    </row>
    <row r="75" ht="21" customHeight="1" spans="1:27">
      <c r="A75" s="200">
        <v>5</v>
      </c>
      <c r="B75" s="203" t="s">
        <v>1288</v>
      </c>
      <c r="C75" s="203" t="s">
        <v>754</v>
      </c>
      <c r="D75" s="203">
        <v>6</v>
      </c>
      <c r="E75" s="206">
        <f t="shared" si="2"/>
        <v>32</v>
      </c>
      <c r="F75" s="206">
        <f t="shared" si="3"/>
        <v>0</v>
      </c>
      <c r="G75" s="200">
        <f t="shared" si="4"/>
        <v>107</v>
      </c>
      <c r="H75" s="200">
        <f t="shared" si="5"/>
        <v>0</v>
      </c>
      <c r="I75" s="203" t="s">
        <v>1296</v>
      </c>
    </row>
    <row r="76" ht="21" customHeight="1" spans="1:27">
      <c r="A76" s="200">
        <v>6</v>
      </c>
      <c r="B76" s="203" t="s">
        <v>1288</v>
      </c>
      <c r="C76" s="203" t="s">
        <v>754</v>
      </c>
      <c r="D76" s="203">
        <v>7</v>
      </c>
      <c r="E76" s="206">
        <f t="shared" si="2"/>
        <v>38</v>
      </c>
      <c r="F76" s="206">
        <f t="shared" si="3"/>
        <v>0</v>
      </c>
      <c r="G76" s="200">
        <f t="shared" si="4"/>
        <v>145</v>
      </c>
      <c r="H76" s="200">
        <f t="shared" si="5"/>
        <v>0</v>
      </c>
      <c r="I76" s="203" t="s">
        <v>1297</v>
      </c>
    </row>
    <row r="77" ht="21" customHeight="1" spans="1:27">
      <c r="A77" s="200">
        <v>7</v>
      </c>
      <c r="B77" s="203" t="s">
        <v>1288</v>
      </c>
      <c r="C77" s="203" t="s">
        <v>754</v>
      </c>
      <c r="D77" s="203">
        <v>8</v>
      </c>
      <c r="E77" s="206">
        <f t="shared" si="2"/>
        <v>44</v>
      </c>
      <c r="F77" s="206">
        <f t="shared" si="3"/>
        <v>0</v>
      </c>
      <c r="G77" s="200">
        <f t="shared" si="4"/>
        <v>189</v>
      </c>
      <c r="H77" s="200">
        <f t="shared" si="5"/>
        <v>0</v>
      </c>
      <c r="I77" s="203" t="s">
        <v>1298</v>
      </c>
    </row>
    <row r="78" ht="21" customHeight="1" spans="1:27">
      <c r="A78" s="200">
        <v>8</v>
      </c>
      <c r="B78" s="203" t="s">
        <v>1288</v>
      </c>
      <c r="C78" s="203" t="s">
        <v>754</v>
      </c>
      <c r="D78" s="203">
        <v>9</v>
      </c>
      <c r="E78" s="206">
        <f t="shared" si="2"/>
        <v>50</v>
      </c>
      <c r="F78" s="206">
        <f t="shared" si="3"/>
        <v>0</v>
      </c>
      <c r="G78" s="200">
        <f t="shared" si="4"/>
        <v>239</v>
      </c>
      <c r="H78" s="200">
        <f t="shared" si="5"/>
        <v>0</v>
      </c>
      <c r="I78" s="203" t="s">
        <v>1299</v>
      </c>
    </row>
    <row r="79" ht="21" customHeight="1" spans="1:27">
      <c r="A79" s="200">
        <v>9</v>
      </c>
      <c r="B79" s="203" t="s">
        <v>1288</v>
      </c>
      <c r="C79" s="203" t="s">
        <v>754</v>
      </c>
      <c r="D79" s="203">
        <v>10</v>
      </c>
      <c r="E79" s="206">
        <f t="shared" si="2"/>
        <v>57</v>
      </c>
      <c r="F79" s="206">
        <f t="shared" si="3"/>
        <v>0</v>
      </c>
      <c r="G79" s="200">
        <f t="shared" si="4"/>
        <v>296</v>
      </c>
      <c r="H79" s="200">
        <f t="shared" si="5"/>
        <v>0</v>
      </c>
      <c r="I79" s="203" t="s">
        <v>1300</v>
      </c>
    </row>
    <row r="80" ht="21" customHeight="1" spans="1:27">
      <c r="A80" s="200">
        <v>10</v>
      </c>
      <c r="B80" s="203" t="s">
        <v>1288</v>
      </c>
      <c r="C80" s="203" t="s">
        <v>778</v>
      </c>
      <c r="D80" s="203">
        <v>2</v>
      </c>
      <c r="E80" s="206">
        <f t="shared" si="2"/>
        <v>12</v>
      </c>
      <c r="F80" s="206">
        <f t="shared" si="3"/>
        <v>0</v>
      </c>
      <c r="G80" s="200">
        <f t="shared" si="4"/>
        <v>308</v>
      </c>
      <c r="H80" s="200">
        <f t="shared" si="5"/>
        <v>0</v>
      </c>
      <c r="I80" s="203" t="s">
        <v>1301</v>
      </c>
    </row>
    <row r="81" ht="21" customHeight="1" spans="1:9">
      <c r="A81" s="200">
        <v>11</v>
      </c>
      <c r="B81" s="203" t="s">
        <v>1288</v>
      </c>
      <c r="C81" s="203" t="s">
        <v>778</v>
      </c>
      <c r="D81" s="203">
        <v>3</v>
      </c>
      <c r="E81" s="206">
        <f t="shared" si="2"/>
        <v>16</v>
      </c>
      <c r="F81" s="206">
        <f t="shared" si="3"/>
        <v>0</v>
      </c>
      <c r="G81" s="200">
        <f t="shared" si="4"/>
        <v>324</v>
      </c>
      <c r="H81" s="200">
        <f t="shared" si="5"/>
        <v>0</v>
      </c>
      <c r="I81" s="203" t="s">
        <v>1302</v>
      </c>
    </row>
    <row r="82" ht="21" customHeight="1" spans="1:9">
      <c r="A82" s="200">
        <v>12</v>
      </c>
      <c r="B82" s="203" t="s">
        <v>1288</v>
      </c>
      <c r="C82" s="203" t="s">
        <v>778</v>
      </c>
      <c r="D82" s="203">
        <v>4</v>
      </c>
      <c r="E82" s="206">
        <f t="shared" si="2"/>
        <v>21</v>
      </c>
      <c r="F82" s="206">
        <f t="shared" si="3"/>
        <v>0</v>
      </c>
      <c r="G82" s="200">
        <f t="shared" si="4"/>
        <v>345</v>
      </c>
      <c r="H82" s="200">
        <f t="shared" si="5"/>
        <v>0</v>
      </c>
      <c r="I82" s="203" t="s">
        <v>1303</v>
      </c>
    </row>
    <row r="83" ht="21" customHeight="1" spans="1:9">
      <c r="A83" s="200">
        <v>13</v>
      </c>
      <c r="B83" s="203" t="s">
        <v>1288</v>
      </c>
      <c r="C83" s="203" t="s">
        <v>778</v>
      </c>
      <c r="D83" s="203">
        <v>5</v>
      </c>
      <c r="E83" s="206">
        <f t="shared" si="2"/>
        <v>26</v>
      </c>
      <c r="F83" s="206">
        <f t="shared" si="3"/>
        <v>0</v>
      </c>
      <c r="G83" s="200">
        <f t="shared" si="4"/>
        <v>371</v>
      </c>
      <c r="H83" s="200">
        <f t="shared" si="5"/>
        <v>0</v>
      </c>
      <c r="I83" s="203" t="s">
        <v>1304</v>
      </c>
    </row>
    <row r="84" ht="21" customHeight="1" spans="1:9">
      <c r="A84" s="200">
        <v>14</v>
      </c>
      <c r="B84" s="203" t="s">
        <v>1288</v>
      </c>
      <c r="C84" s="203" t="s">
        <v>778</v>
      </c>
      <c r="D84" s="203">
        <v>6</v>
      </c>
      <c r="E84" s="206">
        <f t="shared" si="2"/>
        <v>32</v>
      </c>
      <c r="F84" s="206">
        <f t="shared" si="3"/>
        <v>0</v>
      </c>
      <c r="G84" s="200">
        <f t="shared" si="4"/>
        <v>403</v>
      </c>
      <c r="H84" s="200">
        <f t="shared" si="5"/>
        <v>0</v>
      </c>
      <c r="I84" s="203" t="s">
        <v>1305</v>
      </c>
    </row>
    <row r="85" ht="21" customHeight="1" spans="1:9">
      <c r="A85" s="200">
        <v>15</v>
      </c>
      <c r="B85" s="203" t="s">
        <v>1288</v>
      </c>
      <c r="C85" s="203" t="s">
        <v>778</v>
      </c>
      <c r="D85" s="203">
        <v>7</v>
      </c>
      <c r="E85" s="206">
        <f t="shared" si="2"/>
        <v>38</v>
      </c>
      <c r="F85" s="206">
        <f t="shared" si="3"/>
        <v>0</v>
      </c>
      <c r="G85" s="200">
        <f t="shared" si="4"/>
        <v>441</v>
      </c>
      <c r="H85" s="200">
        <f t="shared" si="5"/>
        <v>0</v>
      </c>
      <c r="I85" s="203" t="s">
        <v>1306</v>
      </c>
    </row>
    <row r="86" ht="21" customHeight="1" spans="1:9">
      <c r="A86" s="200">
        <v>16</v>
      </c>
      <c r="B86" s="203" t="s">
        <v>1288</v>
      </c>
      <c r="C86" s="203" t="s">
        <v>778</v>
      </c>
      <c r="D86" s="203">
        <v>8</v>
      </c>
      <c r="E86" s="206">
        <f t="shared" si="2"/>
        <v>44</v>
      </c>
      <c r="F86" s="206">
        <f t="shared" si="3"/>
        <v>0</v>
      </c>
      <c r="G86" s="200">
        <f t="shared" si="4"/>
        <v>485</v>
      </c>
      <c r="H86" s="200">
        <f t="shared" si="5"/>
        <v>0</v>
      </c>
      <c r="I86" s="203" t="s">
        <v>1307</v>
      </c>
    </row>
    <row r="87" ht="21" customHeight="1" spans="1:9">
      <c r="A87" s="200">
        <v>17</v>
      </c>
      <c r="B87" s="203" t="s">
        <v>1288</v>
      </c>
      <c r="C87" s="203" t="s">
        <v>778</v>
      </c>
      <c r="D87" s="203">
        <v>9</v>
      </c>
      <c r="E87" s="206">
        <f t="shared" si="2"/>
        <v>50</v>
      </c>
      <c r="F87" s="206">
        <f t="shared" si="3"/>
        <v>0</v>
      </c>
      <c r="G87" s="200">
        <f t="shared" si="4"/>
        <v>535</v>
      </c>
      <c r="H87" s="200">
        <f t="shared" si="5"/>
        <v>0</v>
      </c>
      <c r="I87" s="203" t="s">
        <v>1308</v>
      </c>
    </row>
    <row r="88" ht="21" customHeight="1" spans="1:9">
      <c r="A88" s="200">
        <v>18</v>
      </c>
      <c r="B88" s="203" t="s">
        <v>1288</v>
      </c>
      <c r="C88" s="203" t="s">
        <v>778</v>
      </c>
      <c r="D88" s="203">
        <v>10</v>
      </c>
      <c r="E88" s="206">
        <f t="shared" si="2"/>
        <v>57</v>
      </c>
      <c r="F88" s="206">
        <f t="shared" si="3"/>
        <v>0</v>
      </c>
      <c r="G88" s="200">
        <f t="shared" si="4"/>
        <v>592</v>
      </c>
      <c r="H88" s="200">
        <f t="shared" si="5"/>
        <v>0</v>
      </c>
      <c r="I88" s="203" t="s">
        <v>1309</v>
      </c>
    </row>
    <row r="89" ht="21" customHeight="1" spans="1:9">
      <c r="A89" s="200">
        <v>19</v>
      </c>
      <c r="B89" s="203" t="s">
        <v>1288</v>
      </c>
      <c r="C89" s="203" t="s">
        <v>797</v>
      </c>
      <c r="D89" s="203">
        <v>2</v>
      </c>
      <c r="E89" s="206">
        <f t="shared" si="2"/>
        <v>12</v>
      </c>
      <c r="F89" s="206">
        <f t="shared" si="3"/>
        <v>0</v>
      </c>
      <c r="G89" s="200">
        <f t="shared" si="4"/>
        <v>604</v>
      </c>
      <c r="H89" s="200">
        <f t="shared" si="5"/>
        <v>0</v>
      </c>
      <c r="I89" s="203" t="s">
        <v>1310</v>
      </c>
    </row>
    <row r="90" ht="21" customHeight="1" spans="1:9">
      <c r="A90" s="200">
        <v>20</v>
      </c>
      <c r="B90" s="203" t="s">
        <v>1288</v>
      </c>
      <c r="C90" s="203" t="s">
        <v>797</v>
      </c>
      <c r="D90" s="203">
        <v>3</v>
      </c>
      <c r="E90" s="206">
        <f t="shared" si="2"/>
        <v>16</v>
      </c>
      <c r="F90" s="206">
        <f t="shared" si="3"/>
        <v>0</v>
      </c>
      <c r="G90" s="200">
        <f t="shared" si="4"/>
        <v>620</v>
      </c>
      <c r="H90" s="200">
        <f t="shared" si="5"/>
        <v>0</v>
      </c>
      <c r="I90" s="203" t="s">
        <v>1311</v>
      </c>
    </row>
    <row r="91" ht="21" customHeight="1" spans="1:9">
      <c r="A91" s="200">
        <v>21</v>
      </c>
      <c r="B91" s="203" t="s">
        <v>1288</v>
      </c>
      <c r="C91" s="203" t="s">
        <v>797</v>
      </c>
      <c r="D91" s="203">
        <v>4</v>
      </c>
      <c r="E91" s="206">
        <f t="shared" si="2"/>
        <v>21</v>
      </c>
      <c r="F91" s="206">
        <f t="shared" si="3"/>
        <v>0</v>
      </c>
      <c r="G91" s="200">
        <f t="shared" si="4"/>
        <v>641</v>
      </c>
      <c r="H91" s="200">
        <f t="shared" si="5"/>
        <v>0</v>
      </c>
      <c r="I91" s="203" t="s">
        <v>1312</v>
      </c>
    </row>
    <row r="92" ht="21" customHeight="1" spans="1:9">
      <c r="A92" s="200">
        <v>22</v>
      </c>
      <c r="B92" s="203" t="s">
        <v>1288</v>
      </c>
      <c r="C92" s="203" t="s">
        <v>797</v>
      </c>
      <c r="D92" s="203">
        <v>5</v>
      </c>
      <c r="E92" s="206">
        <f t="shared" si="2"/>
        <v>26</v>
      </c>
      <c r="F92" s="206">
        <f t="shared" si="3"/>
        <v>0</v>
      </c>
      <c r="G92" s="200">
        <f t="shared" si="4"/>
        <v>667</v>
      </c>
      <c r="H92" s="200">
        <f t="shared" si="5"/>
        <v>0</v>
      </c>
      <c r="I92" s="203" t="s">
        <v>1313</v>
      </c>
    </row>
    <row r="93" ht="21" customHeight="1" spans="1:9">
      <c r="A93" s="200">
        <v>23</v>
      </c>
      <c r="B93" s="203" t="s">
        <v>1288</v>
      </c>
      <c r="C93" s="203" t="s">
        <v>797</v>
      </c>
      <c r="D93" s="203">
        <v>6</v>
      </c>
      <c r="E93" s="206">
        <f t="shared" si="2"/>
        <v>32</v>
      </c>
      <c r="F93" s="206">
        <f t="shared" si="3"/>
        <v>0</v>
      </c>
      <c r="G93" s="200">
        <f t="shared" si="4"/>
        <v>699</v>
      </c>
      <c r="H93" s="200">
        <f t="shared" si="5"/>
        <v>0</v>
      </c>
      <c r="I93" s="203" t="s">
        <v>1314</v>
      </c>
    </row>
    <row r="94" ht="21" customHeight="1" spans="1:9">
      <c r="A94" s="200">
        <v>24</v>
      </c>
      <c r="B94" s="203" t="s">
        <v>1288</v>
      </c>
      <c r="C94" s="203" t="s">
        <v>797</v>
      </c>
      <c r="D94" s="203">
        <v>7</v>
      </c>
      <c r="E94" s="206">
        <f t="shared" si="2"/>
        <v>38</v>
      </c>
      <c r="F94" s="206">
        <f t="shared" si="3"/>
        <v>0</v>
      </c>
      <c r="G94" s="200">
        <f t="shared" si="4"/>
        <v>737</v>
      </c>
      <c r="H94" s="200">
        <f t="shared" si="5"/>
        <v>0</v>
      </c>
      <c r="I94" s="203" t="s">
        <v>1315</v>
      </c>
    </row>
    <row r="95" ht="21" customHeight="1" spans="1:9">
      <c r="A95" s="200">
        <v>25</v>
      </c>
      <c r="B95" s="203" t="s">
        <v>1288</v>
      </c>
      <c r="C95" s="203" t="s">
        <v>797</v>
      </c>
      <c r="D95" s="203">
        <v>8</v>
      </c>
      <c r="E95" s="206">
        <f t="shared" si="2"/>
        <v>44</v>
      </c>
      <c r="F95" s="206">
        <f t="shared" si="3"/>
        <v>0</v>
      </c>
      <c r="G95" s="200">
        <f t="shared" si="4"/>
        <v>781</v>
      </c>
      <c r="H95" s="200">
        <f t="shared" si="5"/>
        <v>0</v>
      </c>
      <c r="I95" s="203" t="s">
        <v>1316</v>
      </c>
    </row>
    <row r="96" ht="21" customHeight="1" spans="1:9">
      <c r="A96" s="200">
        <v>26</v>
      </c>
      <c r="B96" s="203" t="s">
        <v>1288</v>
      </c>
      <c r="C96" s="203" t="s">
        <v>797</v>
      </c>
      <c r="D96" s="203">
        <v>9</v>
      </c>
      <c r="E96" s="206">
        <f t="shared" si="2"/>
        <v>50</v>
      </c>
      <c r="F96" s="206">
        <f t="shared" si="3"/>
        <v>0</v>
      </c>
      <c r="G96" s="200">
        <f t="shared" si="4"/>
        <v>831</v>
      </c>
      <c r="H96" s="200">
        <f t="shared" si="5"/>
        <v>0</v>
      </c>
      <c r="I96" s="203" t="s">
        <v>1317</v>
      </c>
    </row>
    <row r="97" ht="21" customHeight="1" spans="1:9">
      <c r="A97" s="200">
        <v>27</v>
      </c>
      <c r="B97" s="203" t="s">
        <v>1288</v>
      </c>
      <c r="C97" s="203" t="s">
        <v>797</v>
      </c>
      <c r="D97" s="203">
        <v>10</v>
      </c>
      <c r="E97" s="206">
        <f t="shared" si="2"/>
        <v>57</v>
      </c>
      <c r="F97" s="206">
        <f t="shared" si="3"/>
        <v>0</v>
      </c>
      <c r="G97" s="200">
        <f t="shared" si="4"/>
        <v>888</v>
      </c>
      <c r="H97" s="200">
        <f t="shared" si="5"/>
        <v>0</v>
      </c>
      <c r="I97" s="203" t="s">
        <v>1318</v>
      </c>
    </row>
    <row r="98" ht="21" customHeight="1" spans="1:9">
      <c r="A98" s="200">
        <v>28</v>
      </c>
      <c r="B98" s="203" t="s">
        <v>1319</v>
      </c>
      <c r="C98" s="203" t="s">
        <v>754</v>
      </c>
      <c r="D98" s="203">
        <v>11</v>
      </c>
      <c r="E98" s="206">
        <f t="shared" si="2"/>
        <v>63</v>
      </c>
      <c r="F98" s="206">
        <f t="shared" si="3"/>
        <v>1</v>
      </c>
      <c r="G98" s="200">
        <f t="shared" si="4"/>
        <v>951</v>
      </c>
      <c r="H98" s="200">
        <f t="shared" si="5"/>
        <v>1</v>
      </c>
      <c r="I98" s="203" t="s">
        <v>1320</v>
      </c>
    </row>
    <row r="99" ht="21" customHeight="1" spans="1:9">
      <c r="A99" s="200">
        <v>29</v>
      </c>
      <c r="B99" s="203" t="s">
        <v>1319</v>
      </c>
      <c r="C99" s="203" t="s">
        <v>754</v>
      </c>
      <c r="D99" s="203">
        <v>12</v>
      </c>
      <c r="E99" s="206">
        <f t="shared" si="2"/>
        <v>70</v>
      </c>
      <c r="F99" s="206">
        <f t="shared" si="3"/>
        <v>0</v>
      </c>
      <c r="G99" s="200">
        <f t="shared" si="4"/>
        <v>1021</v>
      </c>
      <c r="H99" s="200">
        <f t="shared" si="5"/>
        <v>1</v>
      </c>
      <c r="I99" s="203" t="s">
        <v>1321</v>
      </c>
    </row>
    <row r="100" ht="21" customHeight="1" spans="1:9">
      <c r="A100" s="200">
        <v>30</v>
      </c>
      <c r="B100" s="203" t="s">
        <v>1319</v>
      </c>
      <c r="C100" s="203" t="s">
        <v>754</v>
      </c>
      <c r="D100" s="203">
        <v>13</v>
      </c>
      <c r="E100" s="206">
        <f t="shared" si="2"/>
        <v>77</v>
      </c>
      <c r="F100" s="206">
        <f t="shared" si="3"/>
        <v>0</v>
      </c>
      <c r="G100" s="200">
        <f t="shared" si="4"/>
        <v>1098</v>
      </c>
      <c r="H100" s="200">
        <f t="shared" si="5"/>
        <v>1</v>
      </c>
      <c r="I100" s="203" t="s">
        <v>1322</v>
      </c>
    </row>
    <row r="101" ht="21" customHeight="1" spans="1:9">
      <c r="A101" s="200">
        <v>31</v>
      </c>
      <c r="B101" s="203" t="s">
        <v>1319</v>
      </c>
      <c r="C101" s="203" t="s">
        <v>754</v>
      </c>
      <c r="D101" s="203">
        <v>14</v>
      </c>
      <c r="E101" s="206">
        <f t="shared" si="2"/>
        <v>84</v>
      </c>
      <c r="F101" s="206">
        <f t="shared" si="3"/>
        <v>0</v>
      </c>
      <c r="G101" s="200">
        <f t="shared" si="4"/>
        <v>1182</v>
      </c>
      <c r="H101" s="200">
        <f t="shared" si="5"/>
        <v>1</v>
      </c>
      <c r="I101" s="203" t="s">
        <v>1323</v>
      </c>
    </row>
    <row r="102" ht="21" customHeight="1" spans="1:9">
      <c r="A102" s="200">
        <v>32</v>
      </c>
      <c r="B102" s="203" t="s">
        <v>1319</v>
      </c>
      <c r="C102" s="203" t="s">
        <v>754</v>
      </c>
      <c r="D102" s="203">
        <v>15</v>
      </c>
      <c r="E102" s="206">
        <f t="shared" si="2"/>
        <v>91</v>
      </c>
      <c r="F102" s="206">
        <f t="shared" si="3"/>
        <v>0</v>
      </c>
      <c r="G102" s="200">
        <f t="shared" si="4"/>
        <v>1273</v>
      </c>
      <c r="H102" s="200">
        <f t="shared" si="5"/>
        <v>1</v>
      </c>
      <c r="I102" s="203" t="s">
        <v>1324</v>
      </c>
    </row>
    <row r="103" ht="21" customHeight="1" spans="1:9">
      <c r="A103" s="200">
        <v>33</v>
      </c>
      <c r="B103" s="203" t="s">
        <v>1319</v>
      </c>
      <c r="C103" s="203" t="s">
        <v>754</v>
      </c>
      <c r="D103" s="203">
        <v>16</v>
      </c>
      <c r="E103" s="206">
        <f t="shared" si="2"/>
        <v>98</v>
      </c>
      <c r="F103" s="206">
        <f t="shared" si="3"/>
        <v>0</v>
      </c>
      <c r="G103" s="200">
        <f t="shared" si="4"/>
        <v>1371</v>
      </c>
      <c r="H103" s="200">
        <f t="shared" si="5"/>
        <v>1</v>
      </c>
      <c r="I103" s="203" t="s">
        <v>1325</v>
      </c>
    </row>
    <row r="104" ht="21" customHeight="1" spans="1:9">
      <c r="A104" s="200">
        <v>34</v>
      </c>
      <c r="B104" s="203" t="s">
        <v>1319</v>
      </c>
      <c r="C104" s="203" t="s">
        <v>754</v>
      </c>
      <c r="D104" s="203">
        <v>17</v>
      </c>
      <c r="E104" s="206">
        <f t="shared" si="2"/>
        <v>106</v>
      </c>
      <c r="F104" s="206">
        <f t="shared" si="3"/>
        <v>0</v>
      </c>
      <c r="G104" s="200">
        <f t="shared" si="4"/>
        <v>1477</v>
      </c>
      <c r="H104" s="200">
        <f t="shared" si="5"/>
        <v>1</v>
      </c>
      <c r="I104" s="203" t="s">
        <v>1326</v>
      </c>
    </row>
    <row r="105" ht="21" customHeight="1" spans="1:9">
      <c r="A105" s="200">
        <v>35</v>
      </c>
      <c r="B105" s="203" t="s">
        <v>1319</v>
      </c>
      <c r="C105" s="203" t="s">
        <v>754</v>
      </c>
      <c r="D105" s="203">
        <v>18</v>
      </c>
      <c r="E105" s="206">
        <f t="shared" si="2"/>
        <v>113</v>
      </c>
      <c r="F105" s="206">
        <f t="shared" si="3"/>
        <v>0</v>
      </c>
      <c r="G105" s="200">
        <f t="shared" si="4"/>
        <v>1590</v>
      </c>
      <c r="H105" s="200">
        <f t="shared" si="5"/>
        <v>1</v>
      </c>
      <c r="I105" s="203" t="s">
        <v>1327</v>
      </c>
    </row>
    <row r="106" ht="21" customHeight="1" spans="1:9">
      <c r="A106" s="200">
        <v>36</v>
      </c>
      <c r="B106" s="203" t="s">
        <v>1319</v>
      </c>
      <c r="C106" s="203" t="s">
        <v>754</v>
      </c>
      <c r="D106" s="203">
        <v>19</v>
      </c>
      <c r="E106" s="206">
        <f t="shared" si="2"/>
        <v>120</v>
      </c>
      <c r="F106" s="206">
        <f t="shared" si="3"/>
        <v>0</v>
      </c>
      <c r="G106" s="200">
        <f t="shared" si="4"/>
        <v>1710</v>
      </c>
      <c r="H106" s="200">
        <f t="shared" si="5"/>
        <v>1</v>
      </c>
      <c r="I106" s="203" t="s">
        <v>1328</v>
      </c>
    </row>
    <row r="107" ht="21" customHeight="1" spans="1:9">
      <c r="A107" s="200">
        <v>37</v>
      </c>
      <c r="B107" s="203" t="s">
        <v>1319</v>
      </c>
      <c r="C107" s="203" t="s">
        <v>754</v>
      </c>
      <c r="D107" s="203">
        <v>20</v>
      </c>
      <c r="E107" s="206">
        <f t="shared" si="2"/>
        <v>128</v>
      </c>
      <c r="F107" s="206">
        <f t="shared" si="3"/>
        <v>0</v>
      </c>
      <c r="G107" s="200">
        <f t="shared" si="4"/>
        <v>1838</v>
      </c>
      <c r="H107" s="200">
        <f t="shared" si="5"/>
        <v>1</v>
      </c>
      <c r="I107" s="203" t="s">
        <v>1329</v>
      </c>
    </row>
    <row r="108" ht="21" customHeight="1" spans="1:9">
      <c r="A108" s="200">
        <v>38</v>
      </c>
      <c r="B108" s="203" t="s">
        <v>1319</v>
      </c>
      <c r="C108" s="203" t="s">
        <v>778</v>
      </c>
      <c r="D108" s="203">
        <v>11</v>
      </c>
      <c r="E108" s="206">
        <f t="shared" si="2"/>
        <v>63</v>
      </c>
      <c r="F108" s="206">
        <f t="shared" si="3"/>
        <v>0</v>
      </c>
      <c r="G108" s="200">
        <f t="shared" si="4"/>
        <v>1901</v>
      </c>
      <c r="H108" s="200">
        <f t="shared" si="5"/>
        <v>1</v>
      </c>
      <c r="I108" s="203" t="s">
        <v>1330</v>
      </c>
    </row>
    <row r="109" ht="21" customHeight="1" spans="1:9">
      <c r="A109" s="200">
        <v>39</v>
      </c>
      <c r="B109" s="203" t="s">
        <v>1319</v>
      </c>
      <c r="C109" s="203" t="s">
        <v>778</v>
      </c>
      <c r="D109" s="203">
        <v>12</v>
      </c>
      <c r="E109" s="206">
        <f t="shared" si="2"/>
        <v>70</v>
      </c>
      <c r="F109" s="206">
        <f t="shared" si="3"/>
        <v>0</v>
      </c>
      <c r="G109" s="200">
        <f t="shared" si="4"/>
        <v>1971</v>
      </c>
      <c r="H109" s="200">
        <f t="shared" si="5"/>
        <v>1</v>
      </c>
      <c r="I109" s="203" t="s">
        <v>1331</v>
      </c>
    </row>
    <row r="110" ht="21" customHeight="1" spans="1:9">
      <c r="A110" s="200">
        <v>40</v>
      </c>
      <c r="B110" s="203" t="s">
        <v>1319</v>
      </c>
      <c r="C110" s="203" t="s">
        <v>778</v>
      </c>
      <c r="D110" s="203">
        <v>13</v>
      </c>
      <c r="E110" s="206">
        <f t="shared" si="2"/>
        <v>77</v>
      </c>
      <c r="F110" s="206">
        <f t="shared" si="3"/>
        <v>0</v>
      </c>
      <c r="G110" s="200">
        <f t="shared" si="4"/>
        <v>2048</v>
      </c>
      <c r="H110" s="200">
        <f t="shared" si="5"/>
        <v>1</v>
      </c>
      <c r="I110" s="203" t="s">
        <v>1332</v>
      </c>
    </row>
    <row r="111" ht="21" customHeight="1" spans="1:9">
      <c r="A111" s="200">
        <v>41</v>
      </c>
      <c r="B111" s="203" t="s">
        <v>1319</v>
      </c>
      <c r="C111" s="203" t="s">
        <v>778</v>
      </c>
      <c r="D111" s="203">
        <v>14</v>
      </c>
      <c r="E111" s="206">
        <f t="shared" si="2"/>
        <v>84</v>
      </c>
      <c r="F111" s="206">
        <f t="shared" si="3"/>
        <v>0</v>
      </c>
      <c r="G111" s="200">
        <f t="shared" si="4"/>
        <v>2132</v>
      </c>
      <c r="H111" s="200">
        <f t="shared" si="5"/>
        <v>1</v>
      </c>
      <c r="I111" s="203" t="s">
        <v>1333</v>
      </c>
    </row>
    <row r="112" ht="21" customHeight="1" spans="1:9">
      <c r="A112" s="200">
        <v>42</v>
      </c>
      <c r="B112" s="203" t="s">
        <v>1319</v>
      </c>
      <c r="C112" s="203" t="s">
        <v>778</v>
      </c>
      <c r="D112" s="203">
        <v>15</v>
      </c>
      <c r="E112" s="206">
        <f t="shared" si="2"/>
        <v>91</v>
      </c>
      <c r="F112" s="206">
        <f t="shared" si="3"/>
        <v>0</v>
      </c>
      <c r="G112" s="200">
        <f t="shared" si="4"/>
        <v>2223</v>
      </c>
      <c r="H112" s="200">
        <f t="shared" si="5"/>
        <v>1</v>
      </c>
      <c r="I112" s="203" t="s">
        <v>1334</v>
      </c>
    </row>
    <row r="113" ht="21" customHeight="1" spans="1:9">
      <c r="A113" s="200">
        <v>43</v>
      </c>
      <c r="B113" s="203" t="s">
        <v>1319</v>
      </c>
      <c r="C113" s="203" t="s">
        <v>778</v>
      </c>
      <c r="D113" s="203">
        <v>16</v>
      </c>
      <c r="E113" s="206">
        <f t="shared" si="2"/>
        <v>98</v>
      </c>
      <c r="F113" s="206">
        <f t="shared" si="3"/>
        <v>0</v>
      </c>
      <c r="G113" s="200">
        <f t="shared" si="4"/>
        <v>2321</v>
      </c>
      <c r="H113" s="200">
        <f t="shared" si="5"/>
        <v>1</v>
      </c>
      <c r="I113" s="203" t="s">
        <v>1335</v>
      </c>
    </row>
    <row r="114" ht="21" customHeight="1" spans="1:9">
      <c r="A114" s="200">
        <v>44</v>
      </c>
      <c r="B114" s="203" t="s">
        <v>1319</v>
      </c>
      <c r="C114" s="203" t="s">
        <v>778</v>
      </c>
      <c r="D114" s="203">
        <v>17</v>
      </c>
      <c r="E114" s="206">
        <f t="shared" si="2"/>
        <v>106</v>
      </c>
      <c r="F114" s="206">
        <f t="shared" si="3"/>
        <v>0</v>
      </c>
      <c r="G114" s="200">
        <f t="shared" si="4"/>
        <v>2427</v>
      </c>
      <c r="H114" s="200">
        <f t="shared" si="5"/>
        <v>1</v>
      </c>
      <c r="I114" s="203" t="s">
        <v>1336</v>
      </c>
    </row>
    <row r="115" ht="21" customHeight="1" spans="1:9">
      <c r="A115" s="200">
        <v>45</v>
      </c>
      <c r="B115" s="203" t="s">
        <v>1319</v>
      </c>
      <c r="C115" s="203" t="s">
        <v>778</v>
      </c>
      <c r="D115" s="203">
        <v>18</v>
      </c>
      <c r="E115" s="206">
        <f t="shared" si="2"/>
        <v>113</v>
      </c>
      <c r="F115" s="206">
        <f t="shared" si="3"/>
        <v>0</v>
      </c>
      <c r="G115" s="200">
        <f t="shared" si="4"/>
        <v>2540</v>
      </c>
      <c r="H115" s="200">
        <f t="shared" si="5"/>
        <v>1</v>
      </c>
      <c r="I115" s="203" t="s">
        <v>1337</v>
      </c>
    </row>
    <row r="116" ht="21" customHeight="1" spans="1:9">
      <c r="A116" s="200">
        <v>46</v>
      </c>
      <c r="B116" s="203" t="s">
        <v>1319</v>
      </c>
      <c r="C116" s="203" t="s">
        <v>778</v>
      </c>
      <c r="D116" s="203">
        <v>19</v>
      </c>
      <c r="E116" s="206">
        <f t="shared" si="2"/>
        <v>120</v>
      </c>
      <c r="F116" s="206">
        <f t="shared" si="3"/>
        <v>0</v>
      </c>
      <c r="G116" s="200">
        <f t="shared" si="4"/>
        <v>2660</v>
      </c>
      <c r="H116" s="200">
        <f t="shared" si="5"/>
        <v>1</v>
      </c>
      <c r="I116" s="203" t="s">
        <v>1338</v>
      </c>
    </row>
    <row r="117" ht="21" customHeight="1" spans="1:9">
      <c r="A117" s="200">
        <v>47</v>
      </c>
      <c r="B117" s="203" t="s">
        <v>1319</v>
      </c>
      <c r="C117" s="203" t="s">
        <v>778</v>
      </c>
      <c r="D117" s="203">
        <v>20</v>
      </c>
      <c r="E117" s="206">
        <f t="shared" si="2"/>
        <v>128</v>
      </c>
      <c r="F117" s="206">
        <f t="shared" si="3"/>
        <v>0</v>
      </c>
      <c r="G117" s="200">
        <f t="shared" si="4"/>
        <v>2788</v>
      </c>
      <c r="H117" s="200">
        <f t="shared" si="5"/>
        <v>1</v>
      </c>
      <c r="I117" s="203" t="s">
        <v>1339</v>
      </c>
    </row>
    <row r="118" ht="21" customHeight="1" spans="1:9">
      <c r="A118" s="200">
        <v>48</v>
      </c>
      <c r="B118" s="203" t="s">
        <v>1319</v>
      </c>
      <c r="C118" s="203" t="s">
        <v>797</v>
      </c>
      <c r="D118" s="203">
        <v>11</v>
      </c>
      <c r="E118" s="206">
        <f t="shared" si="2"/>
        <v>63</v>
      </c>
      <c r="F118" s="206">
        <f t="shared" si="3"/>
        <v>0</v>
      </c>
      <c r="G118" s="200">
        <f t="shared" si="4"/>
        <v>2851</v>
      </c>
      <c r="H118" s="200">
        <f t="shared" si="5"/>
        <v>1</v>
      </c>
      <c r="I118" s="203" t="s">
        <v>1340</v>
      </c>
    </row>
    <row r="119" ht="21" customHeight="1" spans="1:9">
      <c r="A119" s="200">
        <v>49</v>
      </c>
      <c r="B119" s="203" t="s">
        <v>1319</v>
      </c>
      <c r="C119" s="203" t="s">
        <v>797</v>
      </c>
      <c r="D119" s="203">
        <v>12</v>
      </c>
      <c r="E119" s="206">
        <f t="shared" si="2"/>
        <v>70</v>
      </c>
      <c r="F119" s="206">
        <f t="shared" si="3"/>
        <v>0</v>
      </c>
      <c r="G119" s="200">
        <f t="shared" si="4"/>
        <v>2921</v>
      </c>
      <c r="H119" s="200">
        <f t="shared" si="5"/>
        <v>1</v>
      </c>
      <c r="I119" s="203" t="s">
        <v>1341</v>
      </c>
    </row>
    <row r="120" ht="21" customHeight="1" spans="1:9">
      <c r="A120" s="200">
        <v>50</v>
      </c>
      <c r="B120" s="203" t="s">
        <v>1319</v>
      </c>
      <c r="C120" s="203" t="s">
        <v>797</v>
      </c>
      <c r="D120" s="203">
        <v>13</v>
      </c>
      <c r="E120" s="206">
        <f t="shared" si="2"/>
        <v>77</v>
      </c>
      <c r="F120" s="206">
        <f t="shared" si="3"/>
        <v>0</v>
      </c>
      <c r="G120" s="200">
        <f t="shared" si="4"/>
        <v>2998</v>
      </c>
      <c r="H120" s="200">
        <f t="shared" si="5"/>
        <v>1</v>
      </c>
      <c r="I120" s="203" t="s">
        <v>1342</v>
      </c>
    </row>
    <row r="121" ht="21" customHeight="1" spans="1:9">
      <c r="A121" s="200">
        <v>51</v>
      </c>
      <c r="B121" s="203" t="s">
        <v>1319</v>
      </c>
      <c r="C121" s="203" t="s">
        <v>797</v>
      </c>
      <c r="D121" s="203">
        <v>14</v>
      </c>
      <c r="E121" s="206">
        <f t="shared" si="2"/>
        <v>84</v>
      </c>
      <c r="F121" s="206">
        <f t="shared" si="3"/>
        <v>0</v>
      </c>
      <c r="G121" s="200">
        <f t="shared" si="4"/>
        <v>3082</v>
      </c>
      <c r="H121" s="200">
        <f t="shared" si="5"/>
        <v>1</v>
      </c>
      <c r="I121" s="203" t="s">
        <v>1343</v>
      </c>
    </row>
    <row r="122" ht="21" customHeight="1" spans="1:9">
      <c r="A122" s="200">
        <v>52</v>
      </c>
      <c r="B122" s="203" t="s">
        <v>1319</v>
      </c>
      <c r="C122" s="203" t="s">
        <v>797</v>
      </c>
      <c r="D122" s="203">
        <v>15</v>
      </c>
      <c r="E122" s="206">
        <f t="shared" si="2"/>
        <v>91</v>
      </c>
      <c r="F122" s="206">
        <f t="shared" si="3"/>
        <v>0</v>
      </c>
      <c r="G122" s="200">
        <f t="shared" si="4"/>
        <v>3173</v>
      </c>
      <c r="H122" s="200">
        <f t="shared" si="5"/>
        <v>1</v>
      </c>
      <c r="I122" s="203" t="s">
        <v>1344</v>
      </c>
    </row>
    <row r="123" ht="21" customHeight="1" spans="1:9">
      <c r="A123" s="200">
        <v>53</v>
      </c>
      <c r="B123" s="203" t="s">
        <v>1319</v>
      </c>
      <c r="C123" s="203" t="s">
        <v>797</v>
      </c>
      <c r="D123" s="203">
        <v>16</v>
      </c>
      <c r="E123" s="206">
        <f t="shared" si="2"/>
        <v>98</v>
      </c>
      <c r="F123" s="206">
        <f t="shared" si="3"/>
        <v>0</v>
      </c>
      <c r="G123" s="200">
        <f t="shared" si="4"/>
        <v>3271</v>
      </c>
      <c r="H123" s="200">
        <f t="shared" si="5"/>
        <v>1</v>
      </c>
      <c r="I123" s="203" t="s">
        <v>1345</v>
      </c>
    </row>
    <row r="124" ht="21" customHeight="1" spans="1:9">
      <c r="A124" s="200">
        <v>54</v>
      </c>
      <c r="B124" s="203" t="s">
        <v>1319</v>
      </c>
      <c r="C124" s="203" t="s">
        <v>797</v>
      </c>
      <c r="D124" s="203">
        <v>17</v>
      </c>
      <c r="E124" s="206">
        <f t="shared" si="2"/>
        <v>106</v>
      </c>
      <c r="F124" s="206">
        <f t="shared" si="3"/>
        <v>0</v>
      </c>
      <c r="G124" s="200">
        <f t="shared" si="4"/>
        <v>3377</v>
      </c>
      <c r="H124" s="200">
        <f t="shared" si="5"/>
        <v>1</v>
      </c>
      <c r="I124" s="203" t="s">
        <v>1346</v>
      </c>
    </row>
    <row r="125" ht="21" customHeight="1" spans="1:9">
      <c r="A125" s="200">
        <v>55</v>
      </c>
      <c r="B125" s="203" t="s">
        <v>1319</v>
      </c>
      <c r="C125" s="203" t="s">
        <v>797</v>
      </c>
      <c r="D125" s="203">
        <v>18</v>
      </c>
      <c r="E125" s="206">
        <f t="shared" si="2"/>
        <v>113</v>
      </c>
      <c r="F125" s="206">
        <f t="shared" si="3"/>
        <v>0</v>
      </c>
      <c r="G125" s="200">
        <f t="shared" si="4"/>
        <v>3490</v>
      </c>
      <c r="H125" s="200">
        <f t="shared" si="5"/>
        <v>1</v>
      </c>
      <c r="I125" s="203" t="s">
        <v>1347</v>
      </c>
    </row>
    <row r="126" ht="21" customHeight="1" spans="1:9">
      <c r="A126" s="200">
        <v>56</v>
      </c>
      <c r="B126" s="203" t="s">
        <v>1319</v>
      </c>
      <c r="C126" s="203" t="s">
        <v>797</v>
      </c>
      <c r="D126" s="203">
        <v>19</v>
      </c>
      <c r="E126" s="206">
        <f t="shared" si="2"/>
        <v>120</v>
      </c>
      <c r="F126" s="206">
        <f t="shared" si="3"/>
        <v>0</v>
      </c>
      <c r="G126" s="200">
        <f t="shared" si="4"/>
        <v>3610</v>
      </c>
      <c r="H126" s="200">
        <f t="shared" si="5"/>
        <v>1</v>
      </c>
      <c r="I126" s="203" t="s">
        <v>1348</v>
      </c>
    </row>
    <row r="127" ht="21" customHeight="1" spans="1:9">
      <c r="A127" s="200">
        <v>57</v>
      </c>
      <c r="B127" s="203" t="s">
        <v>1319</v>
      </c>
      <c r="C127" s="203" t="s">
        <v>797</v>
      </c>
      <c r="D127" s="203">
        <v>20</v>
      </c>
      <c r="E127" s="206">
        <f t="shared" si="2"/>
        <v>128</v>
      </c>
      <c r="F127" s="206">
        <f t="shared" si="3"/>
        <v>0</v>
      </c>
      <c r="G127" s="200">
        <f t="shared" si="4"/>
        <v>3738</v>
      </c>
      <c r="H127" s="200">
        <f t="shared" si="5"/>
        <v>1</v>
      </c>
      <c r="I127" s="203" t="s">
        <v>1349</v>
      </c>
    </row>
    <row r="128" ht="21" customHeight="1" spans="1:9">
      <c r="A128" s="200">
        <v>58</v>
      </c>
      <c r="B128" s="203" t="s">
        <v>1350</v>
      </c>
      <c r="C128" s="203" t="s">
        <v>754</v>
      </c>
      <c r="D128" s="203">
        <v>21</v>
      </c>
      <c r="E128" s="206">
        <f t="shared" si="2"/>
        <v>135</v>
      </c>
      <c r="F128" s="206">
        <f t="shared" si="3"/>
        <v>1</v>
      </c>
      <c r="G128" s="200">
        <f t="shared" si="4"/>
        <v>3873</v>
      </c>
      <c r="H128" s="200">
        <f t="shared" si="5"/>
        <v>2</v>
      </c>
      <c r="I128" s="203" t="s">
        <v>1351</v>
      </c>
    </row>
    <row r="129" ht="21" customHeight="1" spans="1:9">
      <c r="A129" s="200">
        <v>59</v>
      </c>
      <c r="B129" s="203" t="s">
        <v>1350</v>
      </c>
      <c r="C129" s="203" t="s">
        <v>754</v>
      </c>
      <c r="D129" s="203">
        <v>22</v>
      </c>
      <c r="E129" s="206">
        <f t="shared" si="2"/>
        <v>143</v>
      </c>
      <c r="F129" s="206">
        <f t="shared" si="3"/>
        <v>0</v>
      </c>
      <c r="G129" s="200">
        <f t="shared" si="4"/>
        <v>4016</v>
      </c>
      <c r="H129" s="200">
        <f t="shared" si="5"/>
        <v>2</v>
      </c>
      <c r="I129" s="203" t="s">
        <v>1352</v>
      </c>
    </row>
    <row r="130" ht="21" customHeight="1" spans="1:9">
      <c r="A130" s="200">
        <v>60</v>
      </c>
      <c r="B130" s="203" t="s">
        <v>1350</v>
      </c>
      <c r="C130" s="203" t="s">
        <v>754</v>
      </c>
      <c r="D130" s="203">
        <v>23</v>
      </c>
      <c r="E130" s="206">
        <f t="shared" si="2"/>
        <v>151</v>
      </c>
      <c r="F130" s="206">
        <f t="shared" si="3"/>
        <v>0</v>
      </c>
      <c r="G130" s="200">
        <f t="shared" si="4"/>
        <v>4167</v>
      </c>
      <c r="H130" s="200">
        <f t="shared" si="5"/>
        <v>2</v>
      </c>
      <c r="I130" s="203" t="s">
        <v>1353</v>
      </c>
    </row>
    <row r="131" ht="21" customHeight="1" spans="1:9">
      <c r="A131" s="200">
        <v>61</v>
      </c>
      <c r="B131" s="203" t="s">
        <v>1350</v>
      </c>
      <c r="C131" s="203" t="s">
        <v>754</v>
      </c>
      <c r="D131" s="203">
        <v>24</v>
      </c>
      <c r="E131" s="206">
        <f t="shared" si="2"/>
        <v>159</v>
      </c>
      <c r="F131" s="206">
        <f t="shared" si="3"/>
        <v>0</v>
      </c>
      <c r="G131" s="200">
        <f t="shared" si="4"/>
        <v>4326</v>
      </c>
      <c r="H131" s="200">
        <f t="shared" si="5"/>
        <v>2</v>
      </c>
      <c r="I131" s="203" t="s">
        <v>1354</v>
      </c>
    </row>
    <row r="132" ht="21" customHeight="1" spans="1:9">
      <c r="A132" s="200">
        <v>62</v>
      </c>
      <c r="B132" s="203" t="s">
        <v>1350</v>
      </c>
      <c r="C132" s="203" t="s">
        <v>754</v>
      </c>
      <c r="D132" s="203">
        <v>25</v>
      </c>
      <c r="E132" s="206">
        <f t="shared" si="2"/>
        <v>167</v>
      </c>
      <c r="F132" s="206">
        <f t="shared" si="3"/>
        <v>0</v>
      </c>
      <c r="G132" s="200">
        <f t="shared" si="4"/>
        <v>4493</v>
      </c>
      <c r="H132" s="200">
        <f t="shared" si="5"/>
        <v>2</v>
      </c>
      <c r="I132" s="203" t="s">
        <v>1355</v>
      </c>
    </row>
    <row r="133" ht="21" customHeight="1" spans="1:9">
      <c r="A133" s="200">
        <v>63</v>
      </c>
      <c r="B133" s="203" t="s">
        <v>1350</v>
      </c>
      <c r="C133" s="203" t="s">
        <v>754</v>
      </c>
      <c r="D133" s="203">
        <v>26</v>
      </c>
      <c r="E133" s="206">
        <f t="shared" si="2"/>
        <v>175</v>
      </c>
      <c r="F133" s="206">
        <f t="shared" si="3"/>
        <v>0</v>
      </c>
      <c r="G133" s="200">
        <f t="shared" si="4"/>
        <v>4668</v>
      </c>
      <c r="H133" s="200">
        <f t="shared" si="5"/>
        <v>2</v>
      </c>
      <c r="I133" s="203" t="s">
        <v>1356</v>
      </c>
    </row>
    <row r="134" ht="21" customHeight="1" spans="1:9">
      <c r="A134" s="200">
        <v>64</v>
      </c>
      <c r="B134" s="203" t="s">
        <v>1350</v>
      </c>
      <c r="C134" s="203" t="s">
        <v>754</v>
      </c>
      <c r="D134" s="203">
        <v>27</v>
      </c>
      <c r="E134" s="206">
        <f t="shared" si="2"/>
        <v>183</v>
      </c>
      <c r="F134" s="206">
        <f t="shared" si="3"/>
        <v>0</v>
      </c>
      <c r="G134" s="200">
        <f t="shared" si="4"/>
        <v>4851</v>
      </c>
      <c r="H134" s="200">
        <f t="shared" si="5"/>
        <v>2</v>
      </c>
      <c r="I134" s="203" t="s">
        <v>1357</v>
      </c>
    </row>
    <row r="135" ht="21" customHeight="1" spans="1:9">
      <c r="A135" s="200">
        <v>65</v>
      </c>
      <c r="B135" s="203" t="s">
        <v>1350</v>
      </c>
      <c r="C135" s="203" t="s">
        <v>754</v>
      </c>
      <c r="D135" s="203">
        <v>28</v>
      </c>
      <c r="E135" s="206">
        <f t="shared" ref="E135:E187" si="6">INDEX($B$17:$B$65,MATCH(D135,$A$17:$A$65,0))</f>
        <v>191</v>
      </c>
      <c r="F135" s="206">
        <f t="shared" ref="F135:F187" si="7">IF(C135="S",INDEX($D$17:$D$65,MATCH(D135,$A$17:$A$65,0)),IF(C135="A",INDEX($E$17:$E$65,MATCH(D135,$A$17:$A$65,0)),INDEX($F$17:$F$65,MATCH(D135,$A$17:$A$65,0))))</f>
        <v>0</v>
      </c>
      <c r="G135" s="200">
        <f t="shared" ref="G135:G187" si="8">G134+E135</f>
        <v>5042</v>
      </c>
      <c r="H135" s="200">
        <f t="shared" ref="H135:H187" si="9">H134+F135</f>
        <v>2</v>
      </c>
      <c r="I135" s="203" t="s">
        <v>1358</v>
      </c>
    </row>
    <row r="136" ht="21" customHeight="1" spans="1:9">
      <c r="A136" s="200">
        <v>66</v>
      </c>
      <c r="B136" s="203" t="s">
        <v>1350</v>
      </c>
      <c r="C136" s="203" t="s">
        <v>754</v>
      </c>
      <c r="D136" s="203">
        <v>29</v>
      </c>
      <c r="E136" s="206">
        <f t="shared" si="6"/>
        <v>199</v>
      </c>
      <c r="F136" s="206">
        <f t="shared" si="7"/>
        <v>0</v>
      </c>
      <c r="G136" s="200">
        <f t="shared" si="8"/>
        <v>5241</v>
      </c>
      <c r="H136" s="200">
        <f t="shared" si="9"/>
        <v>2</v>
      </c>
      <c r="I136" s="203" t="s">
        <v>1359</v>
      </c>
    </row>
    <row r="137" ht="21" customHeight="1" spans="1:9">
      <c r="A137" s="200">
        <v>67</v>
      </c>
      <c r="B137" s="203" t="s">
        <v>1350</v>
      </c>
      <c r="C137" s="203" t="s">
        <v>754</v>
      </c>
      <c r="D137" s="203">
        <v>30</v>
      </c>
      <c r="E137" s="206">
        <f t="shared" si="6"/>
        <v>207</v>
      </c>
      <c r="F137" s="206">
        <f t="shared" si="7"/>
        <v>0</v>
      </c>
      <c r="G137" s="200">
        <f t="shared" si="8"/>
        <v>5448</v>
      </c>
      <c r="H137" s="200">
        <f t="shared" si="9"/>
        <v>2</v>
      </c>
      <c r="I137" s="203" t="s">
        <v>1360</v>
      </c>
    </row>
    <row r="138" ht="21" customHeight="1" spans="1:9">
      <c r="A138" s="200">
        <v>68</v>
      </c>
      <c r="B138" s="203" t="s">
        <v>1350</v>
      </c>
      <c r="C138" s="203" t="s">
        <v>778</v>
      </c>
      <c r="D138" s="203">
        <v>21</v>
      </c>
      <c r="E138" s="206">
        <f t="shared" si="6"/>
        <v>135</v>
      </c>
      <c r="F138" s="206">
        <f t="shared" si="7"/>
        <v>1</v>
      </c>
      <c r="G138" s="200">
        <f t="shared" si="8"/>
        <v>5583</v>
      </c>
      <c r="H138" s="200">
        <f t="shared" si="9"/>
        <v>3</v>
      </c>
      <c r="I138" s="203" t="s">
        <v>1361</v>
      </c>
    </row>
    <row r="139" ht="21" customHeight="1" spans="1:9">
      <c r="A139" s="200">
        <v>69</v>
      </c>
      <c r="B139" s="203" t="s">
        <v>1350</v>
      </c>
      <c r="C139" s="203" t="s">
        <v>778</v>
      </c>
      <c r="D139" s="203">
        <v>22</v>
      </c>
      <c r="E139" s="206">
        <f t="shared" si="6"/>
        <v>143</v>
      </c>
      <c r="F139" s="206">
        <f t="shared" si="7"/>
        <v>0</v>
      </c>
      <c r="G139" s="200">
        <f t="shared" si="8"/>
        <v>5726</v>
      </c>
      <c r="H139" s="200">
        <f t="shared" si="9"/>
        <v>3</v>
      </c>
      <c r="I139" s="203" t="s">
        <v>1362</v>
      </c>
    </row>
    <row r="140" ht="21" customHeight="1" spans="1:9">
      <c r="A140" s="200">
        <v>70</v>
      </c>
      <c r="B140" s="203" t="s">
        <v>1350</v>
      </c>
      <c r="C140" s="203" t="s">
        <v>778</v>
      </c>
      <c r="D140" s="203">
        <v>23</v>
      </c>
      <c r="E140" s="206">
        <f t="shared" si="6"/>
        <v>151</v>
      </c>
      <c r="F140" s="206">
        <f t="shared" si="7"/>
        <v>0</v>
      </c>
      <c r="G140" s="200">
        <f t="shared" si="8"/>
        <v>5877</v>
      </c>
      <c r="H140" s="200">
        <f t="shared" si="9"/>
        <v>3</v>
      </c>
      <c r="I140" s="203" t="s">
        <v>1363</v>
      </c>
    </row>
    <row r="141" ht="21" customHeight="1" spans="1:9">
      <c r="A141" s="200">
        <v>71</v>
      </c>
      <c r="B141" s="203" t="s">
        <v>1350</v>
      </c>
      <c r="C141" s="203" t="s">
        <v>778</v>
      </c>
      <c r="D141" s="203">
        <v>24</v>
      </c>
      <c r="E141" s="206">
        <f t="shared" si="6"/>
        <v>159</v>
      </c>
      <c r="F141" s="206">
        <f t="shared" si="7"/>
        <v>0</v>
      </c>
      <c r="G141" s="200">
        <f t="shared" si="8"/>
        <v>6036</v>
      </c>
      <c r="H141" s="200">
        <f t="shared" si="9"/>
        <v>3</v>
      </c>
      <c r="I141" s="203" t="s">
        <v>1364</v>
      </c>
    </row>
    <row r="142" ht="21" customHeight="1" spans="1:9">
      <c r="A142" s="200">
        <v>72</v>
      </c>
      <c r="B142" s="203" t="s">
        <v>1350</v>
      </c>
      <c r="C142" s="203" t="s">
        <v>778</v>
      </c>
      <c r="D142" s="203">
        <v>25</v>
      </c>
      <c r="E142" s="206">
        <f t="shared" si="6"/>
        <v>167</v>
      </c>
      <c r="F142" s="206">
        <f t="shared" si="7"/>
        <v>0</v>
      </c>
      <c r="G142" s="200">
        <f t="shared" si="8"/>
        <v>6203</v>
      </c>
      <c r="H142" s="200">
        <f t="shared" si="9"/>
        <v>3</v>
      </c>
      <c r="I142" s="203" t="s">
        <v>1365</v>
      </c>
    </row>
    <row r="143" ht="21" customHeight="1" spans="1:9">
      <c r="A143" s="200">
        <v>73</v>
      </c>
      <c r="B143" s="203" t="s">
        <v>1350</v>
      </c>
      <c r="C143" s="203" t="s">
        <v>778</v>
      </c>
      <c r="D143" s="203">
        <v>26</v>
      </c>
      <c r="E143" s="206">
        <f t="shared" si="6"/>
        <v>175</v>
      </c>
      <c r="F143" s="206">
        <f t="shared" si="7"/>
        <v>0</v>
      </c>
      <c r="G143" s="200">
        <f t="shared" si="8"/>
        <v>6378</v>
      </c>
      <c r="H143" s="200">
        <f t="shared" si="9"/>
        <v>3</v>
      </c>
      <c r="I143" s="203" t="s">
        <v>1366</v>
      </c>
    </row>
    <row r="144" ht="21" customHeight="1" spans="1:9">
      <c r="A144" s="200">
        <v>74</v>
      </c>
      <c r="B144" s="203" t="s">
        <v>1350</v>
      </c>
      <c r="C144" s="203" t="s">
        <v>778</v>
      </c>
      <c r="D144" s="203">
        <v>27</v>
      </c>
      <c r="E144" s="206">
        <f t="shared" si="6"/>
        <v>183</v>
      </c>
      <c r="F144" s="206">
        <f t="shared" si="7"/>
        <v>0</v>
      </c>
      <c r="G144" s="200">
        <f t="shared" si="8"/>
        <v>6561</v>
      </c>
      <c r="H144" s="200">
        <f t="shared" si="9"/>
        <v>3</v>
      </c>
      <c r="I144" s="203" t="s">
        <v>1367</v>
      </c>
    </row>
    <row r="145" ht="21" customHeight="1" spans="1:9">
      <c r="A145" s="200">
        <v>75</v>
      </c>
      <c r="B145" s="203" t="s">
        <v>1350</v>
      </c>
      <c r="C145" s="203" t="s">
        <v>778</v>
      </c>
      <c r="D145" s="203">
        <v>28</v>
      </c>
      <c r="E145" s="206">
        <f t="shared" si="6"/>
        <v>191</v>
      </c>
      <c r="F145" s="206">
        <f t="shared" si="7"/>
        <v>0</v>
      </c>
      <c r="G145" s="200">
        <f t="shared" si="8"/>
        <v>6752</v>
      </c>
      <c r="H145" s="200">
        <f t="shared" si="9"/>
        <v>3</v>
      </c>
      <c r="I145" s="203" t="s">
        <v>1368</v>
      </c>
    </row>
    <row r="146" ht="21" customHeight="1" spans="1:9">
      <c r="A146" s="200">
        <v>76</v>
      </c>
      <c r="B146" s="203" t="s">
        <v>1350</v>
      </c>
      <c r="C146" s="203" t="s">
        <v>778</v>
      </c>
      <c r="D146" s="203">
        <v>29</v>
      </c>
      <c r="E146" s="206">
        <f t="shared" si="6"/>
        <v>199</v>
      </c>
      <c r="F146" s="206">
        <f t="shared" si="7"/>
        <v>0</v>
      </c>
      <c r="G146" s="200">
        <f t="shared" si="8"/>
        <v>6951</v>
      </c>
      <c r="H146" s="200">
        <f t="shared" si="9"/>
        <v>3</v>
      </c>
      <c r="I146" s="203" t="s">
        <v>1369</v>
      </c>
    </row>
    <row r="147" ht="21" customHeight="1" spans="1:9">
      <c r="A147" s="200">
        <v>77</v>
      </c>
      <c r="B147" s="203" t="s">
        <v>1350</v>
      </c>
      <c r="C147" s="203" t="s">
        <v>778</v>
      </c>
      <c r="D147" s="203">
        <v>30</v>
      </c>
      <c r="E147" s="206">
        <f t="shared" si="6"/>
        <v>207</v>
      </c>
      <c r="F147" s="206">
        <f t="shared" si="7"/>
        <v>0</v>
      </c>
      <c r="G147" s="200">
        <f t="shared" si="8"/>
        <v>7158</v>
      </c>
      <c r="H147" s="200">
        <f t="shared" si="9"/>
        <v>3</v>
      </c>
      <c r="I147" s="203" t="s">
        <v>1370</v>
      </c>
    </row>
    <row r="148" ht="21" customHeight="1" spans="1:9">
      <c r="A148" s="200">
        <v>78</v>
      </c>
      <c r="B148" s="203" t="s">
        <v>1350</v>
      </c>
      <c r="C148" s="203" t="s">
        <v>797</v>
      </c>
      <c r="D148" s="203">
        <v>21</v>
      </c>
      <c r="E148" s="206">
        <f t="shared" si="6"/>
        <v>135</v>
      </c>
      <c r="F148" s="206">
        <f t="shared" si="7"/>
        <v>0</v>
      </c>
      <c r="G148" s="200">
        <f t="shared" si="8"/>
        <v>7293</v>
      </c>
      <c r="H148" s="200">
        <f t="shared" si="9"/>
        <v>3</v>
      </c>
      <c r="I148" s="203" t="s">
        <v>1371</v>
      </c>
    </row>
    <row r="149" ht="21" customHeight="1" spans="1:9">
      <c r="A149" s="200">
        <v>79</v>
      </c>
      <c r="B149" s="203" t="s">
        <v>1350</v>
      </c>
      <c r="C149" s="203" t="s">
        <v>797</v>
      </c>
      <c r="D149" s="203">
        <v>22</v>
      </c>
      <c r="E149" s="206">
        <f t="shared" si="6"/>
        <v>143</v>
      </c>
      <c r="F149" s="206">
        <f t="shared" si="7"/>
        <v>0</v>
      </c>
      <c r="G149" s="200">
        <f t="shared" si="8"/>
        <v>7436</v>
      </c>
      <c r="H149" s="200">
        <f t="shared" si="9"/>
        <v>3</v>
      </c>
      <c r="I149" s="203" t="s">
        <v>1372</v>
      </c>
    </row>
    <row r="150" ht="21" customHeight="1" spans="1:9">
      <c r="A150" s="200">
        <v>80</v>
      </c>
      <c r="B150" s="203" t="s">
        <v>1350</v>
      </c>
      <c r="C150" s="203" t="s">
        <v>797</v>
      </c>
      <c r="D150" s="203">
        <v>23</v>
      </c>
      <c r="E150" s="206">
        <f t="shared" si="6"/>
        <v>151</v>
      </c>
      <c r="F150" s="206">
        <f t="shared" si="7"/>
        <v>0</v>
      </c>
      <c r="G150" s="200">
        <f t="shared" si="8"/>
        <v>7587</v>
      </c>
      <c r="H150" s="200">
        <f t="shared" si="9"/>
        <v>3</v>
      </c>
      <c r="I150" s="203" t="s">
        <v>1373</v>
      </c>
    </row>
    <row r="151" ht="21" customHeight="1" spans="1:9">
      <c r="A151" s="200">
        <v>81</v>
      </c>
      <c r="B151" s="203" t="s">
        <v>1350</v>
      </c>
      <c r="C151" s="203" t="s">
        <v>797</v>
      </c>
      <c r="D151" s="203">
        <v>24</v>
      </c>
      <c r="E151" s="206">
        <f t="shared" si="6"/>
        <v>159</v>
      </c>
      <c r="F151" s="206">
        <f t="shared" si="7"/>
        <v>0</v>
      </c>
      <c r="G151" s="200">
        <f t="shared" si="8"/>
        <v>7746</v>
      </c>
      <c r="H151" s="200">
        <f t="shared" si="9"/>
        <v>3</v>
      </c>
      <c r="I151" s="203" t="s">
        <v>1374</v>
      </c>
    </row>
    <row r="152" ht="21" customHeight="1" spans="1:9">
      <c r="A152" s="200">
        <v>82</v>
      </c>
      <c r="B152" s="203" t="s">
        <v>1350</v>
      </c>
      <c r="C152" s="203" t="s">
        <v>797</v>
      </c>
      <c r="D152" s="203">
        <v>25</v>
      </c>
      <c r="E152" s="206">
        <f t="shared" si="6"/>
        <v>167</v>
      </c>
      <c r="F152" s="206">
        <f t="shared" si="7"/>
        <v>0</v>
      </c>
      <c r="G152" s="200">
        <f t="shared" si="8"/>
        <v>7913</v>
      </c>
      <c r="H152" s="200">
        <f t="shared" si="9"/>
        <v>3</v>
      </c>
      <c r="I152" s="203" t="s">
        <v>1375</v>
      </c>
    </row>
    <row r="153" ht="21" customHeight="1" spans="1:9">
      <c r="A153" s="200">
        <v>83</v>
      </c>
      <c r="B153" s="203" t="s">
        <v>1350</v>
      </c>
      <c r="C153" s="203" t="s">
        <v>797</v>
      </c>
      <c r="D153" s="203">
        <v>26</v>
      </c>
      <c r="E153" s="206">
        <f t="shared" si="6"/>
        <v>175</v>
      </c>
      <c r="F153" s="206">
        <f t="shared" si="7"/>
        <v>0</v>
      </c>
      <c r="G153" s="200">
        <f t="shared" si="8"/>
        <v>8088</v>
      </c>
      <c r="H153" s="200">
        <f t="shared" si="9"/>
        <v>3</v>
      </c>
      <c r="I153" s="203" t="s">
        <v>1376</v>
      </c>
    </row>
    <row r="154" ht="21" customHeight="1" spans="1:9">
      <c r="A154" s="200">
        <v>84</v>
      </c>
      <c r="B154" s="203" t="s">
        <v>1350</v>
      </c>
      <c r="C154" s="203" t="s">
        <v>797</v>
      </c>
      <c r="D154" s="203">
        <v>27</v>
      </c>
      <c r="E154" s="206">
        <f t="shared" si="6"/>
        <v>183</v>
      </c>
      <c r="F154" s="206">
        <f t="shared" si="7"/>
        <v>0</v>
      </c>
      <c r="G154" s="200">
        <f t="shared" si="8"/>
        <v>8271</v>
      </c>
      <c r="H154" s="200">
        <f t="shared" si="9"/>
        <v>3</v>
      </c>
      <c r="I154" s="203" t="s">
        <v>1377</v>
      </c>
    </row>
    <row r="155" ht="21" customHeight="1" spans="1:9">
      <c r="A155" s="200">
        <v>85</v>
      </c>
      <c r="B155" s="203" t="s">
        <v>1350</v>
      </c>
      <c r="C155" s="203" t="s">
        <v>797</v>
      </c>
      <c r="D155" s="203">
        <v>28</v>
      </c>
      <c r="E155" s="206">
        <f t="shared" si="6"/>
        <v>191</v>
      </c>
      <c r="F155" s="206">
        <f t="shared" si="7"/>
        <v>0</v>
      </c>
      <c r="G155" s="200">
        <f t="shared" si="8"/>
        <v>8462</v>
      </c>
      <c r="H155" s="200">
        <f t="shared" si="9"/>
        <v>3</v>
      </c>
      <c r="I155" s="203" t="s">
        <v>1378</v>
      </c>
    </row>
    <row r="156" ht="21" customHeight="1" spans="1:9">
      <c r="A156" s="200">
        <v>86</v>
      </c>
      <c r="B156" s="203" t="s">
        <v>1350</v>
      </c>
      <c r="C156" s="203" t="s">
        <v>797</v>
      </c>
      <c r="D156" s="203">
        <v>29</v>
      </c>
      <c r="E156" s="206">
        <f t="shared" si="6"/>
        <v>199</v>
      </c>
      <c r="F156" s="206">
        <f t="shared" si="7"/>
        <v>0</v>
      </c>
      <c r="G156" s="200">
        <f t="shared" si="8"/>
        <v>8661</v>
      </c>
      <c r="H156" s="200">
        <f t="shared" si="9"/>
        <v>3</v>
      </c>
      <c r="I156" s="203" t="s">
        <v>1379</v>
      </c>
    </row>
    <row r="157" ht="21" customHeight="1" spans="1:9">
      <c r="A157" s="200">
        <v>87</v>
      </c>
      <c r="B157" s="203" t="s">
        <v>1350</v>
      </c>
      <c r="C157" s="203" t="s">
        <v>797</v>
      </c>
      <c r="D157" s="203">
        <v>30</v>
      </c>
      <c r="E157" s="206">
        <f t="shared" si="6"/>
        <v>207</v>
      </c>
      <c r="F157" s="206">
        <f t="shared" si="7"/>
        <v>0</v>
      </c>
      <c r="G157" s="200">
        <f t="shared" si="8"/>
        <v>8868</v>
      </c>
      <c r="H157" s="200">
        <f t="shared" si="9"/>
        <v>3</v>
      </c>
      <c r="I157" s="203" t="s">
        <v>1380</v>
      </c>
    </row>
    <row r="158" ht="21" customHeight="1" spans="1:9">
      <c r="A158" s="200">
        <v>88</v>
      </c>
      <c r="B158" s="203" t="s">
        <v>1381</v>
      </c>
      <c r="C158" s="203" t="s">
        <v>754</v>
      </c>
      <c r="D158" s="203">
        <v>31</v>
      </c>
      <c r="E158" s="206">
        <f t="shared" si="6"/>
        <v>215</v>
      </c>
      <c r="F158" s="206">
        <f t="shared" si="7"/>
        <v>1</v>
      </c>
      <c r="G158" s="200">
        <f t="shared" si="8"/>
        <v>9083</v>
      </c>
      <c r="H158" s="200">
        <f t="shared" si="9"/>
        <v>4</v>
      </c>
      <c r="I158" s="203" t="s">
        <v>1382</v>
      </c>
    </row>
    <row r="159" ht="21" customHeight="1" spans="1:9">
      <c r="A159" s="200">
        <v>89</v>
      </c>
      <c r="B159" s="203" t="s">
        <v>1381</v>
      </c>
      <c r="C159" s="203" t="s">
        <v>754</v>
      </c>
      <c r="D159" s="203">
        <v>32</v>
      </c>
      <c r="E159" s="206">
        <f t="shared" si="6"/>
        <v>224</v>
      </c>
      <c r="F159" s="206">
        <f t="shared" si="7"/>
        <v>0</v>
      </c>
      <c r="G159" s="200">
        <f t="shared" si="8"/>
        <v>9307</v>
      </c>
      <c r="H159" s="200">
        <f t="shared" si="9"/>
        <v>4</v>
      </c>
      <c r="I159" s="203" t="s">
        <v>1383</v>
      </c>
    </row>
    <row r="160" ht="21" customHeight="1" spans="1:9">
      <c r="A160" s="200">
        <v>90</v>
      </c>
      <c r="B160" s="203" t="s">
        <v>1381</v>
      </c>
      <c r="C160" s="203" t="s">
        <v>754</v>
      </c>
      <c r="D160" s="203">
        <v>33</v>
      </c>
      <c r="E160" s="206">
        <f t="shared" si="6"/>
        <v>232</v>
      </c>
      <c r="F160" s="206">
        <f t="shared" si="7"/>
        <v>0</v>
      </c>
      <c r="G160" s="200">
        <f t="shared" si="8"/>
        <v>9539</v>
      </c>
      <c r="H160" s="200">
        <f t="shared" si="9"/>
        <v>4</v>
      </c>
      <c r="I160" s="203" t="s">
        <v>1384</v>
      </c>
    </row>
    <row r="161" ht="21" customHeight="1" spans="1:9">
      <c r="A161" s="200">
        <v>91</v>
      </c>
      <c r="B161" s="203" t="s">
        <v>1381</v>
      </c>
      <c r="C161" s="203" t="s">
        <v>754</v>
      </c>
      <c r="D161" s="203">
        <v>34</v>
      </c>
      <c r="E161" s="206">
        <f t="shared" si="6"/>
        <v>240</v>
      </c>
      <c r="F161" s="206">
        <f t="shared" si="7"/>
        <v>0</v>
      </c>
      <c r="G161" s="200">
        <f t="shared" si="8"/>
        <v>9779</v>
      </c>
      <c r="H161" s="200">
        <f t="shared" si="9"/>
        <v>4</v>
      </c>
      <c r="I161" s="203" t="s">
        <v>1385</v>
      </c>
    </row>
    <row r="162" ht="21" customHeight="1" spans="1:9">
      <c r="A162" s="200">
        <v>92</v>
      </c>
      <c r="B162" s="203" t="s">
        <v>1381</v>
      </c>
      <c r="C162" s="203" t="s">
        <v>754</v>
      </c>
      <c r="D162" s="203">
        <v>35</v>
      </c>
      <c r="E162" s="206">
        <f t="shared" si="6"/>
        <v>249</v>
      </c>
      <c r="F162" s="206">
        <f t="shared" si="7"/>
        <v>0</v>
      </c>
      <c r="G162" s="200">
        <f t="shared" si="8"/>
        <v>10028</v>
      </c>
      <c r="H162" s="200">
        <f t="shared" si="9"/>
        <v>4</v>
      </c>
      <c r="I162" s="203" t="s">
        <v>1386</v>
      </c>
    </row>
    <row r="163" ht="21" customHeight="1" spans="1:9">
      <c r="A163" s="200">
        <v>93</v>
      </c>
      <c r="B163" s="203" t="s">
        <v>1381</v>
      </c>
      <c r="C163" s="203" t="s">
        <v>754</v>
      </c>
      <c r="D163" s="203">
        <v>36</v>
      </c>
      <c r="E163" s="206">
        <f t="shared" si="6"/>
        <v>257</v>
      </c>
      <c r="F163" s="206">
        <f t="shared" si="7"/>
        <v>0</v>
      </c>
      <c r="G163" s="200">
        <f t="shared" si="8"/>
        <v>10285</v>
      </c>
      <c r="H163" s="200">
        <f t="shared" si="9"/>
        <v>4</v>
      </c>
      <c r="I163" s="203" t="s">
        <v>1387</v>
      </c>
    </row>
    <row r="164" ht="21" customHeight="1" spans="1:9">
      <c r="A164" s="200">
        <v>94</v>
      </c>
      <c r="B164" s="203" t="s">
        <v>1381</v>
      </c>
      <c r="C164" s="203" t="s">
        <v>754</v>
      </c>
      <c r="D164" s="203">
        <v>37</v>
      </c>
      <c r="E164" s="206">
        <f t="shared" si="6"/>
        <v>266</v>
      </c>
      <c r="F164" s="206">
        <f t="shared" si="7"/>
        <v>0</v>
      </c>
      <c r="G164" s="200">
        <f t="shared" si="8"/>
        <v>10551</v>
      </c>
      <c r="H164" s="200">
        <f t="shared" si="9"/>
        <v>4</v>
      </c>
      <c r="I164" s="203" t="s">
        <v>1388</v>
      </c>
    </row>
    <row r="165" ht="21" customHeight="1" spans="1:9">
      <c r="A165" s="200">
        <v>95</v>
      </c>
      <c r="B165" s="203" t="s">
        <v>1381</v>
      </c>
      <c r="C165" s="203" t="s">
        <v>754</v>
      </c>
      <c r="D165" s="203">
        <v>38</v>
      </c>
      <c r="E165" s="206">
        <f t="shared" si="6"/>
        <v>275</v>
      </c>
      <c r="F165" s="206">
        <f t="shared" si="7"/>
        <v>0</v>
      </c>
      <c r="G165" s="200">
        <f t="shared" si="8"/>
        <v>10826</v>
      </c>
      <c r="H165" s="200">
        <f t="shared" si="9"/>
        <v>4</v>
      </c>
      <c r="I165" s="203" t="s">
        <v>1389</v>
      </c>
    </row>
    <row r="166" ht="21" customHeight="1" spans="1:9">
      <c r="A166" s="200">
        <v>96</v>
      </c>
      <c r="B166" s="203" t="s">
        <v>1381</v>
      </c>
      <c r="C166" s="203" t="s">
        <v>754</v>
      </c>
      <c r="D166" s="203">
        <v>39</v>
      </c>
      <c r="E166" s="206">
        <f t="shared" si="6"/>
        <v>283</v>
      </c>
      <c r="F166" s="206">
        <f t="shared" si="7"/>
        <v>0</v>
      </c>
      <c r="G166" s="200">
        <f t="shared" si="8"/>
        <v>11109</v>
      </c>
      <c r="H166" s="200">
        <f t="shared" si="9"/>
        <v>4</v>
      </c>
      <c r="I166" s="203" t="s">
        <v>1390</v>
      </c>
    </row>
    <row r="167" ht="21" customHeight="1" spans="1:9">
      <c r="A167" s="200">
        <v>97</v>
      </c>
      <c r="B167" s="203" t="s">
        <v>1381</v>
      </c>
      <c r="C167" s="203" t="s">
        <v>754</v>
      </c>
      <c r="D167" s="203">
        <v>40</v>
      </c>
      <c r="E167" s="206">
        <f t="shared" si="6"/>
        <v>292</v>
      </c>
      <c r="F167" s="206">
        <f t="shared" si="7"/>
        <v>0</v>
      </c>
      <c r="G167" s="200">
        <f t="shared" si="8"/>
        <v>11401</v>
      </c>
      <c r="H167" s="200">
        <f t="shared" si="9"/>
        <v>4</v>
      </c>
      <c r="I167" s="203" t="s">
        <v>1391</v>
      </c>
    </row>
    <row r="168" ht="21" customHeight="1" spans="1:9">
      <c r="A168" s="200">
        <v>98</v>
      </c>
      <c r="B168" s="203" t="s">
        <v>1381</v>
      </c>
      <c r="C168" s="203" t="s">
        <v>778</v>
      </c>
      <c r="D168" s="203">
        <v>31</v>
      </c>
      <c r="E168" s="206">
        <f t="shared" si="6"/>
        <v>215</v>
      </c>
      <c r="F168" s="206">
        <f t="shared" si="7"/>
        <v>1</v>
      </c>
      <c r="G168" s="200">
        <f t="shared" si="8"/>
        <v>11616</v>
      </c>
      <c r="H168" s="200">
        <f t="shared" si="9"/>
        <v>5</v>
      </c>
      <c r="I168" s="203" t="s">
        <v>1392</v>
      </c>
    </row>
    <row r="169" ht="21" customHeight="1" spans="1:9">
      <c r="A169" s="200">
        <v>99</v>
      </c>
      <c r="B169" s="203" t="s">
        <v>1381</v>
      </c>
      <c r="C169" s="203" t="s">
        <v>778</v>
      </c>
      <c r="D169" s="203">
        <v>32</v>
      </c>
      <c r="E169" s="206">
        <f t="shared" si="6"/>
        <v>224</v>
      </c>
      <c r="F169" s="206">
        <f t="shared" si="7"/>
        <v>0</v>
      </c>
      <c r="G169" s="200">
        <f t="shared" si="8"/>
        <v>11840</v>
      </c>
      <c r="H169" s="200">
        <f t="shared" si="9"/>
        <v>5</v>
      </c>
      <c r="I169" s="203" t="s">
        <v>1393</v>
      </c>
    </row>
    <row r="170" ht="21" customHeight="1" spans="1:9">
      <c r="A170" s="200">
        <v>100</v>
      </c>
      <c r="B170" s="203" t="s">
        <v>1381</v>
      </c>
      <c r="C170" s="203" t="s">
        <v>778</v>
      </c>
      <c r="D170" s="203">
        <v>33</v>
      </c>
      <c r="E170" s="206">
        <f t="shared" si="6"/>
        <v>232</v>
      </c>
      <c r="F170" s="206">
        <f t="shared" si="7"/>
        <v>0</v>
      </c>
      <c r="G170" s="200">
        <f t="shared" si="8"/>
        <v>12072</v>
      </c>
      <c r="H170" s="200">
        <f t="shared" si="9"/>
        <v>5</v>
      </c>
      <c r="I170" s="203" t="s">
        <v>1394</v>
      </c>
    </row>
    <row r="171" ht="21" customHeight="1" spans="1:9">
      <c r="A171" s="200">
        <v>101</v>
      </c>
      <c r="B171" s="203" t="s">
        <v>1381</v>
      </c>
      <c r="C171" s="203" t="s">
        <v>778</v>
      </c>
      <c r="D171" s="203">
        <v>34</v>
      </c>
      <c r="E171" s="206">
        <f t="shared" si="6"/>
        <v>240</v>
      </c>
      <c r="F171" s="206">
        <f t="shared" si="7"/>
        <v>0</v>
      </c>
      <c r="G171" s="200">
        <f t="shared" si="8"/>
        <v>12312</v>
      </c>
      <c r="H171" s="200">
        <f t="shared" si="9"/>
        <v>5</v>
      </c>
      <c r="I171" s="203" t="s">
        <v>1395</v>
      </c>
    </row>
    <row r="172" ht="21" customHeight="1" spans="1:9">
      <c r="A172" s="200">
        <v>102</v>
      </c>
      <c r="B172" s="203" t="s">
        <v>1381</v>
      </c>
      <c r="C172" s="203" t="s">
        <v>778</v>
      </c>
      <c r="D172" s="203">
        <v>35</v>
      </c>
      <c r="E172" s="206">
        <f t="shared" si="6"/>
        <v>249</v>
      </c>
      <c r="F172" s="206">
        <f t="shared" si="7"/>
        <v>0</v>
      </c>
      <c r="G172" s="200">
        <f t="shared" si="8"/>
        <v>12561</v>
      </c>
      <c r="H172" s="200">
        <f t="shared" si="9"/>
        <v>5</v>
      </c>
      <c r="I172" s="203" t="s">
        <v>1396</v>
      </c>
    </row>
    <row r="173" ht="21" customHeight="1" spans="1:9">
      <c r="A173" s="200">
        <v>103</v>
      </c>
      <c r="B173" s="203" t="s">
        <v>1381</v>
      </c>
      <c r="C173" s="203" t="s">
        <v>778</v>
      </c>
      <c r="D173" s="203">
        <v>36</v>
      </c>
      <c r="E173" s="206">
        <f t="shared" si="6"/>
        <v>257</v>
      </c>
      <c r="F173" s="206">
        <f t="shared" si="7"/>
        <v>0</v>
      </c>
      <c r="G173" s="200">
        <f t="shared" si="8"/>
        <v>12818</v>
      </c>
      <c r="H173" s="200">
        <f t="shared" si="9"/>
        <v>5</v>
      </c>
      <c r="I173" s="203" t="s">
        <v>1397</v>
      </c>
    </row>
    <row r="174" ht="21" customHeight="1" spans="1:9">
      <c r="A174" s="200">
        <v>104</v>
      </c>
      <c r="B174" s="203" t="s">
        <v>1381</v>
      </c>
      <c r="C174" s="203" t="s">
        <v>778</v>
      </c>
      <c r="D174" s="203">
        <v>37</v>
      </c>
      <c r="E174" s="206">
        <f t="shared" si="6"/>
        <v>266</v>
      </c>
      <c r="F174" s="206">
        <f t="shared" si="7"/>
        <v>0</v>
      </c>
      <c r="G174" s="200">
        <f t="shared" si="8"/>
        <v>13084</v>
      </c>
      <c r="H174" s="200">
        <f t="shared" si="9"/>
        <v>5</v>
      </c>
      <c r="I174" s="203" t="s">
        <v>1398</v>
      </c>
    </row>
    <row r="175" ht="21" customHeight="1" spans="1:9">
      <c r="A175" s="200">
        <v>105</v>
      </c>
      <c r="B175" s="203" t="s">
        <v>1381</v>
      </c>
      <c r="C175" s="203" t="s">
        <v>778</v>
      </c>
      <c r="D175" s="203">
        <v>38</v>
      </c>
      <c r="E175" s="206">
        <f t="shared" si="6"/>
        <v>275</v>
      </c>
      <c r="F175" s="206">
        <f t="shared" si="7"/>
        <v>0</v>
      </c>
      <c r="G175" s="200">
        <f t="shared" si="8"/>
        <v>13359</v>
      </c>
      <c r="H175" s="200">
        <f t="shared" si="9"/>
        <v>5</v>
      </c>
      <c r="I175" s="203" t="s">
        <v>1399</v>
      </c>
    </row>
    <row r="176" ht="21" customHeight="1" spans="1:9">
      <c r="A176" s="200">
        <v>106</v>
      </c>
      <c r="B176" s="203" t="s">
        <v>1381</v>
      </c>
      <c r="C176" s="203" t="s">
        <v>778</v>
      </c>
      <c r="D176" s="203">
        <v>39</v>
      </c>
      <c r="E176" s="206">
        <f t="shared" si="6"/>
        <v>283</v>
      </c>
      <c r="F176" s="206">
        <f t="shared" si="7"/>
        <v>0</v>
      </c>
      <c r="G176" s="200">
        <f t="shared" si="8"/>
        <v>13642</v>
      </c>
      <c r="H176" s="200">
        <f t="shared" si="9"/>
        <v>5</v>
      </c>
      <c r="I176" s="203" t="s">
        <v>1400</v>
      </c>
    </row>
    <row r="177" ht="21" customHeight="1" spans="1:27">
      <c r="A177" s="200">
        <v>107</v>
      </c>
      <c r="B177" s="203" t="s">
        <v>1381</v>
      </c>
      <c r="C177" s="203" t="s">
        <v>778</v>
      </c>
      <c r="D177" s="203">
        <v>40</v>
      </c>
      <c r="E177" s="206">
        <f t="shared" si="6"/>
        <v>292</v>
      </c>
      <c r="F177" s="206">
        <f t="shared" si="7"/>
        <v>0</v>
      </c>
      <c r="G177" s="200">
        <f t="shared" si="8"/>
        <v>13934</v>
      </c>
      <c r="H177" s="200">
        <f t="shared" si="9"/>
        <v>5</v>
      </c>
      <c r="I177" s="203" t="s">
        <v>1401</v>
      </c>
    </row>
    <row r="178" ht="21" customHeight="1" spans="1:27">
      <c r="A178" s="200">
        <v>108</v>
      </c>
      <c r="B178" s="203" t="s">
        <v>1402</v>
      </c>
      <c r="C178" s="203" t="s">
        <v>754</v>
      </c>
      <c r="D178" s="203">
        <v>41</v>
      </c>
      <c r="E178" s="206">
        <f t="shared" si="6"/>
        <v>301</v>
      </c>
      <c r="F178" s="206">
        <f t="shared" si="7"/>
        <v>1</v>
      </c>
      <c r="G178" s="200">
        <f t="shared" si="8"/>
        <v>14235</v>
      </c>
      <c r="H178" s="200">
        <f t="shared" si="9"/>
        <v>6</v>
      </c>
      <c r="I178" s="203" t="s">
        <v>1403</v>
      </c>
    </row>
    <row r="179" ht="21" customHeight="1" spans="1:27">
      <c r="A179" s="200">
        <v>109</v>
      </c>
      <c r="B179" s="203" t="s">
        <v>1402</v>
      </c>
      <c r="C179" s="203" t="s">
        <v>754</v>
      </c>
      <c r="D179" s="203">
        <v>42</v>
      </c>
      <c r="E179" s="206">
        <f t="shared" si="6"/>
        <v>310</v>
      </c>
      <c r="F179" s="206">
        <f t="shared" si="7"/>
        <v>0</v>
      </c>
      <c r="G179" s="200">
        <f t="shared" si="8"/>
        <v>14545</v>
      </c>
      <c r="H179" s="200">
        <f t="shared" si="9"/>
        <v>6</v>
      </c>
      <c r="I179" s="203" t="s">
        <v>1404</v>
      </c>
    </row>
    <row r="180" ht="21" customHeight="1" spans="1:27">
      <c r="A180" s="200">
        <v>110</v>
      </c>
      <c r="B180" s="203" t="s">
        <v>1402</v>
      </c>
      <c r="C180" s="203" t="s">
        <v>754</v>
      </c>
      <c r="D180" s="203">
        <v>43</v>
      </c>
      <c r="E180" s="206">
        <f t="shared" si="6"/>
        <v>318</v>
      </c>
      <c r="F180" s="206">
        <f t="shared" si="7"/>
        <v>0</v>
      </c>
      <c r="G180" s="200">
        <f t="shared" si="8"/>
        <v>14863</v>
      </c>
      <c r="H180" s="200">
        <f t="shared" si="9"/>
        <v>6</v>
      </c>
      <c r="I180" s="203" t="s">
        <v>1405</v>
      </c>
    </row>
    <row r="181" ht="21" customHeight="1" spans="1:27">
      <c r="A181" s="200">
        <v>111</v>
      </c>
      <c r="B181" s="203" t="s">
        <v>1402</v>
      </c>
      <c r="C181" s="203" t="s">
        <v>754</v>
      </c>
      <c r="D181" s="203">
        <v>44</v>
      </c>
      <c r="E181" s="206">
        <f t="shared" si="6"/>
        <v>327</v>
      </c>
      <c r="F181" s="206">
        <f t="shared" si="7"/>
        <v>0</v>
      </c>
      <c r="G181" s="200">
        <f t="shared" si="8"/>
        <v>15190</v>
      </c>
      <c r="H181" s="200">
        <f t="shared" si="9"/>
        <v>6</v>
      </c>
      <c r="I181" s="203" t="s">
        <v>1406</v>
      </c>
    </row>
    <row r="182" ht="21" customHeight="1" spans="1:27">
      <c r="A182" s="200">
        <v>112</v>
      </c>
      <c r="B182" s="203" t="s">
        <v>1402</v>
      </c>
      <c r="C182" s="203" t="s">
        <v>754</v>
      </c>
      <c r="D182" s="203">
        <v>45</v>
      </c>
      <c r="E182" s="206">
        <f t="shared" si="6"/>
        <v>336</v>
      </c>
      <c r="F182" s="206">
        <f t="shared" si="7"/>
        <v>0</v>
      </c>
      <c r="G182" s="200">
        <f t="shared" si="8"/>
        <v>15526</v>
      </c>
      <c r="H182" s="200">
        <f t="shared" si="9"/>
        <v>6</v>
      </c>
      <c r="I182" s="203" t="s">
        <v>1407</v>
      </c>
    </row>
    <row r="183" ht="21" customHeight="1" spans="1:27">
      <c r="A183" s="200">
        <v>113</v>
      </c>
      <c r="B183" s="203" t="s">
        <v>1402</v>
      </c>
      <c r="C183" s="203" t="s">
        <v>754</v>
      </c>
      <c r="D183" s="203">
        <v>46</v>
      </c>
      <c r="E183" s="206">
        <f t="shared" si="6"/>
        <v>345</v>
      </c>
      <c r="F183" s="206">
        <f t="shared" si="7"/>
        <v>0</v>
      </c>
      <c r="G183" s="200">
        <f t="shared" si="8"/>
        <v>15871</v>
      </c>
      <c r="H183" s="200">
        <f t="shared" si="9"/>
        <v>6</v>
      </c>
      <c r="I183" s="203" t="s">
        <v>1408</v>
      </c>
    </row>
    <row r="184" ht="21" customHeight="1" spans="1:27">
      <c r="A184" s="200">
        <v>114</v>
      </c>
      <c r="B184" s="203" t="s">
        <v>1402</v>
      </c>
      <c r="C184" s="203" t="s">
        <v>754</v>
      </c>
      <c r="D184" s="203">
        <v>47</v>
      </c>
      <c r="E184" s="206">
        <f t="shared" si="6"/>
        <v>354</v>
      </c>
      <c r="F184" s="206">
        <f t="shared" si="7"/>
        <v>0</v>
      </c>
      <c r="G184" s="200">
        <f t="shared" si="8"/>
        <v>16225</v>
      </c>
      <c r="H184" s="200">
        <f t="shared" si="9"/>
        <v>6</v>
      </c>
      <c r="I184" s="203" t="s">
        <v>1409</v>
      </c>
    </row>
    <row r="185" ht="21" customHeight="1" spans="1:27">
      <c r="A185" s="200">
        <v>115</v>
      </c>
      <c r="B185" s="203" t="s">
        <v>1402</v>
      </c>
      <c r="C185" s="203" t="s">
        <v>754</v>
      </c>
      <c r="D185" s="203">
        <v>48</v>
      </c>
      <c r="E185" s="206">
        <f t="shared" si="6"/>
        <v>363</v>
      </c>
      <c r="F185" s="206">
        <f t="shared" si="7"/>
        <v>0</v>
      </c>
      <c r="G185" s="200">
        <f t="shared" si="8"/>
        <v>16588</v>
      </c>
      <c r="H185" s="200">
        <f t="shared" si="9"/>
        <v>6</v>
      </c>
      <c r="I185" s="203" t="s">
        <v>1410</v>
      </c>
    </row>
    <row r="186" ht="21" customHeight="1" spans="1:27">
      <c r="A186" s="200">
        <v>116</v>
      </c>
      <c r="B186" s="203" t="s">
        <v>1402</v>
      </c>
      <c r="C186" s="203" t="s">
        <v>754</v>
      </c>
      <c r="D186" s="203">
        <v>49</v>
      </c>
      <c r="E186" s="206">
        <f t="shared" si="6"/>
        <v>372</v>
      </c>
      <c r="F186" s="206">
        <f t="shared" si="7"/>
        <v>0</v>
      </c>
      <c r="G186" s="200">
        <f t="shared" si="8"/>
        <v>16960</v>
      </c>
      <c r="H186" s="200">
        <f t="shared" si="9"/>
        <v>6</v>
      </c>
      <c r="I186" s="203" t="s">
        <v>1411</v>
      </c>
    </row>
    <row r="187" ht="21" customHeight="1" spans="1:27">
      <c r="A187" s="200">
        <v>117</v>
      </c>
      <c r="B187" s="203" t="s">
        <v>1402</v>
      </c>
      <c r="C187" s="203" t="s">
        <v>754</v>
      </c>
      <c r="D187" s="203">
        <v>50</v>
      </c>
      <c r="E187" s="206">
        <f t="shared" si="6"/>
        <v>382</v>
      </c>
      <c r="F187" s="206">
        <f t="shared" si="7"/>
        <v>0</v>
      </c>
      <c r="G187" s="200">
        <f t="shared" si="8"/>
        <v>17342</v>
      </c>
      <c r="H187" s="200">
        <f t="shared" si="9"/>
        <v>6</v>
      </c>
      <c r="I187" s="203" t="s">
        <v>1412</v>
      </c>
    </row>
    <row r="188" ht="21" customHeight="1"/>
    <row r="189" ht="21" customHeight="1"/>
    <row r="190" ht="21" customHeight="1" spans="1:27">
      <c r="A190" s="198" t="s">
        <v>1413</v>
      </c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  <c r="AA190" s="196"/>
    </row>
    <row r="191" ht="21" customHeight="1" spans="1:27">
      <c r="A191" s="199" t="s">
        <v>1414</v>
      </c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  <c r="AA191" s="196"/>
    </row>
    <row r="192" ht="21" customHeight="1" spans="1:27">
      <c r="A192" s="199" t="s">
        <v>1415</v>
      </c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  <c r="AA192" s="196"/>
    </row>
    <row r="193" ht="21" customHeight="1" spans="1:27">
      <c r="A193" s="199" t="s">
        <v>1416</v>
      </c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  <c r="AA193" s="196"/>
    </row>
    <row r="194" ht="21" customHeight="1" spans="1:27">
      <c r="A194" s="199" t="s">
        <v>1417</v>
      </c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  <c r="AA194" s="196"/>
    </row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</sheetData>
  <mergeCells count="29">
    <mergeCell ref="A1:AA1"/>
    <mergeCell ref="A2:AA2"/>
    <mergeCell ref="A4:F4"/>
    <mergeCell ref="J4:P4"/>
    <mergeCell ref="C5:F5"/>
    <mergeCell ref="L5:P5"/>
    <mergeCell ref="C6:F6"/>
    <mergeCell ref="L6:P6"/>
    <mergeCell ref="C7:F7"/>
    <mergeCell ref="L7:P7"/>
    <mergeCell ref="C8:F8"/>
    <mergeCell ref="L8:P8"/>
    <mergeCell ref="C9:F9"/>
    <mergeCell ref="L9:P9"/>
    <mergeCell ref="C10:F10"/>
    <mergeCell ref="L10:P10"/>
    <mergeCell ref="C11:F11"/>
    <mergeCell ref="L11:P11"/>
    <mergeCell ref="C12:F12"/>
    <mergeCell ref="L12:P12"/>
    <mergeCell ref="A15:G15"/>
    <mergeCell ref="J15:P15"/>
    <mergeCell ref="A68:I68"/>
    <mergeCell ref="K68:AA68"/>
    <mergeCell ref="A190:AA190"/>
    <mergeCell ref="A191:AA191"/>
    <mergeCell ref="A192:AA192"/>
    <mergeCell ref="A193:AA193"/>
    <mergeCell ref="A194:AA194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B2:T116"/>
  <sheetViews>
    <sheetView topLeftCell="A12" workbookViewId="0">
      <selection activeCell="N47" sqref="N47"/>
    </sheetView>
  </sheetViews>
  <sheetFormatPr defaultColWidth="9" defaultRowHeight="16.5"/>
  <cols>
    <col min="1" max="2" width="9" style="3" customWidth="1"/>
    <col min="3" max="3" width="19" style="3" customWidth="1"/>
    <col min="4" max="5" width="9" style="3" customWidth="1"/>
    <col min="6" max="6" width="15.875" style="3" customWidth="1"/>
    <col min="7" max="7" width="9" style="3" customWidth="1"/>
    <col min="8" max="8" width="17.875" style="3" customWidth="1"/>
    <col min="9" max="9" width="17.125" style="3" customWidth="1"/>
    <col min="10" max="10" width="16.375" style="3" customWidth="1"/>
    <col min="11" max="12" width="9" style="3" customWidth="1"/>
    <col min="13" max="13" width="14.125" style="3" customWidth="1"/>
    <col min="14" max="14" width="12.875" style="3" customWidth="1"/>
    <col min="15" max="16" width="9" style="3" customWidth="1"/>
    <col min="17" max="17" width="21.25" style="3" customWidth="1"/>
    <col min="18" max="18" width="16.5" style="3" customWidth="1"/>
    <col min="19" max="19" width="15.625" style="3" customWidth="1"/>
    <col min="20" max="20" width="15.25" style="3" customWidth="1"/>
    <col min="21" max="16384" width="9" style="3" customWidth="1"/>
  </cols>
  <sheetData>
    <row r="2" spans="2:19">
      <c r="B2" s="3" t="s">
        <v>1418</v>
      </c>
      <c r="H2" s="3" t="s">
        <v>1419</v>
      </c>
      <c r="I2" s="5">
        <v>68</v>
      </c>
      <c r="J2" s="3" t="s">
        <v>1420</v>
      </c>
      <c r="Q2" s="19" t="s">
        <v>1421</v>
      </c>
      <c r="R2" s="19" t="s">
        <v>1422</v>
      </c>
    </row>
    <row r="3" spans="2:19">
      <c r="B3" s="3" t="s">
        <v>1423</v>
      </c>
      <c r="H3" s="3" t="s">
        <v>1424</v>
      </c>
      <c r="I3" s="5">
        <v>98</v>
      </c>
      <c r="J3" s="3" t="s">
        <v>1420</v>
      </c>
      <c r="Q3" s="179">
        <v>6</v>
      </c>
      <c r="R3" s="16">
        <f>Q3*7</f>
        <v>42</v>
      </c>
    </row>
    <row r="4" spans="2:19">
      <c r="B4" s="3" t="s">
        <v>1425</v>
      </c>
      <c r="H4" s="3" t="s">
        <v>1038</v>
      </c>
      <c r="I4" s="5">
        <v>60</v>
      </c>
    </row>
    <row r="5" spans="2:19">
      <c r="B5" s="3" t="s">
        <v>1426</v>
      </c>
      <c r="Q5" s="19" t="s">
        <v>1427</v>
      </c>
      <c r="R5" s="19" t="s">
        <v>1428</v>
      </c>
    </row>
    <row r="6" spans="2:19">
      <c r="B6" s="3" t="s">
        <v>1429</v>
      </c>
      <c r="H6" s="3" t="s">
        <v>1430</v>
      </c>
      <c r="I6" s="222">
        <f>H14/I2/10</f>
        <v>26.4117647058824</v>
      </c>
      <c r="Q6" s="179">
        <v>1000</v>
      </c>
      <c r="R6" s="179">
        <v>15000</v>
      </c>
    </row>
    <row r="7" spans="2:19">
      <c r="H7" s="3" t="s">
        <v>1431</v>
      </c>
      <c r="I7" s="222">
        <f>I14/I2/10</f>
        <v>4.11764705882353</v>
      </c>
    </row>
    <row r="8" spans="2:19">
      <c r="H8" s="3" t="s">
        <v>1432</v>
      </c>
      <c r="I8" s="222">
        <f>S24/(I3-I2)/10</f>
        <v>9.16666666666667</v>
      </c>
      <c r="Q8" s="19" t="s">
        <v>1433</v>
      </c>
    </row>
    <row r="9" spans="2:19">
      <c r="Q9" s="18">
        <f>(R6*Q3+T56)/Q6</f>
        <v>111</v>
      </c>
    </row>
    <row r="12" spans="2:19">
      <c r="Q12" s="3" t="s">
        <v>1434</v>
      </c>
      <c r="R12" s="3" t="s">
        <v>1435</v>
      </c>
    </row>
    <row r="13" spans="2:19">
      <c r="H13" s="16" t="s">
        <v>1436</v>
      </c>
      <c r="I13" s="16" t="s">
        <v>1437</v>
      </c>
    </row>
    <row r="14" spans="2:19">
      <c r="H14" s="16">
        <f>SUM(L17:L76)</f>
        <v>17960</v>
      </c>
      <c r="I14" s="16">
        <f>SUM(N17:N76)</f>
        <v>2800</v>
      </c>
    </row>
    <row r="15" spans="2:19">
      <c r="C15" s="16" t="s">
        <v>1438</v>
      </c>
      <c r="F15" s="16" t="s">
        <v>1439</v>
      </c>
      <c r="Q15" s="3" t="s">
        <v>1440</v>
      </c>
    </row>
    <row r="16" spans="2:19">
      <c r="B16" s="19" t="s">
        <v>1041</v>
      </c>
      <c r="C16" s="19" t="s">
        <v>1441</v>
      </c>
      <c r="D16" s="19" t="s">
        <v>1442</v>
      </c>
      <c r="E16" s="19" t="s">
        <v>1443</v>
      </c>
      <c r="F16" s="19" t="s">
        <v>1441</v>
      </c>
      <c r="G16" s="19" t="s">
        <v>1442</v>
      </c>
      <c r="H16" s="19" t="s">
        <v>1443</v>
      </c>
      <c r="I16" s="19" t="s">
        <v>1444</v>
      </c>
      <c r="J16" s="19" t="s">
        <v>1445</v>
      </c>
      <c r="K16" s="19" t="s">
        <v>1446</v>
      </c>
      <c r="L16" s="19" t="s">
        <v>1436</v>
      </c>
      <c r="M16" s="19" t="s">
        <v>1447</v>
      </c>
      <c r="N16" s="19" t="s">
        <v>1437</v>
      </c>
      <c r="Q16" s="19" t="s">
        <v>1441</v>
      </c>
      <c r="R16" s="19" t="s">
        <v>1442</v>
      </c>
      <c r="S16" s="19" t="s">
        <v>1443</v>
      </c>
    </row>
    <row r="17" spans="2:20">
      <c r="B17" s="3">
        <f t="array" ref="B17:B76">_xlfn.SEQUENCE(I4,1,1,1)</f>
        <v>1</v>
      </c>
      <c r="C17" s="16" t="s">
        <v>601</v>
      </c>
      <c r="D17" s="16">
        <v>10000</v>
      </c>
      <c r="E17" s="16">
        <f>VLOOKUP(C17,道具定价!$C:$F,4,0)*D17</f>
        <v>10</v>
      </c>
      <c r="F17" s="16" t="s">
        <v>5</v>
      </c>
      <c r="G17" s="16">
        <v>680</v>
      </c>
      <c r="H17" s="16">
        <f>VLOOKUP(F17,道具定价!$C:$F,4,0)*G17</f>
        <v>680</v>
      </c>
      <c r="I17" s="16"/>
      <c r="J17" s="16"/>
      <c r="K17" s="16">
        <f>_xlfn.IFNA(VLOOKUP(I17,道具定价!$C:$F,4,0)*J17,0)</f>
        <v>0</v>
      </c>
      <c r="L17" s="16">
        <f t="shared" ref="L17:L80" si="0">H17+K17</f>
        <v>680</v>
      </c>
      <c r="M17" s="16">
        <f t="shared" ref="M17:M80" si="1">L17/E17</f>
        <v>68</v>
      </c>
      <c r="N17" s="3">
        <v>0</v>
      </c>
      <c r="Q17" s="16" t="s">
        <v>5</v>
      </c>
      <c r="R17" s="16">
        <v>450</v>
      </c>
      <c r="S17" s="16">
        <v>300</v>
      </c>
    </row>
    <row r="18" spans="2:20">
      <c r="B18" s="3">
        <v>2</v>
      </c>
      <c r="C18" s="16" t="s">
        <v>613</v>
      </c>
      <c r="D18" s="16">
        <v>5</v>
      </c>
      <c r="E18" s="16">
        <f>VLOOKUP(C18,道具定价!$C:$F,4,0)*D18</f>
        <v>10</v>
      </c>
      <c r="F18" s="16" t="s">
        <v>614</v>
      </c>
      <c r="G18" s="16">
        <v>4</v>
      </c>
      <c r="H18" s="16">
        <f>VLOOKUP(F18,道具定价!$C:$F,4,0)*G18</f>
        <v>40</v>
      </c>
      <c r="I18" s="16"/>
      <c r="J18" s="16"/>
      <c r="K18" s="16">
        <f>_xlfn.IFNA(VLOOKUP(I18,道具定价!$C:$F,4,0)*J18,0)</f>
        <v>0</v>
      </c>
      <c r="L18" s="16">
        <f t="shared" si="0"/>
        <v>40</v>
      </c>
      <c r="M18" s="16">
        <f t="shared" si="1"/>
        <v>4</v>
      </c>
      <c r="N18" s="3">
        <v>0</v>
      </c>
      <c r="Q18" s="16" t="s">
        <v>6</v>
      </c>
      <c r="R18" s="16">
        <v>5</v>
      </c>
      <c r="S18" s="16">
        <f>VLOOKUP(Q18,道具定价!$C:$F,4,0)*R18</f>
        <v>750</v>
      </c>
    </row>
    <row r="19" spans="2:20">
      <c r="B19" s="3">
        <v>3</v>
      </c>
      <c r="C19" s="16" t="s">
        <v>669</v>
      </c>
      <c r="D19" s="16">
        <v>5</v>
      </c>
      <c r="E19" s="16">
        <f>VLOOKUP(C19,道具定价!$C:$F,4,0)*D19</f>
        <v>10</v>
      </c>
      <c r="F19" s="16" t="s">
        <v>670</v>
      </c>
      <c r="G19" s="16">
        <v>4</v>
      </c>
      <c r="H19" s="16">
        <f>VLOOKUP(F19,道具定价!$C:$F,4,0)*G19</f>
        <v>40</v>
      </c>
      <c r="I19" s="16"/>
      <c r="J19" s="16"/>
      <c r="K19" s="16">
        <f>_xlfn.IFNA(VLOOKUP(I19,道具定价!$C:$F,4,0)*J19,0)</f>
        <v>0</v>
      </c>
      <c r="L19" s="16">
        <f t="shared" si="0"/>
        <v>40</v>
      </c>
      <c r="M19" s="16">
        <f t="shared" si="1"/>
        <v>4</v>
      </c>
      <c r="N19" s="3">
        <v>0</v>
      </c>
      <c r="Q19" s="16" t="s">
        <v>595</v>
      </c>
      <c r="R19" s="16">
        <v>1</v>
      </c>
      <c r="S19" s="16">
        <f>VLOOKUP(Q19,道具定价!$C:$F,4,0)*R19</f>
        <v>0</v>
      </c>
    </row>
    <row r="20" spans="2:20">
      <c r="B20" s="3">
        <v>4</v>
      </c>
      <c r="C20" s="16" t="s">
        <v>728</v>
      </c>
      <c r="D20" s="16">
        <v>1000</v>
      </c>
      <c r="E20" s="16">
        <f>VLOOKUP(C20,道具定价!$C:$F,4,0)*D20</f>
        <v>10</v>
      </c>
      <c r="F20" s="16" t="s">
        <v>728</v>
      </c>
      <c r="G20" s="16">
        <v>4000</v>
      </c>
      <c r="H20" s="16">
        <f>VLOOKUP(F20,道具定价!$C:$F,4,0)*G20</f>
        <v>40</v>
      </c>
      <c r="I20" s="16"/>
      <c r="J20" s="16"/>
      <c r="K20" s="16">
        <f>_xlfn.IFNA(VLOOKUP(I20,道具定价!$C:$F,4,0)*J20,0)</f>
        <v>0</v>
      </c>
      <c r="L20" s="16">
        <f t="shared" si="0"/>
        <v>40</v>
      </c>
      <c r="M20" s="16">
        <f t="shared" si="1"/>
        <v>4</v>
      </c>
      <c r="N20" s="3">
        <v>0</v>
      </c>
      <c r="Q20" s="16" t="s">
        <v>665</v>
      </c>
      <c r="R20" s="16">
        <v>1</v>
      </c>
      <c r="S20" s="16">
        <f>VLOOKUP(Q20,道具定价!$C:$F,4,0)*R20</f>
        <v>500</v>
      </c>
    </row>
    <row r="21" spans="2:20">
      <c r="B21" s="3">
        <v>5</v>
      </c>
      <c r="C21" s="16" t="s">
        <v>606</v>
      </c>
      <c r="D21" s="16">
        <v>1</v>
      </c>
      <c r="E21" s="16">
        <f>VLOOKUP(C21,道具定价!$C:$F,4,0)*D21</f>
        <v>240</v>
      </c>
      <c r="F21" s="16" t="s">
        <v>606</v>
      </c>
      <c r="G21" s="16">
        <v>2</v>
      </c>
      <c r="H21" s="16">
        <f>VLOOKUP(F21,道具定价!$C:$F,4,0)*G21</f>
        <v>480</v>
      </c>
      <c r="I21" s="16" t="s">
        <v>665</v>
      </c>
      <c r="J21" s="16">
        <v>1</v>
      </c>
      <c r="K21" s="16">
        <f>_xlfn.IFNA(VLOOKUP(I21,道具定价!$C:$F,4,0)*J21,0)</f>
        <v>500</v>
      </c>
      <c r="L21" s="16">
        <f t="shared" si="0"/>
        <v>980</v>
      </c>
      <c r="M21" s="16">
        <f t="shared" si="1"/>
        <v>4.08333333333333</v>
      </c>
      <c r="N21" s="3">
        <v>0</v>
      </c>
      <c r="Q21" s="16" t="s">
        <v>606</v>
      </c>
      <c r="R21" s="16">
        <v>5</v>
      </c>
      <c r="S21" s="16">
        <f>VLOOKUP(Q21,道具定价!$C:$F,4,0)*R21</f>
        <v>1200</v>
      </c>
    </row>
    <row r="22" spans="2:20">
      <c r="B22" s="3">
        <v>6</v>
      </c>
      <c r="C22" s="16" t="s">
        <v>601</v>
      </c>
      <c r="D22" s="16">
        <v>10000</v>
      </c>
      <c r="E22" s="16">
        <f>VLOOKUP(C22,道具定价!$C:$F,4,0)*D22</f>
        <v>10</v>
      </c>
      <c r="F22" s="16" t="s">
        <v>601</v>
      </c>
      <c r="G22" s="16">
        <v>40000</v>
      </c>
      <c r="H22" s="16">
        <f>VLOOKUP(F22,道具定价!$C:$F,4,0)*G22</f>
        <v>40</v>
      </c>
      <c r="I22" s="16"/>
      <c r="J22" s="16"/>
      <c r="K22" s="16">
        <f>_xlfn.IFNA(VLOOKUP(I22,道具定价!$C:$F,4,0)*J22,0)</f>
        <v>0</v>
      </c>
      <c r="L22" s="16">
        <f t="shared" si="0"/>
        <v>40</v>
      </c>
      <c r="M22" s="16">
        <f t="shared" si="1"/>
        <v>4</v>
      </c>
      <c r="N22" s="3">
        <v>0</v>
      </c>
    </row>
    <row r="23" spans="2:20">
      <c r="B23" s="3">
        <v>7</v>
      </c>
      <c r="C23" s="16" t="s">
        <v>613</v>
      </c>
      <c r="D23" s="16">
        <v>5</v>
      </c>
      <c r="E23" s="16">
        <f>VLOOKUP(C23,道具定价!$C:$F,4,0)*D23</f>
        <v>10</v>
      </c>
      <c r="F23" s="16" t="s">
        <v>614</v>
      </c>
      <c r="G23" s="16">
        <v>4</v>
      </c>
      <c r="H23" s="16">
        <f>VLOOKUP(F23,道具定价!$C:$F,4,0)*G23</f>
        <v>40</v>
      </c>
      <c r="I23" s="16"/>
      <c r="J23" s="16"/>
      <c r="K23" s="16">
        <f>_xlfn.IFNA(VLOOKUP(I23,道具定价!$C:$F,4,0)*J23,0)</f>
        <v>0</v>
      </c>
      <c r="L23" s="16">
        <f t="shared" si="0"/>
        <v>40</v>
      </c>
      <c r="M23" s="16">
        <f t="shared" si="1"/>
        <v>4</v>
      </c>
      <c r="N23" s="3">
        <v>0</v>
      </c>
    </row>
    <row r="24" spans="2:20">
      <c r="B24" s="3">
        <v>8</v>
      </c>
      <c r="C24" s="16" t="s">
        <v>669</v>
      </c>
      <c r="D24" s="16">
        <v>5</v>
      </c>
      <c r="E24" s="16">
        <f>VLOOKUP(C24,道具定价!$C:$F,4,0)*D24</f>
        <v>10</v>
      </c>
      <c r="F24" s="16" t="s">
        <v>670</v>
      </c>
      <c r="G24" s="16">
        <v>4</v>
      </c>
      <c r="H24" s="16">
        <f>VLOOKUP(F24,道具定价!$C:$F,4,0)*G24</f>
        <v>40</v>
      </c>
      <c r="I24" s="16"/>
      <c r="J24" s="16"/>
      <c r="K24" s="16">
        <f>_xlfn.IFNA(VLOOKUP(I24,道具定价!$C:$F,4,0)*J24,0)</f>
        <v>0</v>
      </c>
      <c r="L24" s="16">
        <f t="shared" si="0"/>
        <v>40</v>
      </c>
      <c r="M24" s="16">
        <f t="shared" si="1"/>
        <v>4</v>
      </c>
      <c r="N24" s="3">
        <v>0</v>
      </c>
      <c r="S24" s="16">
        <f>SUM(S17:S23)</f>
        <v>2750</v>
      </c>
    </row>
    <row r="25" spans="2:20">
      <c r="B25" s="3">
        <v>9</v>
      </c>
      <c r="C25" s="16" t="s">
        <v>728</v>
      </c>
      <c r="D25" s="16">
        <v>1000</v>
      </c>
      <c r="E25" s="16">
        <f>VLOOKUP(C25,道具定价!$C:$F,4,0)*D25</f>
        <v>10</v>
      </c>
      <c r="F25" s="16" t="s">
        <v>728</v>
      </c>
      <c r="G25" s="16">
        <v>4000</v>
      </c>
      <c r="H25" s="16">
        <f>VLOOKUP(F25,道具定价!$C:$F,4,0)*G25</f>
        <v>40</v>
      </c>
      <c r="I25" s="16"/>
      <c r="J25" s="16"/>
      <c r="K25" s="16">
        <f>_xlfn.IFNA(VLOOKUP(I25,道具定价!$C:$F,4,0)*J25,0)</f>
        <v>0</v>
      </c>
      <c r="L25" s="16">
        <f t="shared" si="0"/>
        <v>40</v>
      </c>
      <c r="M25" s="16">
        <f t="shared" si="1"/>
        <v>4</v>
      </c>
      <c r="N25" s="3">
        <v>0</v>
      </c>
    </row>
    <row r="26" spans="2:20">
      <c r="B26" s="3">
        <v>10</v>
      </c>
      <c r="C26" s="16" t="s">
        <v>5</v>
      </c>
      <c r="D26" s="16">
        <v>50</v>
      </c>
      <c r="E26" s="16">
        <f>VLOOKUP(C26,道具定价!$C:$F,4,0)*D26</f>
        <v>50</v>
      </c>
      <c r="F26" s="16" t="s">
        <v>6</v>
      </c>
      <c r="G26" s="16">
        <v>2</v>
      </c>
      <c r="H26" s="16">
        <f>VLOOKUP(F26,道具定价!$C:$F,4,0)*G26</f>
        <v>300</v>
      </c>
      <c r="I26" s="16" t="s">
        <v>7</v>
      </c>
      <c r="J26" s="16">
        <v>2</v>
      </c>
      <c r="K26" s="16">
        <f>_xlfn.IFNA(VLOOKUP(I26,道具定价!$C:$F,4,0)*J26,0)</f>
        <v>300</v>
      </c>
      <c r="L26" s="16">
        <f t="shared" si="0"/>
        <v>600</v>
      </c>
      <c r="M26" s="16">
        <f t="shared" si="1"/>
        <v>12</v>
      </c>
      <c r="N26" s="3">
        <f>H26</f>
        <v>300</v>
      </c>
      <c r="Q26" s="19" t="s">
        <v>1448</v>
      </c>
      <c r="R26" s="179">
        <v>800</v>
      </c>
    </row>
    <row r="27" spans="2:20">
      <c r="B27" s="3">
        <v>11</v>
      </c>
      <c r="C27" s="16" t="s">
        <v>601</v>
      </c>
      <c r="D27" s="16">
        <v>10000</v>
      </c>
      <c r="E27" s="16">
        <f>VLOOKUP(C27,道具定价!$C:$F,4,0)*D27</f>
        <v>10</v>
      </c>
      <c r="F27" s="16" t="s">
        <v>601</v>
      </c>
      <c r="G27" s="16">
        <v>40000</v>
      </c>
      <c r="H27" s="16">
        <f>VLOOKUP(F27,道具定价!$C:$F,4,0)*G27</f>
        <v>40</v>
      </c>
      <c r="I27" s="16"/>
      <c r="J27" s="16"/>
      <c r="K27" s="16">
        <f>_xlfn.IFNA(VLOOKUP(I27,道具定价!$C:$F,4,0)*J27,0)</f>
        <v>0</v>
      </c>
      <c r="L27" s="16">
        <f t="shared" si="0"/>
        <v>40</v>
      </c>
      <c r="M27" s="16">
        <f t="shared" si="1"/>
        <v>4</v>
      </c>
      <c r="N27" s="3">
        <v>0</v>
      </c>
    </row>
    <row r="28" spans="2:20">
      <c r="B28" s="3">
        <v>12</v>
      </c>
      <c r="C28" s="16" t="s">
        <v>613</v>
      </c>
      <c r="D28" s="16">
        <v>5</v>
      </c>
      <c r="E28" s="16">
        <f>VLOOKUP(C28,道具定价!$C:$F,4,0)*D28</f>
        <v>10</v>
      </c>
      <c r="F28" s="16" t="s">
        <v>614</v>
      </c>
      <c r="G28" s="16">
        <v>4</v>
      </c>
      <c r="H28" s="16">
        <f>VLOOKUP(F28,道具定价!$C:$F,4,0)*G28</f>
        <v>40</v>
      </c>
      <c r="I28" s="16"/>
      <c r="J28" s="16"/>
      <c r="K28" s="16">
        <f>_xlfn.IFNA(VLOOKUP(I28,道具定价!$C:$F,4,0)*J28,0)</f>
        <v>0</v>
      </c>
      <c r="L28" s="16">
        <f t="shared" si="0"/>
        <v>40</v>
      </c>
      <c r="M28" s="16">
        <f t="shared" si="1"/>
        <v>4</v>
      </c>
      <c r="N28" s="3">
        <v>0</v>
      </c>
      <c r="Q28" s="19" t="s">
        <v>1449</v>
      </c>
      <c r="R28" s="19" t="s">
        <v>1450</v>
      </c>
      <c r="S28" s="19" t="s">
        <v>1451</v>
      </c>
      <c r="T28" s="19" t="s">
        <v>1452</v>
      </c>
    </row>
    <row r="29" spans="2:20">
      <c r="B29" s="3">
        <v>13</v>
      </c>
      <c r="C29" s="16" t="s">
        <v>669</v>
      </c>
      <c r="D29" s="16">
        <v>5</v>
      </c>
      <c r="E29" s="16">
        <f>VLOOKUP(C29,道具定价!$C:$F,4,0)*D29</f>
        <v>10</v>
      </c>
      <c r="F29" s="16" t="s">
        <v>670</v>
      </c>
      <c r="G29" s="16">
        <v>4</v>
      </c>
      <c r="H29" s="16">
        <f>VLOOKUP(F29,道具定价!$C:$F,4,0)*G29</f>
        <v>40</v>
      </c>
      <c r="I29" s="16"/>
      <c r="J29" s="16"/>
      <c r="K29" s="16">
        <f>_xlfn.IFNA(VLOOKUP(I29,道具定价!$C:$F,4,0)*J29,0)</f>
        <v>0</v>
      </c>
      <c r="L29" s="16">
        <f t="shared" si="0"/>
        <v>40</v>
      </c>
      <c r="M29" s="16">
        <f t="shared" si="1"/>
        <v>4</v>
      </c>
      <c r="N29" s="3">
        <v>0</v>
      </c>
      <c r="Q29" s="16" t="s">
        <v>1453</v>
      </c>
      <c r="T29" s="16">
        <v>1500</v>
      </c>
    </row>
    <row r="30" spans="2:20">
      <c r="B30" s="3">
        <v>14</v>
      </c>
      <c r="C30" s="16" t="s">
        <v>728</v>
      </c>
      <c r="D30" s="16">
        <v>1000</v>
      </c>
      <c r="E30" s="16">
        <f>VLOOKUP(C30,道具定价!$C:$F,4,0)*D30</f>
        <v>10</v>
      </c>
      <c r="F30" s="16" t="s">
        <v>728</v>
      </c>
      <c r="G30" s="16">
        <v>4000</v>
      </c>
      <c r="H30" s="16">
        <f>VLOOKUP(F30,道具定价!$C:$F,4,0)*G30</f>
        <v>40</v>
      </c>
      <c r="I30" s="16"/>
      <c r="J30" s="16"/>
      <c r="K30" s="16">
        <f>_xlfn.IFNA(VLOOKUP(I30,道具定价!$C:$F,4,0)*J30,0)</f>
        <v>0</v>
      </c>
      <c r="L30" s="16">
        <f t="shared" si="0"/>
        <v>40</v>
      </c>
      <c r="M30" s="16">
        <f t="shared" si="1"/>
        <v>4</v>
      </c>
      <c r="N30" s="3">
        <v>0</v>
      </c>
      <c r="Q30" s="16" t="s">
        <v>1453</v>
      </c>
      <c r="T30" s="16">
        <v>1500</v>
      </c>
    </row>
    <row r="31" spans="2:20">
      <c r="B31" s="3">
        <v>15</v>
      </c>
      <c r="C31" s="16" t="s">
        <v>729</v>
      </c>
      <c r="D31" s="16">
        <v>5</v>
      </c>
      <c r="E31" s="16">
        <f>VLOOKUP(C31,道具定价!$C:$F,4,0)*D31</f>
        <v>10</v>
      </c>
      <c r="F31" s="16" t="s">
        <v>606</v>
      </c>
      <c r="G31" s="16">
        <v>2</v>
      </c>
      <c r="H31" s="16">
        <f>VLOOKUP(F31,道具定价!$C:$F,4,0)*G31</f>
        <v>480</v>
      </c>
      <c r="I31" s="16" t="s">
        <v>729</v>
      </c>
      <c r="J31" s="16">
        <v>30</v>
      </c>
      <c r="K31" s="16">
        <f>_xlfn.IFNA(VLOOKUP(I31,道具定价!$C:$F,4,0)*J31,0)</f>
        <v>60</v>
      </c>
      <c r="L31" s="16">
        <f t="shared" si="0"/>
        <v>540</v>
      </c>
      <c r="M31" s="16">
        <f t="shared" si="1"/>
        <v>54</v>
      </c>
      <c r="N31" s="3">
        <v>0</v>
      </c>
      <c r="Q31" s="16" t="s">
        <v>1453</v>
      </c>
      <c r="T31" s="16">
        <v>1500</v>
      </c>
    </row>
    <row r="32" spans="2:20">
      <c r="B32" s="3">
        <v>16</v>
      </c>
      <c r="C32" s="16" t="s">
        <v>601</v>
      </c>
      <c r="D32" s="16">
        <v>10000</v>
      </c>
      <c r="E32" s="16">
        <f>VLOOKUP(C32,道具定价!$C:$F,4,0)*D32</f>
        <v>10</v>
      </c>
      <c r="F32" s="16" t="s">
        <v>601</v>
      </c>
      <c r="G32" s="16">
        <v>40000</v>
      </c>
      <c r="H32" s="16">
        <f>VLOOKUP(F32,道具定价!$C:$F,4,0)*G32</f>
        <v>40</v>
      </c>
      <c r="I32" s="16"/>
      <c r="J32" s="16"/>
      <c r="K32" s="16">
        <f>_xlfn.IFNA(VLOOKUP(I32,道具定价!$C:$F,4,0)*J32,0)</f>
        <v>0</v>
      </c>
      <c r="L32" s="16">
        <f t="shared" si="0"/>
        <v>40</v>
      </c>
      <c r="M32" s="16">
        <f t="shared" si="1"/>
        <v>4</v>
      </c>
      <c r="N32" s="3">
        <v>0</v>
      </c>
      <c r="Q32" s="16" t="s">
        <v>1453</v>
      </c>
      <c r="T32" s="16">
        <v>1500</v>
      </c>
    </row>
    <row r="33" spans="2:20">
      <c r="B33" s="3">
        <v>17</v>
      </c>
      <c r="C33" s="16" t="s">
        <v>613</v>
      </c>
      <c r="D33" s="16">
        <v>5</v>
      </c>
      <c r="E33" s="16">
        <f>VLOOKUP(C33,道具定价!$C:$F,4,0)*D33</f>
        <v>10</v>
      </c>
      <c r="F33" s="16" t="s">
        <v>614</v>
      </c>
      <c r="G33" s="16">
        <v>4</v>
      </c>
      <c r="H33" s="16">
        <f>VLOOKUP(F33,道具定价!$C:$F,4,0)*G33</f>
        <v>40</v>
      </c>
      <c r="I33" s="16"/>
      <c r="J33" s="16"/>
      <c r="K33" s="16">
        <f>_xlfn.IFNA(VLOOKUP(I33,道具定价!$C:$F,4,0)*J33,0)</f>
        <v>0</v>
      </c>
      <c r="L33" s="16">
        <f t="shared" si="0"/>
        <v>40</v>
      </c>
      <c r="M33" s="16">
        <f t="shared" si="1"/>
        <v>4</v>
      </c>
      <c r="N33" s="3">
        <v>0</v>
      </c>
      <c r="Q33" s="16" t="s">
        <v>1453</v>
      </c>
      <c r="T33" s="16">
        <v>1500</v>
      </c>
    </row>
    <row r="34" spans="2:20">
      <c r="B34" s="3">
        <v>18</v>
      </c>
      <c r="C34" s="16" t="s">
        <v>669</v>
      </c>
      <c r="D34" s="16">
        <v>5</v>
      </c>
      <c r="E34" s="16">
        <f>VLOOKUP(C34,道具定价!$C:$F,4,0)*D34</f>
        <v>10</v>
      </c>
      <c r="F34" s="16" t="s">
        <v>670</v>
      </c>
      <c r="G34" s="16">
        <v>4</v>
      </c>
      <c r="H34" s="16">
        <f>VLOOKUP(F34,道具定价!$C:$F,4,0)*G34</f>
        <v>40</v>
      </c>
      <c r="I34" s="16"/>
      <c r="J34" s="16"/>
      <c r="K34" s="16">
        <f>_xlfn.IFNA(VLOOKUP(I34,道具定价!$C:$F,4,0)*J34,0)</f>
        <v>0</v>
      </c>
      <c r="L34" s="16">
        <f t="shared" si="0"/>
        <v>40</v>
      </c>
      <c r="M34" s="16">
        <f t="shared" si="1"/>
        <v>4</v>
      </c>
      <c r="N34" s="3">
        <v>0</v>
      </c>
      <c r="Q34" s="16" t="s">
        <v>1453</v>
      </c>
      <c r="T34" s="16">
        <v>1500</v>
      </c>
    </row>
    <row r="35" spans="2:20">
      <c r="B35" s="3">
        <v>19</v>
      </c>
      <c r="C35" s="16" t="s">
        <v>728</v>
      </c>
      <c r="D35" s="16">
        <v>1000</v>
      </c>
      <c r="E35" s="16">
        <f>VLOOKUP(C35,道具定价!$C:$F,4,0)*D35</f>
        <v>10</v>
      </c>
      <c r="F35" s="16" t="s">
        <v>728</v>
      </c>
      <c r="G35" s="16">
        <v>4000</v>
      </c>
      <c r="H35" s="16">
        <f>VLOOKUP(F35,道具定价!$C:$F,4,0)*G35</f>
        <v>40</v>
      </c>
      <c r="I35" s="16"/>
      <c r="J35" s="16"/>
      <c r="K35" s="16">
        <f>_xlfn.IFNA(VLOOKUP(I35,道具定价!$C:$F,4,0)*J35,0)</f>
        <v>0</v>
      </c>
      <c r="L35" s="16">
        <f t="shared" si="0"/>
        <v>40</v>
      </c>
      <c r="M35" s="16">
        <f t="shared" si="1"/>
        <v>4</v>
      </c>
      <c r="N35" s="3">
        <v>0</v>
      </c>
      <c r="Q35" s="16" t="s">
        <v>1453</v>
      </c>
      <c r="T35" s="16">
        <v>1500</v>
      </c>
    </row>
    <row r="36" spans="2:20">
      <c r="B36" s="3">
        <v>20</v>
      </c>
      <c r="C36" s="16" t="s">
        <v>5</v>
      </c>
      <c r="D36" s="16">
        <v>50</v>
      </c>
      <c r="E36" s="16">
        <f>VLOOKUP(C36,道具定价!$C:$F,4,0)*D36</f>
        <v>50</v>
      </c>
      <c r="F36" s="16" t="s">
        <v>6</v>
      </c>
      <c r="G36" s="16">
        <v>2</v>
      </c>
      <c r="H36" s="16">
        <f>VLOOKUP(F36,道具定价!$C:$F,4,0)*G36</f>
        <v>300</v>
      </c>
      <c r="I36" s="16" t="s">
        <v>7</v>
      </c>
      <c r="J36" s="16">
        <v>2</v>
      </c>
      <c r="K36" s="16">
        <f>_xlfn.IFNA(VLOOKUP(I36,道具定价!$C:$F,4,0)*J36,0)</f>
        <v>300</v>
      </c>
      <c r="L36" s="16">
        <f t="shared" si="0"/>
        <v>600</v>
      </c>
      <c r="M36" s="16">
        <f t="shared" si="1"/>
        <v>12</v>
      </c>
      <c r="N36" s="3">
        <f>H36</f>
        <v>300</v>
      </c>
      <c r="Q36" s="16" t="s">
        <v>1453</v>
      </c>
      <c r="T36" s="16">
        <v>1500</v>
      </c>
    </row>
    <row r="37" spans="2:20">
      <c r="B37" s="3">
        <v>21</v>
      </c>
      <c r="C37" s="16" t="s">
        <v>601</v>
      </c>
      <c r="D37" s="16">
        <v>20000</v>
      </c>
      <c r="E37" s="16">
        <f>VLOOKUP(C37,道具定价!$C:$F,4,0)*D37</f>
        <v>20</v>
      </c>
      <c r="F37" s="16" t="s">
        <v>601</v>
      </c>
      <c r="G37" s="16">
        <v>80000</v>
      </c>
      <c r="H37" s="16">
        <f>VLOOKUP(F37,道具定价!$C:$F,4,0)*G37</f>
        <v>80</v>
      </c>
      <c r="I37" s="16"/>
      <c r="J37" s="16"/>
      <c r="K37" s="16">
        <f>_xlfn.IFNA(VLOOKUP(I37,道具定价!$C:$F,4,0)*J37,0)</f>
        <v>0</v>
      </c>
      <c r="L37" s="16">
        <f t="shared" si="0"/>
        <v>80</v>
      </c>
      <c r="M37" s="16">
        <f t="shared" si="1"/>
        <v>4</v>
      </c>
      <c r="N37" s="3">
        <v>0</v>
      </c>
      <c r="Q37" s="16" t="s">
        <v>1453</v>
      </c>
      <c r="T37" s="16">
        <v>1500</v>
      </c>
    </row>
    <row r="38" spans="2:20">
      <c r="B38" s="3">
        <v>22</v>
      </c>
      <c r="C38" s="16" t="s">
        <v>613</v>
      </c>
      <c r="D38" s="16">
        <v>10</v>
      </c>
      <c r="E38" s="16">
        <f>VLOOKUP(C38,道具定价!$C:$F,4,0)*D38</f>
        <v>20</v>
      </c>
      <c r="F38" s="16" t="s">
        <v>614</v>
      </c>
      <c r="G38" s="16">
        <v>8</v>
      </c>
      <c r="H38" s="16">
        <f>VLOOKUP(F38,道具定价!$C:$F,4,0)*G38</f>
        <v>80</v>
      </c>
      <c r="I38" s="16"/>
      <c r="J38" s="16"/>
      <c r="K38" s="16">
        <f>_xlfn.IFNA(VLOOKUP(I38,道具定价!$C:$F,4,0)*J38,0)</f>
        <v>0</v>
      </c>
      <c r="L38" s="16">
        <f t="shared" si="0"/>
        <v>80</v>
      </c>
      <c r="M38" s="16">
        <f t="shared" si="1"/>
        <v>4</v>
      </c>
      <c r="N38" s="3">
        <v>0</v>
      </c>
      <c r="Q38" s="16" t="s">
        <v>1453</v>
      </c>
      <c r="T38" s="16">
        <v>1500</v>
      </c>
    </row>
    <row r="39" spans="2:20">
      <c r="B39" s="3">
        <v>23</v>
      </c>
      <c r="C39" s="16" t="s">
        <v>669</v>
      </c>
      <c r="D39" s="16">
        <v>10</v>
      </c>
      <c r="E39" s="16">
        <f>VLOOKUP(C39,道具定价!$C:$F,4,0)*D39</f>
        <v>20</v>
      </c>
      <c r="F39" s="16" t="s">
        <v>670</v>
      </c>
      <c r="G39" s="16">
        <v>8</v>
      </c>
      <c r="H39" s="16">
        <f>VLOOKUP(F39,道具定价!$C:$F,4,0)*G39</f>
        <v>80</v>
      </c>
      <c r="I39" s="16"/>
      <c r="J39" s="16"/>
      <c r="K39" s="16">
        <f>_xlfn.IFNA(VLOOKUP(I39,道具定价!$C:$F,4,0)*J39,0)</f>
        <v>0</v>
      </c>
      <c r="L39" s="16">
        <f t="shared" si="0"/>
        <v>80</v>
      </c>
      <c r="M39" s="16">
        <f t="shared" si="1"/>
        <v>4</v>
      </c>
      <c r="N39" s="3">
        <v>0</v>
      </c>
      <c r="T39" s="16">
        <f>SUM(T29:T38)</f>
        <v>15000</v>
      </c>
    </row>
    <row r="40" spans="2:20">
      <c r="B40" s="3">
        <v>24</v>
      </c>
      <c r="C40" s="16" t="s">
        <v>728</v>
      </c>
      <c r="D40" s="16">
        <v>2000</v>
      </c>
      <c r="E40" s="16">
        <f>VLOOKUP(C40,道具定价!$C:$F,4,0)*D40</f>
        <v>20</v>
      </c>
      <c r="F40" s="16" t="s">
        <v>728</v>
      </c>
      <c r="G40" s="16">
        <v>8000</v>
      </c>
      <c r="H40" s="16">
        <f>VLOOKUP(F40,道具定价!$C:$F,4,0)*G40</f>
        <v>80</v>
      </c>
      <c r="I40" s="16"/>
      <c r="J40" s="16"/>
      <c r="K40" s="16">
        <f>_xlfn.IFNA(VLOOKUP(I40,道具定价!$C:$F,4,0)*J40,0)</f>
        <v>0</v>
      </c>
      <c r="L40" s="16">
        <f t="shared" si="0"/>
        <v>80</v>
      </c>
      <c r="M40" s="16">
        <f t="shared" si="1"/>
        <v>4</v>
      </c>
      <c r="N40" s="3">
        <v>0</v>
      </c>
    </row>
    <row r="41" spans="2:20">
      <c r="B41" s="3">
        <v>25</v>
      </c>
      <c r="C41" s="16" t="s">
        <v>606</v>
      </c>
      <c r="D41" s="16">
        <v>1</v>
      </c>
      <c r="E41" s="16">
        <f>VLOOKUP(C41,道具定价!$C:$F,4,0)*D41</f>
        <v>240</v>
      </c>
      <c r="F41" s="16" t="s">
        <v>606</v>
      </c>
      <c r="G41" s="16">
        <v>3</v>
      </c>
      <c r="H41" s="16">
        <f>VLOOKUP(F41,道具定价!$C:$F,4,0)*G41</f>
        <v>720</v>
      </c>
      <c r="I41" s="16" t="s">
        <v>665</v>
      </c>
      <c r="J41" s="16">
        <v>1</v>
      </c>
      <c r="K41" s="16">
        <f>_xlfn.IFNA(VLOOKUP(I41,道具定价!$C:$F,4,0)*J41,0)</f>
        <v>500</v>
      </c>
      <c r="L41" s="16">
        <f t="shared" si="0"/>
        <v>1220</v>
      </c>
      <c r="M41" s="16">
        <f t="shared" si="1"/>
        <v>5.08333333333333</v>
      </c>
      <c r="N41" s="3">
        <v>0</v>
      </c>
    </row>
    <row r="42" spans="2:20">
      <c r="B42" s="3">
        <v>26</v>
      </c>
      <c r="C42" s="16" t="s">
        <v>601</v>
      </c>
      <c r="D42" s="16">
        <v>20000</v>
      </c>
      <c r="E42" s="16">
        <f>VLOOKUP(C42,道具定价!$C:$F,4,0)*D42</f>
        <v>20</v>
      </c>
      <c r="F42" s="16" t="s">
        <v>601</v>
      </c>
      <c r="G42" s="16">
        <v>80000</v>
      </c>
      <c r="H42" s="16">
        <f>VLOOKUP(F42,道具定价!$C:$F,4,0)*G42</f>
        <v>80</v>
      </c>
      <c r="I42" s="16"/>
      <c r="J42" s="16"/>
      <c r="K42" s="16">
        <f>_xlfn.IFNA(VLOOKUP(I42,道具定价!$C:$F,4,0)*J42,0)</f>
        <v>0</v>
      </c>
      <c r="L42" s="16">
        <f t="shared" si="0"/>
        <v>80</v>
      </c>
      <c r="M42" s="16">
        <f t="shared" si="1"/>
        <v>4</v>
      </c>
      <c r="N42" s="3">
        <v>0</v>
      </c>
    </row>
    <row r="43" spans="2:20">
      <c r="B43" s="3">
        <v>27</v>
      </c>
      <c r="C43" s="16" t="s">
        <v>613</v>
      </c>
      <c r="D43" s="16">
        <v>10</v>
      </c>
      <c r="E43" s="16">
        <f>VLOOKUP(C43,道具定价!$C:$F,4,0)*D43</f>
        <v>20</v>
      </c>
      <c r="F43" s="16" t="s">
        <v>614</v>
      </c>
      <c r="G43" s="16">
        <v>8</v>
      </c>
      <c r="H43" s="16">
        <f>VLOOKUP(F43,道具定价!$C:$F,4,0)*G43</f>
        <v>80</v>
      </c>
      <c r="I43" s="16"/>
      <c r="J43" s="16"/>
      <c r="K43" s="16">
        <f>_xlfn.IFNA(VLOOKUP(I43,道具定价!$C:$F,4,0)*J43,0)</f>
        <v>0</v>
      </c>
      <c r="L43" s="16">
        <f t="shared" si="0"/>
        <v>80</v>
      </c>
      <c r="M43" s="16">
        <f t="shared" si="1"/>
        <v>4</v>
      </c>
      <c r="N43" s="3">
        <v>0</v>
      </c>
    </row>
    <row r="44" spans="2:20">
      <c r="B44" s="3">
        <v>28</v>
      </c>
      <c r="C44" s="16" t="s">
        <v>669</v>
      </c>
      <c r="D44" s="16">
        <v>10</v>
      </c>
      <c r="E44" s="16">
        <f>VLOOKUP(C44,道具定价!$C:$F,4,0)*D44</f>
        <v>20</v>
      </c>
      <c r="F44" s="16" t="s">
        <v>670</v>
      </c>
      <c r="G44" s="16">
        <v>8</v>
      </c>
      <c r="H44" s="16">
        <f>VLOOKUP(F44,道具定价!$C:$F,4,0)*G44</f>
        <v>80</v>
      </c>
      <c r="I44" s="16"/>
      <c r="J44" s="16"/>
      <c r="K44" s="16">
        <f>_xlfn.IFNA(VLOOKUP(I44,道具定价!$C:$F,4,0)*J44,0)</f>
        <v>0</v>
      </c>
      <c r="L44" s="16">
        <f t="shared" si="0"/>
        <v>80</v>
      </c>
      <c r="M44" s="16">
        <f t="shared" si="1"/>
        <v>4</v>
      </c>
      <c r="N44" s="3">
        <v>0</v>
      </c>
    </row>
    <row r="45" spans="2:20">
      <c r="B45" s="3">
        <v>29</v>
      </c>
      <c r="C45" s="16" t="s">
        <v>728</v>
      </c>
      <c r="D45" s="16">
        <v>2000</v>
      </c>
      <c r="E45" s="16">
        <f>VLOOKUP(C45,道具定价!$C:$F,4,0)*D45</f>
        <v>20</v>
      </c>
      <c r="F45" s="16" t="s">
        <v>728</v>
      </c>
      <c r="G45" s="16">
        <v>8000</v>
      </c>
      <c r="H45" s="16">
        <f>VLOOKUP(F45,道具定价!$C:$F,4,0)*G45</f>
        <v>80</v>
      </c>
      <c r="I45" s="16"/>
      <c r="J45" s="16"/>
      <c r="K45" s="16">
        <f>_xlfn.IFNA(VLOOKUP(I45,道具定价!$C:$F,4,0)*J45,0)</f>
        <v>0</v>
      </c>
      <c r="L45" s="16">
        <f t="shared" si="0"/>
        <v>80</v>
      </c>
      <c r="M45" s="16">
        <f t="shared" si="1"/>
        <v>4</v>
      </c>
      <c r="N45" s="3">
        <v>0</v>
      </c>
    </row>
    <row r="46" spans="2:20">
      <c r="B46" s="3">
        <v>30</v>
      </c>
      <c r="C46" s="16" t="s">
        <v>5</v>
      </c>
      <c r="D46" s="16">
        <v>50</v>
      </c>
      <c r="E46" s="16">
        <f>VLOOKUP(C46,道具定价!$C:$F,4,0)*D46</f>
        <v>50</v>
      </c>
      <c r="F46" s="16" t="s">
        <v>6</v>
      </c>
      <c r="G46" s="16">
        <v>2</v>
      </c>
      <c r="H46" s="16">
        <f>VLOOKUP(F46,道具定价!$C:$F,4,0)*G46</f>
        <v>300</v>
      </c>
      <c r="I46" s="16" t="s">
        <v>7</v>
      </c>
      <c r="J46" s="16">
        <v>2</v>
      </c>
      <c r="K46" s="16">
        <f>_xlfn.IFNA(VLOOKUP(I46,道具定价!$C:$F,4,0)*J46,0)</f>
        <v>300</v>
      </c>
      <c r="L46" s="16">
        <f t="shared" si="0"/>
        <v>600</v>
      </c>
      <c r="M46" s="16">
        <f t="shared" si="1"/>
        <v>12</v>
      </c>
      <c r="N46" s="3">
        <f>H46</f>
        <v>300</v>
      </c>
    </row>
    <row r="47" spans="2:20">
      <c r="B47" s="3">
        <v>31</v>
      </c>
      <c r="C47" s="16" t="s">
        <v>601</v>
      </c>
      <c r="D47" s="16">
        <v>20000</v>
      </c>
      <c r="E47" s="16">
        <f>VLOOKUP(C47,道具定价!$C:$F,4,0)*D47</f>
        <v>20</v>
      </c>
      <c r="F47" s="16" t="s">
        <v>601</v>
      </c>
      <c r="G47" s="16">
        <v>80000</v>
      </c>
      <c r="H47" s="16">
        <f>VLOOKUP(F47,道具定价!$C:$F,4,0)*G47</f>
        <v>80</v>
      </c>
      <c r="I47" s="16"/>
      <c r="J47" s="16"/>
      <c r="K47" s="16">
        <f>_xlfn.IFNA(VLOOKUP(I47,道具定价!$C:$F,4,0)*J47,0)</f>
        <v>0</v>
      </c>
      <c r="L47" s="16">
        <f t="shared" si="0"/>
        <v>80</v>
      </c>
      <c r="M47" s="16">
        <f t="shared" si="1"/>
        <v>4</v>
      </c>
      <c r="N47" s="3">
        <v>0</v>
      </c>
    </row>
    <row r="48" spans="2:20">
      <c r="B48" s="3">
        <v>32</v>
      </c>
      <c r="C48" s="16" t="s">
        <v>613</v>
      </c>
      <c r="D48" s="16">
        <v>10</v>
      </c>
      <c r="E48" s="16">
        <f>VLOOKUP(C48,道具定价!$C:$F,4,0)*D48</f>
        <v>20</v>
      </c>
      <c r="F48" s="16" t="s">
        <v>614</v>
      </c>
      <c r="G48" s="16">
        <v>8</v>
      </c>
      <c r="H48" s="16">
        <f>VLOOKUP(F48,道具定价!$C:$F,4,0)*G48</f>
        <v>80</v>
      </c>
      <c r="I48" s="16"/>
      <c r="J48" s="16"/>
      <c r="K48" s="16">
        <f>_xlfn.IFNA(VLOOKUP(I48,道具定价!$C:$F,4,0)*J48,0)</f>
        <v>0</v>
      </c>
      <c r="L48" s="16">
        <f t="shared" si="0"/>
        <v>80</v>
      </c>
      <c r="M48" s="16">
        <f t="shared" si="1"/>
        <v>4</v>
      </c>
      <c r="N48" s="3">
        <v>0</v>
      </c>
      <c r="Q48" s="19" t="s">
        <v>1449</v>
      </c>
      <c r="R48" s="19" t="s">
        <v>1450</v>
      </c>
      <c r="S48" s="19" t="s">
        <v>1451</v>
      </c>
      <c r="T48" s="19" t="s">
        <v>1452</v>
      </c>
    </row>
    <row r="49" spans="2:20">
      <c r="B49" s="3">
        <v>33</v>
      </c>
      <c r="C49" s="16" t="s">
        <v>669</v>
      </c>
      <c r="D49" s="16">
        <v>10</v>
      </c>
      <c r="E49" s="16">
        <f>VLOOKUP(C49,道具定价!$C:$F,4,0)*D49</f>
        <v>20</v>
      </c>
      <c r="F49" s="16" t="s">
        <v>670</v>
      </c>
      <c r="G49" s="16">
        <v>8</v>
      </c>
      <c r="H49" s="16">
        <f>VLOOKUP(F49,道具定价!$C:$F,4,0)*G49</f>
        <v>80</v>
      </c>
      <c r="I49" s="16"/>
      <c r="J49" s="16"/>
      <c r="K49" s="16">
        <f>_xlfn.IFNA(VLOOKUP(I49,道具定价!$C:$F,4,0)*J49,0)</f>
        <v>0</v>
      </c>
      <c r="L49" s="16">
        <f t="shared" si="0"/>
        <v>80</v>
      </c>
      <c r="M49" s="16">
        <f t="shared" si="1"/>
        <v>4</v>
      </c>
      <c r="N49" s="3">
        <v>0</v>
      </c>
      <c r="Q49" s="16" t="s">
        <v>1454</v>
      </c>
      <c r="T49" s="16">
        <v>3000</v>
      </c>
    </row>
    <row r="50" spans="2:20">
      <c r="B50" s="3">
        <v>34</v>
      </c>
      <c r="C50" s="16" t="s">
        <v>728</v>
      </c>
      <c r="D50" s="16">
        <v>2000</v>
      </c>
      <c r="E50" s="16">
        <f>VLOOKUP(C50,道具定价!$C:$F,4,0)*D50</f>
        <v>20</v>
      </c>
      <c r="F50" s="16" t="s">
        <v>728</v>
      </c>
      <c r="G50" s="16">
        <v>8000</v>
      </c>
      <c r="H50" s="16">
        <f>VLOOKUP(F50,道具定价!$C:$F,4,0)*G50</f>
        <v>80</v>
      </c>
      <c r="I50" s="16"/>
      <c r="J50" s="16"/>
      <c r="K50" s="16">
        <f>_xlfn.IFNA(VLOOKUP(I50,道具定价!$C:$F,4,0)*J50,0)</f>
        <v>0</v>
      </c>
      <c r="L50" s="16">
        <f t="shared" si="0"/>
        <v>80</v>
      </c>
      <c r="M50" s="16">
        <f t="shared" si="1"/>
        <v>4</v>
      </c>
      <c r="N50" s="3">
        <v>0</v>
      </c>
      <c r="Q50" s="16" t="s">
        <v>1454</v>
      </c>
      <c r="T50" s="16">
        <v>3000</v>
      </c>
    </row>
    <row r="51" spans="2:20">
      <c r="B51" s="3">
        <v>35</v>
      </c>
      <c r="C51" s="16" t="s">
        <v>729</v>
      </c>
      <c r="D51" s="16">
        <v>10</v>
      </c>
      <c r="E51" s="16">
        <f>VLOOKUP(C51,道具定价!$C:$F,4,0)*D51</f>
        <v>20</v>
      </c>
      <c r="F51" s="16" t="s">
        <v>606</v>
      </c>
      <c r="G51" s="16">
        <v>3</v>
      </c>
      <c r="H51" s="16">
        <f>VLOOKUP(F51,道具定价!$C:$F,4,0)*G51</f>
        <v>720</v>
      </c>
      <c r="I51" s="16" t="s">
        <v>729</v>
      </c>
      <c r="J51" s="16">
        <v>50</v>
      </c>
      <c r="K51" s="16">
        <f>_xlfn.IFNA(VLOOKUP(I51,道具定价!$C:$F,4,0)*J51,0)</f>
        <v>100</v>
      </c>
      <c r="L51" s="16">
        <f t="shared" si="0"/>
        <v>820</v>
      </c>
      <c r="M51" s="16">
        <f t="shared" si="1"/>
        <v>41</v>
      </c>
      <c r="N51" s="3">
        <v>0</v>
      </c>
      <c r="Q51" s="16" t="s">
        <v>1454</v>
      </c>
      <c r="T51" s="16">
        <v>3000</v>
      </c>
    </row>
    <row r="52" spans="2:20">
      <c r="B52" s="3">
        <v>36</v>
      </c>
      <c r="C52" s="16" t="s">
        <v>601</v>
      </c>
      <c r="D52" s="16">
        <v>20000</v>
      </c>
      <c r="E52" s="16">
        <f>VLOOKUP(C52,道具定价!$C:$F,4,0)*D52</f>
        <v>20</v>
      </c>
      <c r="F52" s="16" t="s">
        <v>601</v>
      </c>
      <c r="G52" s="16">
        <v>80000</v>
      </c>
      <c r="H52" s="16">
        <f>VLOOKUP(F52,道具定价!$C:$F,4,0)*G52</f>
        <v>80</v>
      </c>
      <c r="I52" s="16"/>
      <c r="J52" s="16"/>
      <c r="K52" s="16">
        <f>_xlfn.IFNA(VLOOKUP(I52,道具定价!$C:$F,4,0)*J52,0)</f>
        <v>0</v>
      </c>
      <c r="L52" s="16">
        <f t="shared" si="0"/>
        <v>80</v>
      </c>
      <c r="M52" s="16">
        <f t="shared" si="1"/>
        <v>4</v>
      </c>
      <c r="N52" s="3">
        <v>0</v>
      </c>
      <c r="Q52" s="16" t="s">
        <v>1454</v>
      </c>
      <c r="T52" s="16">
        <v>3000</v>
      </c>
    </row>
    <row r="53" spans="2:20">
      <c r="B53" s="3">
        <v>37</v>
      </c>
      <c r="C53" s="16" t="s">
        <v>613</v>
      </c>
      <c r="D53" s="16">
        <v>10</v>
      </c>
      <c r="E53" s="16">
        <f>VLOOKUP(C53,道具定价!$C:$F,4,0)*D53</f>
        <v>20</v>
      </c>
      <c r="F53" s="16" t="s">
        <v>614</v>
      </c>
      <c r="G53" s="16">
        <v>8</v>
      </c>
      <c r="H53" s="16">
        <f>VLOOKUP(F53,道具定价!$C:$F,4,0)*G53</f>
        <v>80</v>
      </c>
      <c r="I53" s="16"/>
      <c r="J53" s="16"/>
      <c r="K53" s="16">
        <f>_xlfn.IFNA(VLOOKUP(I53,道具定价!$C:$F,4,0)*J53,0)</f>
        <v>0</v>
      </c>
      <c r="L53" s="16">
        <f t="shared" si="0"/>
        <v>80</v>
      </c>
      <c r="M53" s="16">
        <f t="shared" si="1"/>
        <v>4</v>
      </c>
      <c r="N53" s="3">
        <v>0</v>
      </c>
      <c r="Q53" s="16" t="s">
        <v>1454</v>
      </c>
      <c r="T53" s="16">
        <v>3000</v>
      </c>
    </row>
    <row r="54" spans="2:20">
      <c r="B54" s="3">
        <v>38</v>
      </c>
      <c r="C54" s="16" t="s">
        <v>669</v>
      </c>
      <c r="D54" s="16">
        <v>10</v>
      </c>
      <c r="E54" s="16">
        <f>VLOOKUP(C54,道具定价!$C:$F,4,0)*D54</f>
        <v>20</v>
      </c>
      <c r="F54" s="16" t="s">
        <v>670</v>
      </c>
      <c r="G54" s="16">
        <v>8</v>
      </c>
      <c r="H54" s="16">
        <f>VLOOKUP(F54,道具定价!$C:$F,4,0)*G54</f>
        <v>80</v>
      </c>
      <c r="I54" s="16"/>
      <c r="J54" s="16"/>
      <c r="K54" s="16">
        <f>_xlfn.IFNA(VLOOKUP(I54,道具定价!$C:$F,4,0)*J54,0)</f>
        <v>0</v>
      </c>
      <c r="L54" s="16">
        <f t="shared" si="0"/>
        <v>80</v>
      </c>
      <c r="M54" s="16">
        <f t="shared" si="1"/>
        <v>4</v>
      </c>
      <c r="N54" s="3">
        <v>0</v>
      </c>
      <c r="Q54" s="16" t="s">
        <v>1454</v>
      </c>
      <c r="T54" s="16">
        <v>3000</v>
      </c>
    </row>
    <row r="55" spans="2:20">
      <c r="B55" s="3">
        <v>39</v>
      </c>
      <c r="C55" s="16" t="s">
        <v>728</v>
      </c>
      <c r="D55" s="16">
        <v>2000</v>
      </c>
      <c r="E55" s="16">
        <f>VLOOKUP(C55,道具定价!$C:$F,4,0)*D55</f>
        <v>20</v>
      </c>
      <c r="F55" s="16" t="s">
        <v>728</v>
      </c>
      <c r="G55" s="16">
        <v>8000</v>
      </c>
      <c r="H55" s="16">
        <f>VLOOKUP(F55,道具定价!$C:$F,4,0)*G55</f>
        <v>80</v>
      </c>
      <c r="I55" s="16"/>
      <c r="J55" s="16"/>
      <c r="K55" s="16">
        <f>_xlfn.IFNA(VLOOKUP(I55,道具定价!$C:$F,4,0)*J55,0)</f>
        <v>0</v>
      </c>
      <c r="L55" s="16">
        <f t="shared" si="0"/>
        <v>80</v>
      </c>
      <c r="M55" s="16">
        <f t="shared" si="1"/>
        <v>4</v>
      </c>
      <c r="N55" s="3">
        <v>0</v>
      </c>
      <c r="Q55" s="16" t="s">
        <v>1454</v>
      </c>
      <c r="T55" s="16">
        <v>3000</v>
      </c>
    </row>
    <row r="56" spans="2:20">
      <c r="B56" s="3">
        <v>40</v>
      </c>
      <c r="C56" s="16" t="s">
        <v>5</v>
      </c>
      <c r="D56" s="16">
        <v>100</v>
      </c>
      <c r="E56" s="16">
        <f>VLOOKUP(C56,道具定价!$C:$F,4,0)*D56</f>
        <v>100</v>
      </c>
      <c r="F56" s="16" t="s">
        <v>6</v>
      </c>
      <c r="G56" s="16">
        <v>2</v>
      </c>
      <c r="H56" s="16">
        <f>VLOOKUP(F56,道具定价!$C:$F,4,0)*G56</f>
        <v>300</v>
      </c>
      <c r="I56" s="16" t="s">
        <v>7</v>
      </c>
      <c r="J56" s="16">
        <v>2</v>
      </c>
      <c r="K56" s="16">
        <f>_xlfn.IFNA(VLOOKUP(I56,道具定价!$C:$F,4,0)*J56,0)</f>
        <v>300</v>
      </c>
      <c r="L56" s="16">
        <f t="shared" si="0"/>
        <v>600</v>
      </c>
      <c r="M56" s="16">
        <f t="shared" si="1"/>
        <v>6</v>
      </c>
      <c r="N56" s="3">
        <f>H56</f>
        <v>300</v>
      </c>
      <c r="T56" s="16">
        <f>SUM(T49:T55)</f>
        <v>21000</v>
      </c>
    </row>
    <row r="57" spans="2:20">
      <c r="B57" s="3">
        <v>41</v>
      </c>
      <c r="C57" s="16" t="s">
        <v>601</v>
      </c>
      <c r="D57" s="16">
        <v>30000</v>
      </c>
      <c r="E57" s="16">
        <f>VLOOKUP(C57,道具定价!$C:$F,4,0)*D57</f>
        <v>30</v>
      </c>
      <c r="F57" s="16" t="s">
        <v>601</v>
      </c>
      <c r="G57" s="16">
        <v>120000</v>
      </c>
      <c r="H57" s="16">
        <f>VLOOKUP(F57,道具定价!$C:$F,4,0)*G57</f>
        <v>120</v>
      </c>
      <c r="I57" s="16"/>
      <c r="J57" s="16"/>
      <c r="K57" s="16">
        <f>_xlfn.IFNA(VLOOKUP(I57,道具定价!$C:$F,4,0)*J57,0)</f>
        <v>0</v>
      </c>
      <c r="L57" s="16">
        <f t="shared" si="0"/>
        <v>120</v>
      </c>
      <c r="M57" s="16">
        <f t="shared" si="1"/>
        <v>4</v>
      </c>
      <c r="N57" s="3">
        <v>0</v>
      </c>
    </row>
    <row r="58" spans="2:20">
      <c r="B58" s="3">
        <v>42</v>
      </c>
      <c r="C58" s="16" t="s">
        <v>614</v>
      </c>
      <c r="D58" s="16">
        <v>3</v>
      </c>
      <c r="E58" s="16">
        <f>VLOOKUP(C58,道具定价!$C:$F,4,0)*D58</f>
        <v>30</v>
      </c>
      <c r="F58" s="16" t="s">
        <v>614</v>
      </c>
      <c r="G58" s="16">
        <v>12</v>
      </c>
      <c r="H58" s="16">
        <f>VLOOKUP(F58,道具定价!$C:$F,4,0)*G58</f>
        <v>120</v>
      </c>
      <c r="I58" s="16"/>
      <c r="J58" s="16"/>
      <c r="K58" s="16">
        <f>_xlfn.IFNA(VLOOKUP(I58,道具定价!$C:$F,4,0)*J58,0)</f>
        <v>0</v>
      </c>
      <c r="L58" s="16">
        <f t="shared" si="0"/>
        <v>120</v>
      </c>
      <c r="M58" s="16">
        <f t="shared" si="1"/>
        <v>4</v>
      </c>
      <c r="N58" s="3">
        <v>0</v>
      </c>
    </row>
    <row r="59" spans="2:20">
      <c r="B59" s="3">
        <v>43</v>
      </c>
      <c r="C59" s="16" t="s">
        <v>670</v>
      </c>
      <c r="D59" s="16">
        <v>3</v>
      </c>
      <c r="E59" s="16">
        <f>VLOOKUP(C59,道具定价!$C:$F,4,0)*D59</f>
        <v>30</v>
      </c>
      <c r="F59" s="16" t="s">
        <v>670</v>
      </c>
      <c r="G59" s="16">
        <v>12</v>
      </c>
      <c r="H59" s="16">
        <f>VLOOKUP(F59,道具定价!$C:$F,4,0)*G59</f>
        <v>120</v>
      </c>
      <c r="I59" s="16"/>
      <c r="J59" s="16"/>
      <c r="K59" s="16">
        <f>_xlfn.IFNA(VLOOKUP(I59,道具定价!$C:$F,4,0)*J59,0)</f>
        <v>0</v>
      </c>
      <c r="L59" s="16">
        <f t="shared" si="0"/>
        <v>120</v>
      </c>
      <c r="M59" s="16">
        <f t="shared" si="1"/>
        <v>4</v>
      </c>
      <c r="N59" s="3">
        <v>0</v>
      </c>
    </row>
    <row r="60" spans="2:20">
      <c r="B60" s="3">
        <v>44</v>
      </c>
      <c r="C60" s="16" t="s">
        <v>728</v>
      </c>
      <c r="D60" s="16">
        <v>3000</v>
      </c>
      <c r="E60" s="16">
        <f>VLOOKUP(C60,道具定价!$C:$F,4,0)*D60</f>
        <v>30</v>
      </c>
      <c r="F60" s="16" t="s">
        <v>728</v>
      </c>
      <c r="G60" s="16">
        <v>12000</v>
      </c>
      <c r="H60" s="16">
        <f>VLOOKUP(F60,道具定价!$C:$F,4,0)*G60</f>
        <v>120</v>
      </c>
      <c r="I60" s="16"/>
      <c r="J60" s="16"/>
      <c r="K60" s="16">
        <f>_xlfn.IFNA(VLOOKUP(I60,道具定价!$C:$F,4,0)*J60,0)</f>
        <v>0</v>
      </c>
      <c r="L60" s="16">
        <f t="shared" si="0"/>
        <v>120</v>
      </c>
      <c r="M60" s="16">
        <f t="shared" si="1"/>
        <v>4</v>
      </c>
      <c r="N60" s="3">
        <v>0</v>
      </c>
    </row>
    <row r="61" spans="2:20">
      <c r="B61" s="3">
        <v>45</v>
      </c>
      <c r="C61" s="16" t="s">
        <v>606</v>
      </c>
      <c r="D61" s="16">
        <v>1</v>
      </c>
      <c r="E61" s="16">
        <f>VLOOKUP(C61,道具定价!$C:$F,4,0)*D61</f>
        <v>240</v>
      </c>
      <c r="F61" s="16" t="s">
        <v>606</v>
      </c>
      <c r="G61" s="16">
        <v>4</v>
      </c>
      <c r="H61" s="16">
        <f>VLOOKUP(F61,道具定价!$C:$F,4,0)*G61</f>
        <v>960</v>
      </c>
      <c r="I61" s="16" t="s">
        <v>730</v>
      </c>
      <c r="J61" s="16">
        <v>100</v>
      </c>
      <c r="K61" s="16">
        <f>_xlfn.IFNA(VLOOKUP(I61,道具定价!$C:$F,4,0)*J61,0)</f>
        <v>1000</v>
      </c>
      <c r="L61" s="16">
        <f t="shared" si="0"/>
        <v>1960</v>
      </c>
      <c r="M61" s="16">
        <f t="shared" si="1"/>
        <v>8.16666666666667</v>
      </c>
      <c r="N61" s="3">
        <v>0</v>
      </c>
    </row>
    <row r="62" spans="2:20">
      <c r="B62" s="3">
        <v>46</v>
      </c>
      <c r="C62" s="16" t="s">
        <v>601</v>
      </c>
      <c r="D62" s="16">
        <v>30000</v>
      </c>
      <c r="E62" s="16">
        <f>VLOOKUP(C62,道具定价!$C:$F,4,0)*D62</f>
        <v>30</v>
      </c>
      <c r="F62" s="16" t="s">
        <v>601</v>
      </c>
      <c r="G62" s="16">
        <v>120000</v>
      </c>
      <c r="H62" s="16">
        <f>VLOOKUP(F62,道具定价!$C:$F,4,0)*G62</f>
        <v>120</v>
      </c>
      <c r="I62" s="16"/>
      <c r="J62" s="16"/>
      <c r="K62" s="16">
        <f>_xlfn.IFNA(VLOOKUP(I62,道具定价!$C:$F,4,0)*J62,0)</f>
        <v>0</v>
      </c>
      <c r="L62" s="16">
        <f t="shared" si="0"/>
        <v>120</v>
      </c>
      <c r="M62" s="16">
        <f t="shared" si="1"/>
        <v>4</v>
      </c>
      <c r="N62" s="3">
        <v>0</v>
      </c>
    </row>
    <row r="63" spans="2:20">
      <c r="B63" s="3">
        <v>47</v>
      </c>
      <c r="C63" s="16" t="s">
        <v>614</v>
      </c>
      <c r="D63" s="16">
        <v>3</v>
      </c>
      <c r="E63" s="16">
        <f>VLOOKUP(C63,道具定价!$C:$F,4,0)*D63</f>
        <v>30</v>
      </c>
      <c r="F63" s="16" t="s">
        <v>614</v>
      </c>
      <c r="G63" s="16">
        <v>12</v>
      </c>
      <c r="H63" s="16">
        <f>VLOOKUP(F63,道具定价!$C:$F,4,0)*G63</f>
        <v>120</v>
      </c>
      <c r="I63" s="16"/>
      <c r="J63" s="16"/>
      <c r="K63" s="16">
        <f>_xlfn.IFNA(VLOOKUP(I63,道具定价!$C:$F,4,0)*J63,0)</f>
        <v>0</v>
      </c>
      <c r="L63" s="16">
        <f t="shared" si="0"/>
        <v>120</v>
      </c>
      <c r="M63" s="16">
        <f t="shared" si="1"/>
        <v>4</v>
      </c>
      <c r="N63" s="3">
        <v>0</v>
      </c>
    </row>
    <row r="64" spans="2:20">
      <c r="B64" s="3">
        <v>48</v>
      </c>
      <c r="C64" s="16" t="s">
        <v>670</v>
      </c>
      <c r="D64" s="16">
        <v>3</v>
      </c>
      <c r="E64" s="16">
        <f>VLOOKUP(C64,道具定价!$C:$F,4,0)*D64</f>
        <v>30</v>
      </c>
      <c r="F64" s="16" t="s">
        <v>670</v>
      </c>
      <c r="G64" s="16">
        <v>12</v>
      </c>
      <c r="H64" s="16">
        <f>VLOOKUP(F64,道具定价!$C:$F,4,0)*G64</f>
        <v>120</v>
      </c>
      <c r="I64" s="16"/>
      <c r="J64" s="16"/>
      <c r="K64" s="16">
        <f>_xlfn.IFNA(VLOOKUP(I64,道具定价!$C:$F,4,0)*J64,0)</f>
        <v>0</v>
      </c>
      <c r="L64" s="16">
        <f t="shared" si="0"/>
        <v>120</v>
      </c>
      <c r="M64" s="16">
        <f t="shared" si="1"/>
        <v>4</v>
      </c>
      <c r="N64" s="3">
        <v>0</v>
      </c>
    </row>
    <row r="65" spans="2:14">
      <c r="B65" s="3">
        <v>49</v>
      </c>
      <c r="C65" s="16" t="s">
        <v>728</v>
      </c>
      <c r="D65" s="16">
        <v>3000</v>
      </c>
      <c r="E65" s="16">
        <f>VLOOKUP(C65,道具定价!$C:$F,4,0)*D65</f>
        <v>30</v>
      </c>
      <c r="F65" s="16" t="s">
        <v>728</v>
      </c>
      <c r="G65" s="16">
        <v>12000</v>
      </c>
      <c r="H65" s="16">
        <f>VLOOKUP(F65,道具定价!$C:$F,4,0)*G65</f>
        <v>120</v>
      </c>
      <c r="I65" s="16"/>
      <c r="J65" s="16"/>
      <c r="K65" s="16">
        <f>_xlfn.IFNA(VLOOKUP(I65,道具定价!$C:$F,4,0)*J65,0)</f>
        <v>0</v>
      </c>
      <c r="L65" s="16">
        <f t="shared" si="0"/>
        <v>120</v>
      </c>
      <c r="M65" s="16">
        <f t="shared" si="1"/>
        <v>4</v>
      </c>
      <c r="N65" s="3">
        <v>0</v>
      </c>
    </row>
    <row r="66" spans="2:14">
      <c r="B66" s="3">
        <v>50</v>
      </c>
      <c r="C66" s="16" t="s">
        <v>5</v>
      </c>
      <c r="D66" s="16">
        <v>100</v>
      </c>
      <c r="E66" s="16">
        <f>VLOOKUP(C66,道具定价!$C:$F,4,0)*D66</f>
        <v>100</v>
      </c>
      <c r="F66" s="16" t="s">
        <v>6</v>
      </c>
      <c r="G66" s="16">
        <v>2</v>
      </c>
      <c r="H66" s="16">
        <f>VLOOKUP(F66,道具定价!$C:$F,4,0)*G66</f>
        <v>300</v>
      </c>
      <c r="I66" s="16" t="s">
        <v>7</v>
      </c>
      <c r="J66" s="16">
        <v>2</v>
      </c>
      <c r="K66" s="16">
        <f>_xlfn.IFNA(VLOOKUP(I66,道具定价!$C:$F,4,0)*J66,0)</f>
        <v>300</v>
      </c>
      <c r="L66" s="16">
        <f t="shared" si="0"/>
        <v>600</v>
      </c>
      <c r="M66" s="16">
        <f t="shared" si="1"/>
        <v>6</v>
      </c>
      <c r="N66" s="3">
        <f>L66</f>
        <v>600</v>
      </c>
    </row>
    <row r="67" spans="2:14">
      <c r="B67" s="3">
        <v>51</v>
      </c>
      <c r="C67" s="16" t="s">
        <v>601</v>
      </c>
      <c r="D67" s="16">
        <v>30000</v>
      </c>
      <c r="E67" s="16">
        <f>VLOOKUP(C67,道具定价!$C:$F,4,0)*D67</f>
        <v>30</v>
      </c>
      <c r="F67" s="16" t="s">
        <v>601</v>
      </c>
      <c r="G67" s="16">
        <v>120000</v>
      </c>
      <c r="H67" s="16">
        <f>VLOOKUP(F67,道具定价!$C:$F,4,0)*G67</f>
        <v>120</v>
      </c>
      <c r="I67" s="16"/>
      <c r="J67" s="16"/>
      <c r="K67" s="16">
        <f>_xlfn.IFNA(VLOOKUP(I67,道具定价!$C:$F,4,0)*J67,0)</f>
        <v>0</v>
      </c>
      <c r="L67" s="16">
        <f t="shared" si="0"/>
        <v>120</v>
      </c>
      <c r="M67" s="16">
        <f t="shared" si="1"/>
        <v>4</v>
      </c>
      <c r="N67" s="3">
        <v>0</v>
      </c>
    </row>
    <row r="68" spans="2:14">
      <c r="B68" s="3">
        <v>52</v>
      </c>
      <c r="C68" s="16" t="s">
        <v>614</v>
      </c>
      <c r="D68" s="16">
        <v>3</v>
      </c>
      <c r="E68" s="16">
        <f>VLOOKUP(C68,道具定价!$C:$F,4,0)*D68</f>
        <v>30</v>
      </c>
      <c r="F68" s="16" t="s">
        <v>614</v>
      </c>
      <c r="G68" s="16">
        <v>12</v>
      </c>
      <c r="H68" s="16">
        <f>VLOOKUP(F68,道具定价!$C:$F,4,0)*G68</f>
        <v>120</v>
      </c>
      <c r="I68" s="16"/>
      <c r="J68" s="16"/>
      <c r="K68" s="16">
        <f>_xlfn.IFNA(VLOOKUP(I68,道具定价!$C:$F,4,0)*J68,0)</f>
        <v>0</v>
      </c>
      <c r="L68" s="16">
        <f t="shared" si="0"/>
        <v>120</v>
      </c>
      <c r="M68" s="16">
        <f t="shared" si="1"/>
        <v>4</v>
      </c>
      <c r="N68" s="3">
        <v>0</v>
      </c>
    </row>
    <row r="69" spans="2:14">
      <c r="B69" s="3">
        <v>53</v>
      </c>
      <c r="C69" s="16" t="s">
        <v>670</v>
      </c>
      <c r="D69" s="16">
        <v>3</v>
      </c>
      <c r="E69" s="16">
        <f>VLOOKUP(C69,道具定价!$C:$F,4,0)*D69</f>
        <v>30</v>
      </c>
      <c r="F69" s="16" t="s">
        <v>670</v>
      </c>
      <c r="G69" s="16">
        <v>12</v>
      </c>
      <c r="H69" s="16">
        <f>VLOOKUP(F69,道具定价!$C:$F,4,0)*G69</f>
        <v>120</v>
      </c>
      <c r="I69" s="16"/>
      <c r="J69" s="16"/>
      <c r="K69" s="16">
        <f>_xlfn.IFNA(VLOOKUP(I69,道具定价!$C:$F,4,0)*J69,0)</f>
        <v>0</v>
      </c>
      <c r="L69" s="16">
        <f t="shared" si="0"/>
        <v>120</v>
      </c>
      <c r="M69" s="16">
        <f t="shared" si="1"/>
        <v>4</v>
      </c>
      <c r="N69" s="3">
        <v>0</v>
      </c>
    </row>
    <row r="70" spans="2:14">
      <c r="B70" s="3">
        <v>54</v>
      </c>
      <c r="C70" s="16" t="s">
        <v>728</v>
      </c>
      <c r="D70" s="16">
        <v>3000</v>
      </c>
      <c r="E70" s="16">
        <f>VLOOKUP(C70,道具定价!$C:$F,4,0)*D70</f>
        <v>30</v>
      </c>
      <c r="F70" s="16" t="s">
        <v>728</v>
      </c>
      <c r="G70" s="16">
        <v>12000</v>
      </c>
      <c r="H70" s="16">
        <f>VLOOKUP(F70,道具定价!$C:$F,4,0)*G70</f>
        <v>120</v>
      </c>
      <c r="I70" s="16"/>
      <c r="J70" s="16"/>
      <c r="K70" s="16">
        <f>_xlfn.IFNA(VLOOKUP(I70,道具定价!$C:$F,4,0)*J70,0)</f>
        <v>0</v>
      </c>
      <c r="L70" s="16">
        <f t="shared" si="0"/>
        <v>120</v>
      </c>
      <c r="M70" s="16">
        <f t="shared" si="1"/>
        <v>4</v>
      </c>
      <c r="N70" s="3">
        <v>0</v>
      </c>
    </row>
    <row r="71" spans="2:14">
      <c r="B71" s="3">
        <v>55</v>
      </c>
      <c r="C71" s="16" t="s">
        <v>729</v>
      </c>
      <c r="D71" s="16">
        <v>15</v>
      </c>
      <c r="E71" s="16">
        <f>VLOOKUP(C71,道具定价!$C:$F,4,0)*D71</f>
        <v>30</v>
      </c>
      <c r="F71" s="16" t="s">
        <v>606</v>
      </c>
      <c r="G71" s="16">
        <v>4</v>
      </c>
      <c r="H71" s="16">
        <f>VLOOKUP(F71,道具定价!$C:$F,4,0)*G71</f>
        <v>960</v>
      </c>
      <c r="I71" s="16" t="s">
        <v>730</v>
      </c>
      <c r="J71" s="16">
        <v>100</v>
      </c>
      <c r="K71" s="16">
        <f>_xlfn.IFNA(VLOOKUP(I71,道具定价!$C:$F,4,0)*J71,0)</f>
        <v>1000</v>
      </c>
      <c r="L71" s="16">
        <f t="shared" si="0"/>
        <v>1960</v>
      </c>
      <c r="M71" s="16">
        <f t="shared" si="1"/>
        <v>65.3333333333333</v>
      </c>
      <c r="N71" s="3">
        <v>0</v>
      </c>
    </row>
    <row r="72" spans="2:14">
      <c r="B72" s="3">
        <v>56</v>
      </c>
      <c r="C72" s="16" t="s">
        <v>601</v>
      </c>
      <c r="D72" s="16">
        <v>30000</v>
      </c>
      <c r="E72" s="16">
        <f>VLOOKUP(C72,道具定价!$C:$F,4,0)*D72</f>
        <v>30</v>
      </c>
      <c r="F72" s="16" t="s">
        <v>601</v>
      </c>
      <c r="G72" s="16">
        <v>120000</v>
      </c>
      <c r="H72" s="16">
        <f>VLOOKUP(F72,道具定价!$C:$F,4,0)*G72</f>
        <v>120</v>
      </c>
      <c r="I72" s="16"/>
      <c r="J72" s="16"/>
      <c r="K72" s="16">
        <f>_xlfn.IFNA(VLOOKUP(I72,道具定价!$C:$F,4,0)*J72,0)</f>
        <v>0</v>
      </c>
      <c r="L72" s="16">
        <f t="shared" si="0"/>
        <v>120</v>
      </c>
      <c r="M72" s="16">
        <f t="shared" si="1"/>
        <v>4</v>
      </c>
      <c r="N72" s="3">
        <v>0</v>
      </c>
    </row>
    <row r="73" spans="2:14">
      <c r="B73" s="3">
        <v>57</v>
      </c>
      <c r="C73" s="16" t="s">
        <v>614</v>
      </c>
      <c r="D73" s="16">
        <v>3</v>
      </c>
      <c r="E73" s="16">
        <f>VLOOKUP(C73,道具定价!$C:$F,4,0)*D73</f>
        <v>30</v>
      </c>
      <c r="F73" s="16" t="s">
        <v>614</v>
      </c>
      <c r="G73" s="16">
        <v>12</v>
      </c>
      <c r="H73" s="16">
        <f>VLOOKUP(F73,道具定价!$C:$F,4,0)*G73</f>
        <v>120</v>
      </c>
      <c r="I73" s="16"/>
      <c r="J73" s="16"/>
      <c r="K73" s="16">
        <f>_xlfn.IFNA(VLOOKUP(I73,道具定价!$C:$F,4,0)*J73,0)</f>
        <v>0</v>
      </c>
      <c r="L73" s="16">
        <f t="shared" si="0"/>
        <v>120</v>
      </c>
      <c r="M73" s="16">
        <f t="shared" si="1"/>
        <v>4</v>
      </c>
      <c r="N73" s="3">
        <v>0</v>
      </c>
    </row>
    <row r="74" spans="2:14">
      <c r="B74" s="3">
        <v>58</v>
      </c>
      <c r="C74" s="16" t="s">
        <v>670</v>
      </c>
      <c r="D74" s="16">
        <v>3</v>
      </c>
      <c r="E74" s="16">
        <f>VLOOKUP(C74,道具定价!$C:$F,4,0)*D74</f>
        <v>30</v>
      </c>
      <c r="F74" s="16" t="s">
        <v>670</v>
      </c>
      <c r="G74" s="16">
        <v>12</v>
      </c>
      <c r="H74" s="16">
        <f>VLOOKUP(F74,道具定价!$C:$F,4,0)*G74</f>
        <v>120</v>
      </c>
      <c r="I74" s="16"/>
      <c r="J74" s="16"/>
      <c r="K74" s="16">
        <f>_xlfn.IFNA(VLOOKUP(I74,道具定价!$C:$F,4,0)*J74,0)</f>
        <v>0</v>
      </c>
      <c r="L74" s="16">
        <f t="shared" si="0"/>
        <v>120</v>
      </c>
      <c r="M74" s="16">
        <f t="shared" si="1"/>
        <v>4</v>
      </c>
      <c r="N74" s="3">
        <v>0</v>
      </c>
    </row>
    <row r="75" spans="2:14">
      <c r="B75" s="3">
        <v>59</v>
      </c>
      <c r="C75" s="16" t="s">
        <v>728</v>
      </c>
      <c r="D75" s="16">
        <v>3000</v>
      </c>
      <c r="E75" s="16">
        <f>VLOOKUP(C75,道具定价!$C:$F,4,0)*D75</f>
        <v>30</v>
      </c>
      <c r="F75" s="16" t="s">
        <v>728</v>
      </c>
      <c r="G75" s="16">
        <v>12000</v>
      </c>
      <c r="H75" s="16">
        <f>VLOOKUP(F75,道具定价!$C:$F,4,0)*G75</f>
        <v>120</v>
      </c>
      <c r="I75" s="16"/>
      <c r="J75" s="16"/>
      <c r="K75" s="16">
        <f>_xlfn.IFNA(VLOOKUP(I75,道具定价!$C:$F,4,0)*J75,0)</f>
        <v>0</v>
      </c>
      <c r="L75" s="16">
        <f t="shared" si="0"/>
        <v>120</v>
      </c>
      <c r="M75" s="16">
        <f t="shared" si="1"/>
        <v>4</v>
      </c>
      <c r="N75" s="3">
        <v>0</v>
      </c>
    </row>
    <row r="76" spans="2:14">
      <c r="B76" s="3">
        <v>60</v>
      </c>
      <c r="C76" s="16" t="s">
        <v>5</v>
      </c>
      <c r="D76" s="16">
        <v>100</v>
      </c>
      <c r="E76" s="16">
        <f>VLOOKUP(C76,道具定价!$C:$F,4,0)*D76</f>
        <v>100</v>
      </c>
      <c r="F76" s="16" t="s">
        <v>5</v>
      </c>
      <c r="G76" s="16">
        <v>1000</v>
      </c>
      <c r="H76" s="16">
        <f>VLOOKUP(F76,道具定价!$C:$F,4,0)*G76</f>
        <v>1000</v>
      </c>
      <c r="I76" s="16" t="s">
        <v>730</v>
      </c>
      <c r="J76" s="16">
        <v>200</v>
      </c>
      <c r="K76" s="16">
        <f>_xlfn.IFNA(VLOOKUP(I76,道具定价!$C:$F,4,0)*J76,0)</f>
        <v>2000</v>
      </c>
      <c r="L76" s="16">
        <f t="shared" si="0"/>
        <v>3000</v>
      </c>
      <c r="M76" s="16">
        <f t="shared" si="1"/>
        <v>30</v>
      </c>
      <c r="N76" s="3">
        <f>H76</f>
        <v>1000</v>
      </c>
    </row>
    <row r="77" spans="2:14">
      <c r="B77" s="3">
        <v>61</v>
      </c>
      <c r="C77" s="16" t="s">
        <v>601</v>
      </c>
      <c r="D77" s="16">
        <v>2000</v>
      </c>
      <c r="E77" s="16">
        <f>VLOOKUP(C77,道具定价!$C:$F,4,0)*D77</f>
        <v>2</v>
      </c>
      <c r="F77" s="16" t="s">
        <v>601</v>
      </c>
      <c r="G77" s="16">
        <v>8000</v>
      </c>
      <c r="H77" s="16">
        <f>VLOOKUP(F77,道具定价!$C:$F,4,0)*G77</f>
        <v>8</v>
      </c>
      <c r="I77" s="16"/>
      <c r="J77" s="16"/>
      <c r="K77" s="16">
        <f>_xlfn.IFNA(VLOOKUP(I77,道具定价!$C:$F,4,0)*J77,0)</f>
        <v>0</v>
      </c>
      <c r="L77" s="16">
        <f t="shared" si="0"/>
        <v>8</v>
      </c>
      <c r="M77" s="16">
        <f t="shared" si="1"/>
        <v>4</v>
      </c>
      <c r="N77" s="3">
        <v>0</v>
      </c>
    </row>
    <row r="78" spans="2:14">
      <c r="B78" s="3">
        <v>62</v>
      </c>
      <c r="C78" s="16" t="s">
        <v>613</v>
      </c>
      <c r="D78" s="16">
        <v>1</v>
      </c>
      <c r="E78" s="16">
        <f>VLOOKUP(C78,道具定价!$C:$F,4,0)*D78</f>
        <v>2</v>
      </c>
      <c r="F78" s="16" t="s">
        <v>614</v>
      </c>
      <c r="G78" s="16">
        <v>1</v>
      </c>
      <c r="H78" s="16">
        <f>VLOOKUP(F78,道具定价!$C:$F,4,0)*G78</f>
        <v>10</v>
      </c>
      <c r="I78" s="16"/>
      <c r="J78" s="16"/>
      <c r="K78" s="16">
        <f>_xlfn.IFNA(VLOOKUP(I78,道具定价!$C:$F,4,0)*J78,0)</f>
        <v>0</v>
      </c>
      <c r="L78" s="16">
        <f t="shared" si="0"/>
        <v>10</v>
      </c>
      <c r="M78" s="16">
        <f t="shared" si="1"/>
        <v>5</v>
      </c>
      <c r="N78" s="3">
        <v>0</v>
      </c>
    </row>
    <row r="79" spans="2:14">
      <c r="B79" s="3">
        <v>63</v>
      </c>
      <c r="C79" s="16" t="s">
        <v>669</v>
      </c>
      <c r="D79" s="16">
        <v>1</v>
      </c>
      <c r="E79" s="16">
        <f>VLOOKUP(C79,道具定价!$C:$F,4,0)*D79</f>
        <v>2</v>
      </c>
      <c r="F79" s="16" t="s">
        <v>670</v>
      </c>
      <c r="G79" s="16">
        <v>1</v>
      </c>
      <c r="H79" s="16">
        <f>VLOOKUP(F79,道具定价!$C:$F,4,0)*G79</f>
        <v>10</v>
      </c>
      <c r="I79" s="16"/>
      <c r="J79" s="16"/>
      <c r="K79" s="16">
        <f>_xlfn.IFNA(VLOOKUP(I79,道具定价!$C:$F,4,0)*J79,0)</f>
        <v>0</v>
      </c>
      <c r="L79" s="16">
        <f t="shared" si="0"/>
        <v>10</v>
      </c>
      <c r="M79" s="16">
        <f t="shared" si="1"/>
        <v>5</v>
      </c>
      <c r="N79" s="3">
        <v>0</v>
      </c>
    </row>
    <row r="80" spans="2:14">
      <c r="B80" s="3">
        <v>64</v>
      </c>
      <c r="C80" s="16" t="s">
        <v>728</v>
      </c>
      <c r="D80" s="16">
        <v>200</v>
      </c>
      <c r="E80" s="16">
        <f>VLOOKUP(C80,道具定价!$C:$F,4,0)*D80</f>
        <v>2</v>
      </c>
      <c r="F80" s="16" t="s">
        <v>728</v>
      </c>
      <c r="G80" s="16">
        <v>800</v>
      </c>
      <c r="H80" s="16">
        <f>VLOOKUP(F80,道具定价!$C:$F,4,0)*G80</f>
        <v>8</v>
      </c>
      <c r="I80" s="16"/>
      <c r="J80" s="16"/>
      <c r="K80" s="16">
        <f>_xlfn.IFNA(VLOOKUP(I80,道具定价!$C:$F,4,0)*J80,0)</f>
        <v>0</v>
      </c>
      <c r="L80" s="16">
        <f t="shared" si="0"/>
        <v>8</v>
      </c>
      <c r="M80" s="16">
        <f t="shared" si="1"/>
        <v>4</v>
      </c>
      <c r="N80" s="3">
        <v>0</v>
      </c>
    </row>
    <row r="81" spans="2:14">
      <c r="B81" s="3">
        <v>65</v>
      </c>
      <c r="C81" s="16" t="s">
        <v>700</v>
      </c>
      <c r="D81" s="16">
        <v>200</v>
      </c>
      <c r="E81" s="16">
        <f>VLOOKUP(C81,道具定价!$C:$F,4,0)*D81</f>
        <v>2</v>
      </c>
      <c r="F81" s="16" t="s">
        <v>700</v>
      </c>
      <c r="G81" s="16">
        <v>800</v>
      </c>
      <c r="H81" s="16">
        <f>VLOOKUP(F81,道具定价!$C:$F,4,0)*G81</f>
        <v>8</v>
      </c>
      <c r="I81" s="16"/>
      <c r="J81" s="16"/>
      <c r="K81" s="16">
        <f>_xlfn.IFNA(VLOOKUP(I81,道具定价!$C:$F,4,0)*J81,0)</f>
        <v>0</v>
      </c>
      <c r="L81" s="16">
        <f t="shared" ref="L81:L116" si="2">H81+K81</f>
        <v>8</v>
      </c>
      <c r="M81" s="16">
        <f t="shared" ref="M81:M116" si="3">L81/E81</f>
        <v>4</v>
      </c>
      <c r="N81" s="3">
        <v>0</v>
      </c>
    </row>
    <row r="82" spans="2:14">
      <c r="B82" s="3">
        <v>66</v>
      </c>
      <c r="C82" s="16" t="s">
        <v>601</v>
      </c>
      <c r="D82" s="16">
        <v>2000</v>
      </c>
      <c r="E82" s="16">
        <f>VLOOKUP(C82,道具定价!$C:$F,4,0)*D82</f>
        <v>2</v>
      </c>
      <c r="F82" s="16" t="s">
        <v>601</v>
      </c>
      <c r="G82" s="16">
        <v>8000</v>
      </c>
      <c r="H82" s="16">
        <f>VLOOKUP(F82,道具定价!$C:$F,4,0)*G82</f>
        <v>8</v>
      </c>
      <c r="I82" s="16"/>
      <c r="J82" s="16"/>
      <c r="K82" s="16">
        <f>_xlfn.IFNA(VLOOKUP(I82,道具定价!$C:$F,4,0)*J82,0)</f>
        <v>0</v>
      </c>
      <c r="L82" s="16">
        <f t="shared" si="2"/>
        <v>8</v>
      </c>
      <c r="M82" s="16">
        <f t="shared" si="3"/>
        <v>4</v>
      </c>
      <c r="N82" s="3">
        <v>0</v>
      </c>
    </row>
    <row r="83" spans="2:14">
      <c r="B83" s="3">
        <v>67</v>
      </c>
      <c r="C83" s="16" t="s">
        <v>613</v>
      </c>
      <c r="D83" s="16">
        <v>1</v>
      </c>
      <c r="E83" s="16">
        <f>VLOOKUP(C83,道具定价!$C:$F,4,0)*D83</f>
        <v>2</v>
      </c>
      <c r="F83" s="16" t="s">
        <v>614</v>
      </c>
      <c r="G83" s="16">
        <v>1</v>
      </c>
      <c r="H83" s="16">
        <f>VLOOKUP(F83,道具定价!$C:$F,4,0)*G83</f>
        <v>10</v>
      </c>
      <c r="I83" s="16"/>
      <c r="J83" s="16"/>
      <c r="K83" s="16">
        <f>_xlfn.IFNA(VLOOKUP(I83,道具定价!$C:$F,4,0)*J83,0)</f>
        <v>0</v>
      </c>
      <c r="L83" s="16">
        <f t="shared" si="2"/>
        <v>10</v>
      </c>
      <c r="M83" s="16">
        <f t="shared" si="3"/>
        <v>5</v>
      </c>
      <c r="N83" s="3">
        <v>0</v>
      </c>
    </row>
    <row r="84" spans="2:14">
      <c r="B84" s="3">
        <v>68</v>
      </c>
      <c r="C84" s="16" t="s">
        <v>669</v>
      </c>
      <c r="D84" s="16">
        <v>1</v>
      </c>
      <c r="E84" s="16">
        <f>VLOOKUP(C84,道具定价!$C:$F,4,0)*D84</f>
        <v>2</v>
      </c>
      <c r="F84" s="16" t="s">
        <v>670</v>
      </c>
      <c r="G84" s="16">
        <v>1</v>
      </c>
      <c r="H84" s="16">
        <f>VLOOKUP(F84,道具定价!$C:$F,4,0)*G84</f>
        <v>10</v>
      </c>
      <c r="I84" s="16"/>
      <c r="J84" s="16"/>
      <c r="K84" s="16">
        <f>_xlfn.IFNA(VLOOKUP(I84,道具定价!$C:$F,4,0)*J84,0)</f>
        <v>0</v>
      </c>
      <c r="L84" s="16">
        <f t="shared" si="2"/>
        <v>10</v>
      </c>
      <c r="M84" s="16">
        <f t="shared" si="3"/>
        <v>5</v>
      </c>
      <c r="N84" s="3">
        <v>0</v>
      </c>
    </row>
    <row r="85" spans="2:14">
      <c r="B85" s="3">
        <v>69</v>
      </c>
      <c r="C85" s="16" t="s">
        <v>728</v>
      </c>
      <c r="D85" s="16">
        <v>200</v>
      </c>
      <c r="E85" s="16">
        <f>VLOOKUP(C85,道具定价!$C:$F,4,0)*D85</f>
        <v>2</v>
      </c>
      <c r="F85" s="16" t="s">
        <v>728</v>
      </c>
      <c r="G85" s="16">
        <v>800</v>
      </c>
      <c r="H85" s="16">
        <f>VLOOKUP(F85,道具定价!$C:$F,4,0)*G85</f>
        <v>8</v>
      </c>
      <c r="I85" s="16"/>
      <c r="J85" s="16"/>
      <c r="K85" s="16">
        <f>_xlfn.IFNA(VLOOKUP(I85,道具定价!$C:$F,4,0)*J85,0)</f>
        <v>0</v>
      </c>
      <c r="L85" s="16">
        <f t="shared" si="2"/>
        <v>8</v>
      </c>
      <c r="M85" s="16">
        <f t="shared" si="3"/>
        <v>4</v>
      </c>
      <c r="N85" s="3">
        <v>0</v>
      </c>
    </row>
    <row r="86" spans="2:14">
      <c r="B86" s="3">
        <v>70</v>
      </c>
      <c r="C86" s="16" t="s">
        <v>700</v>
      </c>
      <c r="D86" s="16">
        <v>200</v>
      </c>
      <c r="E86" s="16">
        <f>VLOOKUP(C86,道具定价!$C:$F,4,0)*D86</f>
        <v>2</v>
      </c>
      <c r="F86" s="16" t="s">
        <v>700</v>
      </c>
      <c r="G86" s="16">
        <v>800</v>
      </c>
      <c r="H86" s="16">
        <f>VLOOKUP(F86,道具定价!$C:$F,4,0)*G86</f>
        <v>8</v>
      </c>
      <c r="I86" s="16"/>
      <c r="J86" s="16"/>
      <c r="K86" s="16">
        <f>_xlfn.IFNA(VLOOKUP(I86,道具定价!$C:$F,4,0)*J86,0)</f>
        <v>0</v>
      </c>
      <c r="L86" s="16">
        <f t="shared" si="2"/>
        <v>8</v>
      </c>
      <c r="M86" s="16">
        <f t="shared" si="3"/>
        <v>4</v>
      </c>
      <c r="N86" s="3">
        <v>0</v>
      </c>
    </row>
    <row r="87" spans="2:14">
      <c r="B87" s="3">
        <v>71</v>
      </c>
      <c r="C87" s="16" t="s">
        <v>601</v>
      </c>
      <c r="D87" s="16">
        <v>2000</v>
      </c>
      <c r="E87" s="16">
        <f>VLOOKUP(C87,道具定价!$C:$F,4,0)*D87</f>
        <v>2</v>
      </c>
      <c r="F87" s="16" t="s">
        <v>601</v>
      </c>
      <c r="G87" s="16">
        <v>8000</v>
      </c>
      <c r="H87" s="16">
        <f>VLOOKUP(F87,道具定价!$C:$F,4,0)*G87</f>
        <v>8</v>
      </c>
      <c r="I87" s="16"/>
      <c r="J87" s="16"/>
      <c r="K87" s="16">
        <f>_xlfn.IFNA(VLOOKUP(I87,道具定价!$C:$F,4,0)*J87,0)</f>
        <v>0</v>
      </c>
      <c r="L87" s="16">
        <f t="shared" si="2"/>
        <v>8</v>
      </c>
      <c r="M87" s="16">
        <f t="shared" si="3"/>
        <v>4</v>
      </c>
      <c r="N87" s="3">
        <v>0</v>
      </c>
    </row>
    <row r="88" spans="2:14">
      <c r="B88" s="3">
        <v>72</v>
      </c>
      <c r="C88" s="16" t="s">
        <v>613</v>
      </c>
      <c r="D88" s="16">
        <v>1</v>
      </c>
      <c r="E88" s="16">
        <f>VLOOKUP(C88,道具定价!$C:$F,4,0)*D88</f>
        <v>2</v>
      </c>
      <c r="F88" s="16" t="s">
        <v>614</v>
      </c>
      <c r="G88" s="16">
        <v>1</v>
      </c>
      <c r="H88" s="16">
        <f>VLOOKUP(F88,道具定价!$C:$F,4,0)*G88</f>
        <v>10</v>
      </c>
      <c r="I88" s="16"/>
      <c r="J88" s="16"/>
      <c r="K88" s="16">
        <f>_xlfn.IFNA(VLOOKUP(I88,道具定价!$C:$F,4,0)*J88,0)</f>
        <v>0</v>
      </c>
      <c r="L88" s="16">
        <f t="shared" si="2"/>
        <v>10</v>
      </c>
      <c r="M88" s="16">
        <f t="shared" si="3"/>
        <v>5</v>
      </c>
      <c r="N88" s="3">
        <v>0</v>
      </c>
    </row>
    <row r="89" spans="2:14">
      <c r="B89" s="3">
        <v>73</v>
      </c>
      <c r="C89" s="16" t="s">
        <v>669</v>
      </c>
      <c r="D89" s="16">
        <v>1</v>
      </c>
      <c r="E89" s="16">
        <f>VLOOKUP(C89,道具定价!$C:$F,4,0)*D89</f>
        <v>2</v>
      </c>
      <c r="F89" s="16" t="s">
        <v>670</v>
      </c>
      <c r="G89" s="16">
        <v>1</v>
      </c>
      <c r="H89" s="16">
        <f>VLOOKUP(F89,道具定价!$C:$F,4,0)*G89</f>
        <v>10</v>
      </c>
      <c r="I89" s="16"/>
      <c r="J89" s="16"/>
      <c r="K89" s="16">
        <f>_xlfn.IFNA(VLOOKUP(I89,道具定价!$C:$F,4,0)*J89,0)</f>
        <v>0</v>
      </c>
      <c r="L89" s="16">
        <f t="shared" si="2"/>
        <v>10</v>
      </c>
      <c r="M89" s="16">
        <f t="shared" si="3"/>
        <v>5</v>
      </c>
      <c r="N89" s="3">
        <v>0</v>
      </c>
    </row>
    <row r="90" spans="2:14">
      <c r="B90" s="3">
        <v>74</v>
      </c>
      <c r="C90" s="16" t="s">
        <v>728</v>
      </c>
      <c r="D90" s="16">
        <v>200</v>
      </c>
      <c r="E90" s="16">
        <f>VLOOKUP(C90,道具定价!$C:$F,4,0)*D90</f>
        <v>2</v>
      </c>
      <c r="F90" s="16" t="s">
        <v>728</v>
      </c>
      <c r="G90" s="16">
        <v>800</v>
      </c>
      <c r="H90" s="16">
        <f>VLOOKUP(F90,道具定价!$C:$F,4,0)*G90</f>
        <v>8</v>
      </c>
      <c r="I90" s="16"/>
      <c r="J90" s="16"/>
      <c r="K90" s="16">
        <f>_xlfn.IFNA(VLOOKUP(I90,道具定价!$C:$F,4,0)*J90,0)</f>
        <v>0</v>
      </c>
      <c r="L90" s="16">
        <f t="shared" si="2"/>
        <v>8</v>
      </c>
      <c r="M90" s="16">
        <f t="shared" si="3"/>
        <v>4</v>
      </c>
      <c r="N90" s="3">
        <v>0</v>
      </c>
    </row>
    <row r="91" spans="2:14">
      <c r="B91" s="3">
        <v>75</v>
      </c>
      <c r="C91" s="16" t="s">
        <v>700</v>
      </c>
      <c r="D91" s="16">
        <v>200</v>
      </c>
      <c r="E91" s="16">
        <f>VLOOKUP(C91,道具定价!$C:$F,4,0)*D91</f>
        <v>2</v>
      </c>
      <c r="F91" s="16" t="s">
        <v>700</v>
      </c>
      <c r="G91" s="16">
        <v>800</v>
      </c>
      <c r="H91" s="16">
        <f>VLOOKUP(F91,道具定价!$C:$F,4,0)*G91</f>
        <v>8</v>
      </c>
      <c r="I91" s="16"/>
      <c r="J91" s="16"/>
      <c r="K91" s="16">
        <f>_xlfn.IFNA(VLOOKUP(I91,道具定价!$C:$F,4,0)*J91,0)</f>
        <v>0</v>
      </c>
      <c r="L91" s="16">
        <f t="shared" si="2"/>
        <v>8</v>
      </c>
      <c r="M91" s="16">
        <f t="shared" si="3"/>
        <v>4</v>
      </c>
      <c r="N91" s="3">
        <v>0</v>
      </c>
    </row>
    <row r="92" spans="2:14">
      <c r="B92" s="3">
        <v>76</v>
      </c>
      <c r="C92" s="16" t="s">
        <v>601</v>
      </c>
      <c r="D92" s="16">
        <v>2000</v>
      </c>
      <c r="E92" s="16">
        <f>VLOOKUP(C92,道具定价!$C:$F,4,0)*D92</f>
        <v>2</v>
      </c>
      <c r="F92" s="16" t="s">
        <v>601</v>
      </c>
      <c r="G92" s="16">
        <v>8000</v>
      </c>
      <c r="H92" s="16">
        <f>VLOOKUP(F92,道具定价!$C:$F,4,0)*G92</f>
        <v>8</v>
      </c>
      <c r="I92" s="16"/>
      <c r="J92" s="16"/>
      <c r="K92" s="16">
        <f>_xlfn.IFNA(VLOOKUP(I92,道具定价!$C:$F,4,0)*J92,0)</f>
        <v>0</v>
      </c>
      <c r="L92" s="16">
        <f t="shared" si="2"/>
        <v>8</v>
      </c>
      <c r="M92" s="16">
        <f t="shared" si="3"/>
        <v>4</v>
      </c>
      <c r="N92" s="3">
        <v>0</v>
      </c>
    </row>
    <row r="93" spans="2:14">
      <c r="B93" s="3">
        <v>77</v>
      </c>
      <c r="C93" s="16" t="s">
        <v>613</v>
      </c>
      <c r="D93" s="16">
        <v>1</v>
      </c>
      <c r="E93" s="16">
        <f>VLOOKUP(C93,道具定价!$C:$F,4,0)*D93</f>
        <v>2</v>
      </c>
      <c r="F93" s="16" t="s">
        <v>614</v>
      </c>
      <c r="G93" s="16">
        <v>1</v>
      </c>
      <c r="H93" s="16">
        <f>VLOOKUP(F93,道具定价!$C:$F,4,0)*G93</f>
        <v>10</v>
      </c>
      <c r="I93" s="16"/>
      <c r="J93" s="16"/>
      <c r="K93" s="16">
        <f>_xlfn.IFNA(VLOOKUP(I93,道具定价!$C:$F,4,0)*J93,0)</f>
        <v>0</v>
      </c>
      <c r="L93" s="16">
        <f t="shared" si="2"/>
        <v>10</v>
      </c>
      <c r="M93" s="16">
        <f t="shared" si="3"/>
        <v>5</v>
      </c>
      <c r="N93" s="3">
        <v>0</v>
      </c>
    </row>
    <row r="94" spans="2:14">
      <c r="B94" s="3">
        <v>78</v>
      </c>
      <c r="C94" s="16" t="s">
        <v>669</v>
      </c>
      <c r="D94" s="16">
        <v>1</v>
      </c>
      <c r="E94" s="16">
        <f>VLOOKUP(C94,道具定价!$C:$F,4,0)*D94</f>
        <v>2</v>
      </c>
      <c r="F94" s="16" t="s">
        <v>670</v>
      </c>
      <c r="G94" s="16">
        <v>1</v>
      </c>
      <c r="H94" s="16">
        <f>VLOOKUP(F94,道具定价!$C:$F,4,0)*G94</f>
        <v>10</v>
      </c>
      <c r="I94" s="16"/>
      <c r="J94" s="16"/>
      <c r="K94" s="16">
        <f>_xlfn.IFNA(VLOOKUP(I94,道具定价!$C:$F,4,0)*J94,0)</f>
        <v>0</v>
      </c>
      <c r="L94" s="16">
        <f t="shared" si="2"/>
        <v>10</v>
      </c>
      <c r="M94" s="16">
        <f t="shared" si="3"/>
        <v>5</v>
      </c>
      <c r="N94" s="3">
        <v>0</v>
      </c>
    </row>
    <row r="95" spans="2:14">
      <c r="B95" s="3">
        <v>79</v>
      </c>
      <c r="C95" s="16" t="s">
        <v>728</v>
      </c>
      <c r="D95" s="16">
        <v>200</v>
      </c>
      <c r="E95" s="16">
        <f>VLOOKUP(C95,道具定价!$C:$F,4,0)*D95</f>
        <v>2</v>
      </c>
      <c r="F95" s="16" t="s">
        <v>728</v>
      </c>
      <c r="G95" s="16">
        <v>800</v>
      </c>
      <c r="H95" s="16">
        <f>VLOOKUP(F95,道具定价!$C:$F,4,0)*G95</f>
        <v>8</v>
      </c>
      <c r="I95" s="16"/>
      <c r="J95" s="16"/>
      <c r="K95" s="16">
        <f>_xlfn.IFNA(VLOOKUP(I95,道具定价!$C:$F,4,0)*J95,0)</f>
        <v>0</v>
      </c>
      <c r="L95" s="16">
        <f t="shared" si="2"/>
        <v>8</v>
      </c>
      <c r="M95" s="16">
        <f t="shared" si="3"/>
        <v>4</v>
      </c>
      <c r="N95" s="3">
        <v>0</v>
      </c>
    </row>
    <row r="96" spans="2:14">
      <c r="B96" s="3">
        <v>80</v>
      </c>
      <c r="C96" s="16" t="s">
        <v>700</v>
      </c>
      <c r="D96" s="16">
        <v>200</v>
      </c>
      <c r="E96" s="16">
        <f>VLOOKUP(C96,道具定价!$C:$F,4,0)*D96</f>
        <v>2</v>
      </c>
      <c r="F96" s="16" t="s">
        <v>700</v>
      </c>
      <c r="G96" s="16">
        <v>800</v>
      </c>
      <c r="H96" s="16">
        <f>VLOOKUP(F96,道具定价!$C:$F,4,0)*G96</f>
        <v>8</v>
      </c>
      <c r="I96" s="16"/>
      <c r="J96" s="16"/>
      <c r="K96" s="16">
        <f>_xlfn.IFNA(VLOOKUP(I96,道具定价!$C:$F,4,0)*J96,0)</f>
        <v>0</v>
      </c>
      <c r="L96" s="16">
        <f t="shared" si="2"/>
        <v>8</v>
      </c>
      <c r="M96" s="16">
        <f t="shared" si="3"/>
        <v>4</v>
      </c>
      <c r="N96" s="3">
        <v>0</v>
      </c>
    </row>
    <row r="97" spans="2:14">
      <c r="B97" s="3">
        <v>81</v>
      </c>
      <c r="C97" s="16" t="s">
        <v>601</v>
      </c>
      <c r="D97" s="16">
        <v>2000</v>
      </c>
      <c r="E97" s="16">
        <f>VLOOKUP(C97,道具定价!$C:$F,4,0)*D97</f>
        <v>2</v>
      </c>
      <c r="F97" s="16" t="s">
        <v>601</v>
      </c>
      <c r="G97" s="16">
        <v>8000</v>
      </c>
      <c r="H97" s="16">
        <f>VLOOKUP(F97,道具定价!$C:$F,4,0)*G97</f>
        <v>8</v>
      </c>
      <c r="I97" s="16"/>
      <c r="J97" s="16"/>
      <c r="K97" s="16">
        <f>_xlfn.IFNA(VLOOKUP(I97,道具定价!$C:$F,4,0)*J97,0)</f>
        <v>0</v>
      </c>
      <c r="L97" s="16">
        <f t="shared" si="2"/>
        <v>8</v>
      </c>
      <c r="M97" s="16">
        <f t="shared" si="3"/>
        <v>4</v>
      </c>
      <c r="N97" s="3">
        <v>0</v>
      </c>
    </row>
    <row r="98" spans="2:14">
      <c r="B98" s="3">
        <v>82</v>
      </c>
      <c r="C98" s="16" t="s">
        <v>613</v>
      </c>
      <c r="D98" s="16">
        <v>1</v>
      </c>
      <c r="E98" s="16">
        <f>VLOOKUP(C98,道具定价!$C:$F,4,0)*D98</f>
        <v>2</v>
      </c>
      <c r="F98" s="16" t="s">
        <v>614</v>
      </c>
      <c r="G98" s="16">
        <v>1</v>
      </c>
      <c r="H98" s="16">
        <f>VLOOKUP(F98,道具定价!$C:$F,4,0)*G98</f>
        <v>10</v>
      </c>
      <c r="I98" s="16"/>
      <c r="J98" s="16"/>
      <c r="K98" s="16">
        <f>_xlfn.IFNA(VLOOKUP(I98,道具定价!$C:$F,4,0)*J98,0)</f>
        <v>0</v>
      </c>
      <c r="L98" s="16">
        <f t="shared" si="2"/>
        <v>10</v>
      </c>
      <c r="M98" s="16">
        <f t="shared" si="3"/>
        <v>5</v>
      </c>
      <c r="N98" s="3">
        <v>0</v>
      </c>
    </row>
    <row r="99" spans="2:14">
      <c r="B99" s="3">
        <v>83</v>
      </c>
      <c r="C99" s="16" t="s">
        <v>669</v>
      </c>
      <c r="D99" s="16">
        <v>1</v>
      </c>
      <c r="E99" s="16">
        <f>VLOOKUP(C99,道具定价!$C:$F,4,0)*D99</f>
        <v>2</v>
      </c>
      <c r="F99" s="16" t="s">
        <v>670</v>
      </c>
      <c r="G99" s="16">
        <v>1</v>
      </c>
      <c r="H99" s="16">
        <f>VLOOKUP(F99,道具定价!$C:$F,4,0)*G99</f>
        <v>10</v>
      </c>
      <c r="I99" s="16"/>
      <c r="J99" s="16"/>
      <c r="K99" s="16">
        <f>_xlfn.IFNA(VLOOKUP(I99,道具定价!$C:$F,4,0)*J99,0)</f>
        <v>0</v>
      </c>
      <c r="L99" s="16">
        <f t="shared" si="2"/>
        <v>10</v>
      </c>
      <c r="M99" s="16">
        <f t="shared" si="3"/>
        <v>5</v>
      </c>
      <c r="N99" s="3">
        <v>0</v>
      </c>
    </row>
    <row r="100" spans="2:14">
      <c r="B100" s="3">
        <v>84</v>
      </c>
      <c r="C100" s="16" t="s">
        <v>728</v>
      </c>
      <c r="D100" s="16">
        <v>200</v>
      </c>
      <c r="E100" s="16">
        <f>VLOOKUP(C100,道具定价!$C:$F,4,0)*D100</f>
        <v>2</v>
      </c>
      <c r="F100" s="16" t="s">
        <v>728</v>
      </c>
      <c r="G100" s="16">
        <v>800</v>
      </c>
      <c r="H100" s="16">
        <f>VLOOKUP(F100,道具定价!$C:$F,4,0)*G100</f>
        <v>8</v>
      </c>
      <c r="I100" s="16"/>
      <c r="J100" s="16"/>
      <c r="K100" s="16">
        <f>_xlfn.IFNA(VLOOKUP(I100,道具定价!$C:$F,4,0)*J100,0)</f>
        <v>0</v>
      </c>
      <c r="L100" s="16">
        <f t="shared" si="2"/>
        <v>8</v>
      </c>
      <c r="M100" s="16">
        <f t="shared" si="3"/>
        <v>4</v>
      </c>
      <c r="N100" s="3">
        <v>0</v>
      </c>
    </row>
    <row r="101" spans="2:14">
      <c r="B101" s="3">
        <v>85</v>
      </c>
      <c r="C101" s="16" t="s">
        <v>700</v>
      </c>
      <c r="D101" s="16">
        <v>200</v>
      </c>
      <c r="E101" s="16">
        <f>VLOOKUP(C101,道具定价!$C:$F,4,0)*D101</f>
        <v>2</v>
      </c>
      <c r="F101" s="16" t="s">
        <v>700</v>
      </c>
      <c r="G101" s="16">
        <v>800</v>
      </c>
      <c r="H101" s="16">
        <f>VLOOKUP(F101,道具定价!$C:$F,4,0)*G101</f>
        <v>8</v>
      </c>
      <c r="I101" s="16"/>
      <c r="J101" s="16"/>
      <c r="K101" s="16">
        <f>_xlfn.IFNA(VLOOKUP(I101,道具定价!$C:$F,4,0)*J101,0)</f>
        <v>0</v>
      </c>
      <c r="L101" s="16">
        <f t="shared" si="2"/>
        <v>8</v>
      </c>
      <c r="M101" s="16">
        <f t="shared" si="3"/>
        <v>4</v>
      </c>
      <c r="N101" s="3">
        <v>0</v>
      </c>
    </row>
    <row r="102" spans="2:14">
      <c r="B102" s="3">
        <v>86</v>
      </c>
      <c r="C102" s="16" t="s">
        <v>601</v>
      </c>
      <c r="D102" s="16">
        <v>2000</v>
      </c>
      <c r="E102" s="16">
        <f>VLOOKUP(C102,道具定价!$C:$F,4,0)*D102</f>
        <v>2</v>
      </c>
      <c r="F102" s="16" t="s">
        <v>601</v>
      </c>
      <c r="G102" s="16">
        <v>8000</v>
      </c>
      <c r="H102" s="16">
        <f>VLOOKUP(F102,道具定价!$C:$F,4,0)*G102</f>
        <v>8</v>
      </c>
      <c r="I102" s="16"/>
      <c r="J102" s="16"/>
      <c r="K102" s="16">
        <f>_xlfn.IFNA(VLOOKUP(I102,道具定价!$C:$F,4,0)*J102,0)</f>
        <v>0</v>
      </c>
      <c r="L102" s="16">
        <f t="shared" si="2"/>
        <v>8</v>
      </c>
      <c r="M102" s="16">
        <f t="shared" si="3"/>
        <v>4</v>
      </c>
      <c r="N102" s="3">
        <v>0</v>
      </c>
    </row>
    <row r="103" spans="2:14">
      <c r="B103" s="3">
        <v>87</v>
      </c>
      <c r="C103" s="16" t="s">
        <v>613</v>
      </c>
      <c r="D103" s="16">
        <v>1</v>
      </c>
      <c r="E103" s="16">
        <f>VLOOKUP(C103,道具定价!$C:$F,4,0)*D103</f>
        <v>2</v>
      </c>
      <c r="F103" s="16" t="s">
        <v>614</v>
      </c>
      <c r="G103" s="16">
        <v>1</v>
      </c>
      <c r="H103" s="16">
        <f>VLOOKUP(F103,道具定价!$C:$F,4,0)*G103</f>
        <v>10</v>
      </c>
      <c r="I103" s="16"/>
      <c r="J103" s="16"/>
      <c r="K103" s="16">
        <f>_xlfn.IFNA(VLOOKUP(I103,道具定价!$C:$F,4,0)*J103,0)</f>
        <v>0</v>
      </c>
      <c r="L103" s="16">
        <f t="shared" si="2"/>
        <v>10</v>
      </c>
      <c r="M103" s="16">
        <f t="shared" si="3"/>
        <v>5</v>
      </c>
      <c r="N103" s="3">
        <v>0</v>
      </c>
    </row>
    <row r="104" spans="2:14">
      <c r="B104" s="3">
        <v>88</v>
      </c>
      <c r="C104" s="16" t="s">
        <v>669</v>
      </c>
      <c r="D104" s="16">
        <v>1</v>
      </c>
      <c r="E104" s="16">
        <f>VLOOKUP(C104,道具定价!$C:$F,4,0)*D104</f>
        <v>2</v>
      </c>
      <c r="F104" s="16" t="s">
        <v>670</v>
      </c>
      <c r="G104" s="16">
        <v>1</v>
      </c>
      <c r="H104" s="16">
        <f>VLOOKUP(F104,道具定价!$C:$F,4,0)*G104</f>
        <v>10</v>
      </c>
      <c r="I104" s="16"/>
      <c r="J104" s="16"/>
      <c r="K104" s="16">
        <f>_xlfn.IFNA(VLOOKUP(I104,道具定价!$C:$F,4,0)*J104,0)</f>
        <v>0</v>
      </c>
      <c r="L104" s="16">
        <f t="shared" si="2"/>
        <v>10</v>
      </c>
      <c r="M104" s="16">
        <f t="shared" si="3"/>
        <v>5</v>
      </c>
      <c r="N104" s="3">
        <v>0</v>
      </c>
    </row>
    <row r="105" spans="2:14">
      <c r="B105" s="3">
        <v>89</v>
      </c>
      <c r="C105" s="16" t="s">
        <v>728</v>
      </c>
      <c r="D105" s="16">
        <v>200</v>
      </c>
      <c r="E105" s="16">
        <f>VLOOKUP(C105,道具定价!$C:$F,4,0)*D105</f>
        <v>2</v>
      </c>
      <c r="F105" s="16" t="s">
        <v>728</v>
      </c>
      <c r="G105" s="16">
        <v>800</v>
      </c>
      <c r="H105" s="16">
        <f>VLOOKUP(F105,道具定价!$C:$F,4,0)*G105</f>
        <v>8</v>
      </c>
      <c r="I105" s="16"/>
      <c r="J105" s="16"/>
      <c r="K105" s="16">
        <f>_xlfn.IFNA(VLOOKUP(I105,道具定价!$C:$F,4,0)*J105,0)</f>
        <v>0</v>
      </c>
      <c r="L105" s="16">
        <f t="shared" si="2"/>
        <v>8</v>
      </c>
      <c r="M105" s="16">
        <f t="shared" si="3"/>
        <v>4</v>
      </c>
      <c r="N105" s="3">
        <v>0</v>
      </c>
    </row>
    <row r="106" spans="2:14">
      <c r="B106" s="3">
        <v>90</v>
      </c>
      <c r="C106" s="16" t="s">
        <v>700</v>
      </c>
      <c r="D106" s="16">
        <v>200</v>
      </c>
      <c r="E106" s="16">
        <f>VLOOKUP(C106,道具定价!$C:$F,4,0)*D106</f>
        <v>2</v>
      </c>
      <c r="F106" s="16" t="s">
        <v>700</v>
      </c>
      <c r="G106" s="16">
        <v>800</v>
      </c>
      <c r="H106" s="16">
        <f>VLOOKUP(F106,道具定价!$C:$F,4,0)*G106</f>
        <v>8</v>
      </c>
      <c r="I106" s="16"/>
      <c r="J106" s="16"/>
      <c r="K106" s="16">
        <f>_xlfn.IFNA(VLOOKUP(I106,道具定价!$C:$F,4,0)*J106,0)</f>
        <v>0</v>
      </c>
      <c r="L106" s="16">
        <f t="shared" si="2"/>
        <v>8</v>
      </c>
      <c r="M106" s="16">
        <f t="shared" si="3"/>
        <v>4</v>
      </c>
      <c r="N106" s="3">
        <v>0</v>
      </c>
    </row>
    <row r="107" spans="2:14">
      <c r="B107" s="3">
        <v>91</v>
      </c>
      <c r="C107" s="16" t="s">
        <v>601</v>
      </c>
      <c r="D107" s="16">
        <v>2000</v>
      </c>
      <c r="E107" s="16">
        <f>VLOOKUP(C107,道具定价!$C:$F,4,0)*D107</f>
        <v>2</v>
      </c>
      <c r="F107" s="16" t="s">
        <v>601</v>
      </c>
      <c r="G107" s="16">
        <v>8000</v>
      </c>
      <c r="H107" s="16">
        <f>VLOOKUP(F107,道具定价!$C:$F,4,0)*G107</f>
        <v>8</v>
      </c>
      <c r="I107" s="16"/>
      <c r="J107" s="16"/>
      <c r="K107" s="16">
        <f>_xlfn.IFNA(VLOOKUP(I107,道具定价!$C:$F,4,0)*J107,0)</f>
        <v>0</v>
      </c>
      <c r="L107" s="16">
        <f t="shared" si="2"/>
        <v>8</v>
      </c>
      <c r="M107" s="16">
        <f t="shared" si="3"/>
        <v>4</v>
      </c>
      <c r="N107" s="3">
        <v>0</v>
      </c>
    </row>
    <row r="108" spans="2:14">
      <c r="B108" s="3">
        <v>92</v>
      </c>
      <c r="C108" s="16" t="s">
        <v>613</v>
      </c>
      <c r="D108" s="16">
        <v>1</v>
      </c>
      <c r="E108" s="16">
        <f>VLOOKUP(C108,道具定价!$C:$F,4,0)*D108</f>
        <v>2</v>
      </c>
      <c r="F108" s="16" t="s">
        <v>614</v>
      </c>
      <c r="G108" s="16">
        <v>1</v>
      </c>
      <c r="H108" s="16">
        <f>VLOOKUP(F108,道具定价!$C:$F,4,0)*G108</f>
        <v>10</v>
      </c>
      <c r="I108" s="16"/>
      <c r="J108" s="16"/>
      <c r="K108" s="16">
        <f>_xlfn.IFNA(VLOOKUP(I108,道具定价!$C:$F,4,0)*J108,0)</f>
        <v>0</v>
      </c>
      <c r="L108" s="16">
        <f t="shared" si="2"/>
        <v>10</v>
      </c>
      <c r="M108" s="16">
        <f t="shared" si="3"/>
        <v>5</v>
      </c>
      <c r="N108" s="3">
        <v>0</v>
      </c>
    </row>
    <row r="109" spans="2:14">
      <c r="B109" s="3">
        <v>93</v>
      </c>
      <c r="C109" s="16" t="s">
        <v>669</v>
      </c>
      <c r="D109" s="16">
        <v>1</v>
      </c>
      <c r="E109" s="16">
        <f>VLOOKUP(C109,道具定价!$C:$F,4,0)*D109</f>
        <v>2</v>
      </c>
      <c r="F109" s="16" t="s">
        <v>670</v>
      </c>
      <c r="G109" s="16">
        <v>1</v>
      </c>
      <c r="H109" s="16">
        <f>VLOOKUP(F109,道具定价!$C:$F,4,0)*G109</f>
        <v>10</v>
      </c>
      <c r="I109" s="16"/>
      <c r="J109" s="16"/>
      <c r="K109" s="16">
        <f>_xlfn.IFNA(VLOOKUP(I109,道具定价!$C:$F,4,0)*J109,0)</f>
        <v>0</v>
      </c>
      <c r="L109" s="16">
        <f t="shared" si="2"/>
        <v>10</v>
      </c>
      <c r="M109" s="16">
        <f t="shared" si="3"/>
        <v>5</v>
      </c>
      <c r="N109" s="3">
        <v>0</v>
      </c>
    </row>
    <row r="110" spans="2:14">
      <c r="B110" s="3">
        <v>94</v>
      </c>
      <c r="C110" s="16" t="s">
        <v>728</v>
      </c>
      <c r="D110" s="16">
        <v>200</v>
      </c>
      <c r="E110" s="16">
        <f>VLOOKUP(C110,道具定价!$C:$F,4,0)*D110</f>
        <v>2</v>
      </c>
      <c r="F110" s="16" t="s">
        <v>728</v>
      </c>
      <c r="G110" s="16">
        <v>800</v>
      </c>
      <c r="H110" s="16">
        <f>VLOOKUP(F110,道具定价!$C:$F,4,0)*G110</f>
        <v>8</v>
      </c>
      <c r="I110" s="16"/>
      <c r="J110" s="16"/>
      <c r="K110" s="16">
        <f>_xlfn.IFNA(VLOOKUP(I110,道具定价!$C:$F,4,0)*J110,0)</f>
        <v>0</v>
      </c>
      <c r="L110" s="16">
        <f t="shared" si="2"/>
        <v>8</v>
      </c>
      <c r="M110" s="16">
        <f t="shared" si="3"/>
        <v>4</v>
      </c>
      <c r="N110" s="3">
        <v>0</v>
      </c>
    </row>
    <row r="111" spans="2:14">
      <c r="B111" s="3">
        <v>95</v>
      </c>
      <c r="C111" s="16" t="s">
        <v>700</v>
      </c>
      <c r="D111" s="16">
        <v>200</v>
      </c>
      <c r="E111" s="16">
        <f>VLOOKUP(C111,道具定价!$C:$F,4,0)*D111</f>
        <v>2</v>
      </c>
      <c r="F111" s="16" t="s">
        <v>700</v>
      </c>
      <c r="G111" s="16">
        <v>800</v>
      </c>
      <c r="H111" s="16">
        <f>VLOOKUP(F111,道具定价!$C:$F,4,0)*G111</f>
        <v>8</v>
      </c>
      <c r="I111" s="16"/>
      <c r="J111" s="16"/>
      <c r="K111" s="16">
        <f>_xlfn.IFNA(VLOOKUP(I111,道具定价!$C:$F,4,0)*J111,0)</f>
        <v>0</v>
      </c>
      <c r="L111" s="16">
        <f t="shared" si="2"/>
        <v>8</v>
      </c>
      <c r="M111" s="16">
        <f t="shared" si="3"/>
        <v>4</v>
      </c>
      <c r="N111" s="3">
        <v>0</v>
      </c>
    </row>
    <row r="112" spans="2:14">
      <c r="B112" s="3">
        <v>96</v>
      </c>
      <c r="C112" s="16" t="s">
        <v>601</v>
      </c>
      <c r="D112" s="16">
        <v>2000</v>
      </c>
      <c r="E112" s="16">
        <f>VLOOKUP(C112,道具定价!$C:$F,4,0)*D112</f>
        <v>2</v>
      </c>
      <c r="F112" s="16" t="s">
        <v>601</v>
      </c>
      <c r="G112" s="16">
        <v>8000</v>
      </c>
      <c r="H112" s="16">
        <f>VLOOKUP(F112,道具定价!$C:$F,4,0)*G112</f>
        <v>8</v>
      </c>
      <c r="I112" s="16"/>
      <c r="J112" s="16"/>
      <c r="K112" s="16">
        <f>_xlfn.IFNA(VLOOKUP(I112,道具定价!$C:$F,4,0)*J112,0)</f>
        <v>0</v>
      </c>
      <c r="L112" s="16">
        <f t="shared" si="2"/>
        <v>8</v>
      </c>
      <c r="M112" s="16">
        <f t="shared" si="3"/>
        <v>4</v>
      </c>
      <c r="N112" s="3">
        <v>0</v>
      </c>
    </row>
    <row r="113" spans="2:14">
      <c r="B113" s="3">
        <v>97</v>
      </c>
      <c r="C113" s="16" t="s">
        <v>613</v>
      </c>
      <c r="D113" s="16">
        <v>1</v>
      </c>
      <c r="E113" s="16">
        <f>VLOOKUP(C113,道具定价!$C:$F,4,0)*D113</f>
        <v>2</v>
      </c>
      <c r="F113" s="16" t="s">
        <v>614</v>
      </c>
      <c r="G113" s="16">
        <v>1</v>
      </c>
      <c r="H113" s="16">
        <f>VLOOKUP(F113,道具定价!$C:$F,4,0)*G113</f>
        <v>10</v>
      </c>
      <c r="I113" s="16"/>
      <c r="J113" s="16"/>
      <c r="K113" s="16">
        <f>_xlfn.IFNA(VLOOKUP(I113,道具定价!$C:$F,4,0)*J113,0)</f>
        <v>0</v>
      </c>
      <c r="L113" s="16">
        <f t="shared" si="2"/>
        <v>10</v>
      </c>
      <c r="M113" s="16">
        <f t="shared" si="3"/>
        <v>5</v>
      </c>
      <c r="N113" s="3">
        <v>0</v>
      </c>
    </row>
    <row r="114" spans="2:14">
      <c r="B114" s="3">
        <v>98</v>
      </c>
      <c r="C114" s="16" t="s">
        <v>669</v>
      </c>
      <c r="D114" s="16">
        <v>1</v>
      </c>
      <c r="E114" s="16">
        <f>VLOOKUP(C114,道具定价!$C:$F,4,0)*D114</f>
        <v>2</v>
      </c>
      <c r="F114" s="16" t="s">
        <v>670</v>
      </c>
      <c r="G114" s="16">
        <v>1</v>
      </c>
      <c r="H114" s="16">
        <f>VLOOKUP(F114,道具定价!$C:$F,4,0)*G114</f>
        <v>10</v>
      </c>
      <c r="I114" s="16"/>
      <c r="J114" s="16"/>
      <c r="K114" s="16">
        <f>_xlfn.IFNA(VLOOKUP(I114,道具定价!$C:$F,4,0)*J114,0)</f>
        <v>0</v>
      </c>
      <c r="L114" s="16">
        <f t="shared" si="2"/>
        <v>10</v>
      </c>
      <c r="M114" s="16">
        <f t="shared" si="3"/>
        <v>5</v>
      </c>
      <c r="N114" s="3">
        <v>0</v>
      </c>
    </row>
    <row r="115" spans="2:14">
      <c r="B115" s="3">
        <v>99</v>
      </c>
      <c r="C115" s="16" t="s">
        <v>728</v>
      </c>
      <c r="D115" s="16">
        <v>200</v>
      </c>
      <c r="E115" s="16">
        <f>VLOOKUP(C115,道具定价!$C:$F,4,0)*D115</f>
        <v>2</v>
      </c>
      <c r="F115" s="16" t="s">
        <v>728</v>
      </c>
      <c r="G115" s="16">
        <v>800</v>
      </c>
      <c r="H115" s="16">
        <f>VLOOKUP(F115,道具定价!$C:$F,4,0)*G115</f>
        <v>8</v>
      </c>
      <c r="I115" s="16"/>
      <c r="J115" s="16"/>
      <c r="K115" s="16">
        <f>_xlfn.IFNA(VLOOKUP(I115,道具定价!$C:$F,4,0)*J115,0)</f>
        <v>0</v>
      </c>
      <c r="L115" s="16">
        <f t="shared" si="2"/>
        <v>8</v>
      </c>
      <c r="M115" s="16">
        <f t="shared" si="3"/>
        <v>4</v>
      </c>
      <c r="N115" s="3">
        <v>0</v>
      </c>
    </row>
    <row r="116" spans="2:14">
      <c r="B116" s="3">
        <v>100</v>
      </c>
      <c r="C116" s="16" t="s">
        <v>700</v>
      </c>
      <c r="D116" s="16">
        <v>200</v>
      </c>
      <c r="E116" s="16">
        <f>VLOOKUP(C116,道具定价!$C:$F,4,0)*D116</f>
        <v>2</v>
      </c>
      <c r="F116" s="16" t="s">
        <v>700</v>
      </c>
      <c r="G116" s="16">
        <v>800</v>
      </c>
      <c r="H116" s="16">
        <f>VLOOKUP(F116,道具定价!$C:$F,4,0)*G116</f>
        <v>8</v>
      </c>
      <c r="I116" s="16"/>
      <c r="J116" s="16"/>
      <c r="K116" s="16">
        <f>_xlfn.IFNA(VLOOKUP(I116,道具定价!$C:$F,4,0)*J116,0)</f>
        <v>0</v>
      </c>
      <c r="L116" s="16">
        <f t="shared" si="2"/>
        <v>8</v>
      </c>
      <c r="M116" s="16">
        <f t="shared" si="3"/>
        <v>4</v>
      </c>
      <c r="N116" s="3">
        <v>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B1:K101"/>
  <sheetViews>
    <sheetView zoomScale="130" zoomScaleNormal="130" topLeftCell="A67" workbookViewId="0">
      <selection activeCell="D78" sqref="D78"/>
    </sheetView>
  </sheetViews>
  <sheetFormatPr defaultColWidth="9" defaultRowHeight="16.5"/>
  <cols>
    <col min="1" max="1" width="9" style="16" customWidth="1"/>
    <col min="2" max="2" width="27.3083333333333" style="16" customWidth="1"/>
    <col min="3" max="3" width="21.8166666666667" style="16" customWidth="1"/>
    <col min="4" max="4" width="28.625" style="16" customWidth="1"/>
    <col min="5" max="5" width="16.625" style="16" customWidth="1"/>
    <col min="6" max="6" width="16.9083333333333" style="16" customWidth="1"/>
    <col min="7" max="8" width="22.0166666666667" style="16" customWidth="1"/>
    <col min="9" max="9" width="27.1083333333333" style="16" customWidth="1"/>
    <col min="10" max="10" width="19.9916666666667" style="16" customWidth="1"/>
    <col min="11" max="11" width="12.3083333333333" style="16" customWidth="1"/>
    <col min="12" max="12" width="12.875" style="16" customWidth="1"/>
    <col min="13" max="16384" width="9" style="16" customWidth="1"/>
  </cols>
  <sheetData>
    <row r="1" s="16" customFormat="1" ht="24" customHeight="1" spans="2:10">
      <c r="B1" s="213" t="s">
        <v>1455</v>
      </c>
    </row>
    <row r="2" s="16" customFormat="1" spans="2:10">
      <c r="B2" s="214" t="s">
        <v>1027</v>
      </c>
      <c r="C2" s="214" t="s">
        <v>1456</v>
      </c>
      <c r="D2" s="214" t="s">
        <v>1457</v>
      </c>
      <c r="E2" s="214" t="s">
        <v>1458</v>
      </c>
      <c r="F2" s="215"/>
      <c r="G2" s="104"/>
      <c r="H2" s="104"/>
      <c r="I2" s="104"/>
      <c r="J2" s="104"/>
    </row>
    <row r="3" s="16" customFormat="1" ht="66" customHeight="1" spans="2:10">
      <c r="B3" s="216" t="s">
        <v>1459</v>
      </c>
      <c r="C3" s="216" t="s">
        <v>1460</v>
      </c>
      <c r="D3" s="216" t="s">
        <v>1461</v>
      </c>
      <c r="E3" s="216" t="s">
        <v>1462</v>
      </c>
      <c r="F3" s="104"/>
      <c r="G3" s="104"/>
      <c r="H3" s="104"/>
      <c r="I3" s="104"/>
      <c r="J3" s="104"/>
    </row>
    <row r="4" s="16" customFormat="1" ht="66" customHeight="1" spans="2:10">
      <c r="B4" s="216" t="s">
        <v>1463</v>
      </c>
      <c r="C4" s="216" t="s">
        <v>1464</v>
      </c>
      <c r="D4" s="216" t="s">
        <v>1465</v>
      </c>
      <c r="E4" s="216" t="s">
        <v>1466</v>
      </c>
      <c r="F4" s="104"/>
      <c r="G4" s="104"/>
      <c r="H4" s="104"/>
      <c r="I4" s="104"/>
      <c r="J4" s="104"/>
    </row>
    <row r="5" s="16" customFormat="1" ht="66" customHeight="1" spans="2:10">
      <c r="B5" s="216" t="s">
        <v>1467</v>
      </c>
      <c r="C5" s="216" t="s">
        <v>1468</v>
      </c>
      <c r="D5" s="216" t="s">
        <v>1469</v>
      </c>
      <c r="E5" s="216" t="s">
        <v>1470</v>
      </c>
      <c r="F5" s="104"/>
      <c r="G5" s="104"/>
      <c r="H5" s="104"/>
      <c r="I5" s="104"/>
      <c r="J5" s="104"/>
    </row>
    <row r="6" s="16" customFormat="1" ht="49.5" customHeight="1" spans="2:10">
      <c r="B6" s="216" t="s">
        <v>1471</v>
      </c>
      <c r="C6" s="216" t="s">
        <v>1472</v>
      </c>
      <c r="D6" s="216" t="s">
        <v>1473</v>
      </c>
      <c r="E6" s="216" t="s">
        <v>1474</v>
      </c>
      <c r="F6" s="104"/>
      <c r="G6" s="104"/>
      <c r="H6" s="104"/>
      <c r="I6" s="104"/>
      <c r="J6" s="104"/>
    </row>
    <row r="7" s="16" customFormat="1" ht="66" customHeight="1" spans="2:10">
      <c r="B7" s="216" t="s">
        <v>1475</v>
      </c>
      <c r="C7" s="216" t="s">
        <v>1476</v>
      </c>
      <c r="D7" s="216" t="s">
        <v>1477</v>
      </c>
      <c r="E7" s="216" t="s">
        <v>1478</v>
      </c>
      <c r="F7" s="104"/>
      <c r="G7" s="104"/>
      <c r="H7" s="104"/>
      <c r="I7" s="104"/>
      <c r="J7" s="104"/>
    </row>
    <row r="8" s="16" customFormat="1" ht="49.5" customHeight="1" spans="2:10">
      <c r="B8" s="216" t="s">
        <v>1479</v>
      </c>
      <c r="C8" s="216" t="s">
        <v>1480</v>
      </c>
      <c r="D8" s="216" t="s">
        <v>1481</v>
      </c>
      <c r="E8" s="216" t="s">
        <v>1482</v>
      </c>
      <c r="F8" s="104"/>
      <c r="G8" s="104"/>
      <c r="H8" s="104"/>
      <c r="I8" s="104"/>
      <c r="J8" s="104"/>
    </row>
    <row r="9" s="16" customFormat="1" spans="2:10">
      <c r="B9" s="216"/>
      <c r="C9" s="216"/>
      <c r="D9" s="216"/>
      <c r="E9" s="216"/>
      <c r="F9" s="104"/>
      <c r="G9" s="104"/>
      <c r="H9" s="104"/>
      <c r="I9" s="104"/>
      <c r="J9" s="104"/>
    </row>
    <row r="10" s="16" customFormat="1" ht="66" customHeight="1" spans="2:10">
      <c r="B10" s="216" t="s">
        <v>13</v>
      </c>
      <c r="C10" s="216" t="s">
        <v>1483</v>
      </c>
      <c r="D10" s="216"/>
      <c r="E10" s="216"/>
      <c r="F10" s="104"/>
      <c r="G10" s="104"/>
      <c r="H10" s="104"/>
      <c r="I10" s="104"/>
      <c r="J10" s="104"/>
    </row>
    <row r="11" spans="2:10">
      <c r="B11" s="104"/>
      <c r="C11" s="104"/>
      <c r="D11" s="104"/>
      <c r="E11" s="104"/>
      <c r="F11" s="104"/>
      <c r="G11" s="104"/>
      <c r="H11" s="104"/>
      <c r="I11" s="104"/>
      <c r="J11" s="104"/>
    </row>
    <row r="12" spans="2:10">
      <c r="B12" s="217" t="s">
        <v>1484</v>
      </c>
    </row>
    <row r="13" ht="66" customHeight="1" spans="2:10">
      <c r="B13" s="104" t="s">
        <v>1485</v>
      </c>
      <c r="C13" s="104"/>
      <c r="D13" s="104"/>
      <c r="E13" s="104"/>
      <c r="F13" s="104"/>
      <c r="G13" s="104"/>
      <c r="H13" s="104"/>
      <c r="I13" s="104"/>
      <c r="J13" s="104"/>
    </row>
    <row r="14" spans="2:10">
      <c r="B14" s="104"/>
      <c r="C14" s="104"/>
      <c r="D14" s="104"/>
      <c r="E14" s="104"/>
      <c r="F14" s="104"/>
      <c r="G14" s="104"/>
      <c r="H14" s="104"/>
      <c r="I14" s="104"/>
      <c r="J14" s="104"/>
    </row>
    <row r="15" spans="2:10">
      <c r="B15" s="217" t="s">
        <v>1486</v>
      </c>
      <c r="C15" s="104"/>
      <c r="D15" s="104"/>
      <c r="E15" s="104"/>
      <c r="F15" s="104"/>
      <c r="G15" s="104"/>
      <c r="H15" s="104"/>
      <c r="I15" s="104"/>
      <c r="J15" s="104"/>
    </row>
    <row r="16" spans="2:10">
      <c r="B16" s="218" t="s">
        <v>1487</v>
      </c>
      <c r="C16" s="104" t="s">
        <v>1488</v>
      </c>
      <c r="D16" s="104" t="s">
        <v>1236</v>
      </c>
      <c r="E16" s="104" t="s">
        <v>13</v>
      </c>
      <c r="F16" s="104"/>
      <c r="G16" s="104"/>
      <c r="H16" s="104"/>
      <c r="I16" s="104"/>
      <c r="J16" s="104"/>
    </row>
    <row r="17" ht="33" customHeight="1" spans="2:10">
      <c r="B17" s="104" t="s">
        <v>1489</v>
      </c>
      <c r="C17" s="219" t="s">
        <v>1490</v>
      </c>
      <c r="D17" s="104" t="str">
        <f>"成员每获得1点贡献值,公会获得"&amp;C17&amp;"点经验"</f>
        <v>成员每获得1点贡献值,公会获得1点经验</v>
      </c>
      <c r="E17" s="104" t="s">
        <v>1491</v>
      </c>
      <c r="F17" s="104"/>
      <c r="G17" s="104"/>
      <c r="H17" s="104"/>
      <c r="I17" s="104"/>
      <c r="J17" s="104"/>
    </row>
    <row r="18" ht="33" customHeight="1" spans="2:10">
      <c r="B18" s="104" t="s">
        <v>1492</v>
      </c>
      <c r="C18" s="219" t="s">
        <v>1490</v>
      </c>
      <c r="D18" s="104" t="str">
        <f>"成员每获得1点贡献值,公会获得"&amp;C18&amp;"点集体代币"</f>
        <v>成员每获得1点贡献值,公会获得1点集体代币</v>
      </c>
      <c r="E18" s="104" t="s">
        <v>1493</v>
      </c>
      <c r="F18" s="104"/>
      <c r="G18" s="104"/>
      <c r="H18" s="104"/>
      <c r="I18" s="104"/>
      <c r="J18" s="104"/>
    </row>
    <row r="19" s="16" customFormat="1" ht="33" customHeight="1" spans="2:10">
      <c r="B19" s="104" t="s">
        <v>1494</v>
      </c>
      <c r="C19" s="219" t="s">
        <v>1495</v>
      </c>
      <c r="D19" s="104" t="str">
        <f>"成员每获得1点贡献值,个人获得"&amp;C19&amp;"点个人代币"</f>
        <v>成员每获得1点贡献值,个人获得0.5点个人代币</v>
      </c>
      <c r="E19" s="104" t="s">
        <v>1493</v>
      </c>
      <c r="F19" s="104"/>
      <c r="G19" s="104"/>
      <c r="H19" s="104"/>
      <c r="I19" s="104"/>
      <c r="J19" s="104"/>
    </row>
    <row r="20" s="16" customFormat="1" spans="2:10">
      <c r="B20" s="104" t="s">
        <v>1496</v>
      </c>
      <c r="C20" s="219" t="s">
        <v>1497</v>
      </c>
      <c r="D20" s="104" t="str">
        <f>"每个玩家单日捐献"&amp;C20&amp;"点贡献"</f>
        <v>每个玩家单日捐献1000点贡献</v>
      </c>
      <c r="E20" s="104"/>
      <c r="F20" s="104"/>
      <c r="G20" s="104"/>
      <c r="H20" s="104"/>
      <c r="I20" s="104"/>
      <c r="J20" s="104"/>
    </row>
    <row r="21" s="16" customFormat="1" spans="2:10">
      <c r="B21" s="104" t="s">
        <v>1498</v>
      </c>
      <c r="C21" s="219" t="s">
        <v>1499</v>
      </c>
      <c r="D21" s="104" t="str">
        <f>"每天最多派遣"&amp;C21&amp;"次"</f>
        <v>每天最多派遣3次</v>
      </c>
      <c r="E21" s="104"/>
      <c r="F21" s="104"/>
      <c r="G21" s="104"/>
      <c r="H21" s="104"/>
      <c r="I21" s="104"/>
      <c r="J21" s="104"/>
    </row>
    <row r="22" ht="33" customHeight="1" spans="2:10">
      <c r="B22" s="104" t="s">
        <v>1500</v>
      </c>
      <c r="C22" s="104" t="s">
        <v>1501</v>
      </c>
      <c r="D22" s="104" t="s">
        <v>1502</v>
      </c>
      <c r="E22" s="104" t="s">
        <v>1503</v>
      </c>
      <c r="F22" s="104"/>
      <c r="G22" s="104"/>
      <c r="H22" s="104"/>
      <c r="I22" s="104"/>
      <c r="J22" s="104"/>
    </row>
    <row r="23" spans="2:10">
      <c r="B23" s="104" t="s">
        <v>1504</v>
      </c>
      <c r="C23" s="104" t="s">
        <v>1505</v>
      </c>
      <c r="D23" s="104" t="s">
        <v>1506</v>
      </c>
      <c r="E23" s="104" t="s">
        <v>1507</v>
      </c>
      <c r="F23" s="104"/>
      <c r="G23" s="104"/>
      <c r="H23" s="104"/>
      <c r="I23" s="104"/>
      <c r="J23" s="104"/>
    </row>
    <row r="24" spans="2:10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>
      <c r="B25" s="217" t="s">
        <v>1459</v>
      </c>
      <c r="C25" s="104"/>
      <c r="D25" s="104"/>
      <c r="E25" s="104"/>
      <c r="F25" s="104"/>
      <c r="G25" s="104"/>
      <c r="H25" s="104"/>
      <c r="I25" s="104"/>
      <c r="J25" s="104"/>
    </row>
    <row r="26" spans="2:10">
      <c r="B26" s="218" t="s">
        <v>1508</v>
      </c>
      <c r="C26" s="104" t="s">
        <v>1509</v>
      </c>
      <c r="D26" s="104" t="s">
        <v>1510</v>
      </c>
      <c r="E26" s="104" t="s">
        <v>1511</v>
      </c>
      <c r="F26" s="104" t="s">
        <v>1512</v>
      </c>
      <c r="G26" s="104" t="s">
        <v>1513</v>
      </c>
      <c r="H26" s="104"/>
      <c r="I26" s="104"/>
      <c r="J26" s="104"/>
    </row>
    <row r="27" spans="2:10">
      <c r="B27" s="104">
        <v>1</v>
      </c>
      <c r="C27" s="104">
        <v>0</v>
      </c>
      <c r="D27" s="104">
        <f>SUM($C$27:C27)</f>
        <v>0</v>
      </c>
      <c r="E27" s="104">
        <v>30</v>
      </c>
      <c r="F27" s="104" t="s">
        <v>1514</v>
      </c>
      <c r="G27" s="220">
        <f t="shared" ref="G27:G36" si="0">D27/(E27*$C$20)</f>
        <v>0</v>
      </c>
      <c r="H27" s="104"/>
      <c r="I27" s="104"/>
      <c r="J27" s="104"/>
    </row>
    <row r="28" spans="2:10">
      <c r="B28" s="104">
        <v>2</v>
      </c>
      <c r="C28" s="104">
        <v>10000</v>
      </c>
      <c r="D28" s="104">
        <f>SUM($C$27:C28)</f>
        <v>10000</v>
      </c>
      <c r="E28" s="104">
        <v>32</v>
      </c>
      <c r="F28" s="104" t="s">
        <v>1514</v>
      </c>
      <c r="G28" s="220">
        <f t="shared" si="0"/>
        <v>0.3125</v>
      </c>
      <c r="H28" s="104"/>
      <c r="I28" s="104"/>
      <c r="J28" s="104"/>
    </row>
    <row r="29" spans="2:10">
      <c r="B29" s="104">
        <v>3</v>
      </c>
      <c r="C29" s="104">
        <v>30000</v>
      </c>
      <c r="D29" s="104">
        <f>SUM($C$27:C29)</f>
        <v>40000</v>
      </c>
      <c r="E29" s="104">
        <v>34</v>
      </c>
      <c r="F29" s="104" t="s">
        <v>1514</v>
      </c>
      <c r="G29" s="220">
        <f t="shared" si="0"/>
        <v>1.17647058823529</v>
      </c>
      <c r="H29" s="104"/>
      <c r="I29" s="104"/>
      <c r="J29" s="104"/>
    </row>
    <row r="30" spans="2:10">
      <c r="B30" s="104">
        <v>4</v>
      </c>
      <c r="C30" s="104">
        <v>70000</v>
      </c>
      <c r="D30" s="104">
        <f>SUM($C$27:C30)</f>
        <v>110000</v>
      </c>
      <c r="E30" s="104">
        <v>36</v>
      </c>
      <c r="F30" s="104" t="s">
        <v>1514</v>
      </c>
      <c r="G30" s="220">
        <f t="shared" si="0"/>
        <v>3.05555555555556</v>
      </c>
      <c r="H30" s="104"/>
      <c r="I30" s="104"/>
      <c r="J30" s="104"/>
    </row>
    <row r="31" spans="2:10">
      <c r="B31" s="104">
        <v>5</v>
      </c>
      <c r="C31" s="104">
        <v>120000</v>
      </c>
      <c r="D31" s="104">
        <f>SUM($C$27:C31)</f>
        <v>230000</v>
      </c>
      <c r="E31" s="104">
        <v>38</v>
      </c>
      <c r="F31" s="104" t="s">
        <v>1514</v>
      </c>
      <c r="G31" s="220">
        <f t="shared" si="0"/>
        <v>6.05263157894737</v>
      </c>
      <c r="H31" s="104"/>
      <c r="I31" s="104"/>
      <c r="J31" s="104"/>
    </row>
    <row r="32" spans="2:10">
      <c r="B32" s="104">
        <v>6</v>
      </c>
      <c r="C32" s="104">
        <v>180000</v>
      </c>
      <c r="D32" s="104">
        <f>SUM($C$27:C32)</f>
        <v>410000</v>
      </c>
      <c r="E32" s="104">
        <v>40</v>
      </c>
      <c r="F32" s="104" t="s">
        <v>1514</v>
      </c>
      <c r="G32" s="220">
        <f t="shared" si="0"/>
        <v>10.25</v>
      </c>
      <c r="H32" s="104"/>
      <c r="I32" s="104"/>
      <c r="J32" s="104"/>
    </row>
    <row r="33" spans="2:10">
      <c r="B33" s="104">
        <v>7</v>
      </c>
      <c r="C33" s="104">
        <v>250000</v>
      </c>
      <c r="D33" s="104">
        <f>SUM($C$27:C33)</f>
        <v>660000</v>
      </c>
      <c r="E33" s="104">
        <v>42</v>
      </c>
      <c r="F33" s="104" t="s">
        <v>1514</v>
      </c>
      <c r="G33" s="220">
        <f t="shared" si="0"/>
        <v>15.7142857142857</v>
      </c>
      <c r="H33" s="104"/>
      <c r="I33" s="104"/>
      <c r="J33" s="104"/>
    </row>
    <row r="34" spans="2:10">
      <c r="B34" s="104">
        <v>8</v>
      </c>
      <c r="C34" s="104">
        <v>300000</v>
      </c>
      <c r="D34" s="104">
        <f>SUM($C$27:C34)</f>
        <v>960000</v>
      </c>
      <c r="E34" s="104">
        <v>44</v>
      </c>
      <c r="F34" s="104" t="s">
        <v>1514</v>
      </c>
      <c r="G34" s="220">
        <f t="shared" si="0"/>
        <v>21.8181818181818</v>
      </c>
      <c r="H34" s="104"/>
      <c r="I34" s="104"/>
      <c r="J34" s="104"/>
    </row>
    <row r="35" spans="2:10">
      <c r="B35" s="104">
        <v>9</v>
      </c>
      <c r="C35" s="104">
        <v>350000</v>
      </c>
      <c r="D35" s="104">
        <f>SUM($C$27:C35)</f>
        <v>1310000</v>
      </c>
      <c r="E35" s="104">
        <v>47</v>
      </c>
      <c r="F35" s="104" t="s">
        <v>1514</v>
      </c>
      <c r="G35" s="220">
        <f t="shared" si="0"/>
        <v>27.8723404255319</v>
      </c>
      <c r="H35" s="104"/>
      <c r="I35" s="104"/>
      <c r="J35" s="104"/>
    </row>
    <row r="36" spans="2:10">
      <c r="B36" s="104">
        <v>10</v>
      </c>
      <c r="C36" s="104">
        <v>400000</v>
      </c>
      <c r="D36" s="104">
        <f>SUM($C$27:C36)</f>
        <v>1710000</v>
      </c>
      <c r="E36" s="104">
        <v>50</v>
      </c>
      <c r="F36" s="104" t="s">
        <v>1514</v>
      </c>
      <c r="G36" s="220">
        <f t="shared" si="0"/>
        <v>34.2</v>
      </c>
      <c r="H36" s="104"/>
      <c r="I36" s="104"/>
      <c r="J36" s="104"/>
    </row>
    <row r="37" spans="2:10">
      <c r="B37" s="104"/>
      <c r="C37" s="104"/>
      <c r="D37" s="104"/>
      <c r="E37" s="104"/>
      <c r="F37" s="104"/>
      <c r="G37" s="104"/>
      <c r="H37" s="104"/>
      <c r="I37" s="104"/>
      <c r="J37" s="104"/>
    </row>
    <row r="38" spans="2:10">
      <c r="B38" s="217" t="s">
        <v>1515</v>
      </c>
      <c r="C38" s="104"/>
      <c r="D38" s="104"/>
      <c r="E38" s="104"/>
      <c r="F38" s="104"/>
      <c r="G38" s="104" t="s">
        <v>1516</v>
      </c>
      <c r="H38" s="104">
        <f t="array" ref="H38">SUMPRODUCT(F40:F44,H40:H44)</f>
        <v>1000</v>
      </c>
      <c r="I38" s="104"/>
      <c r="J38" s="104"/>
    </row>
    <row r="39" spans="2:10">
      <c r="B39" s="218" t="s">
        <v>1450</v>
      </c>
      <c r="C39" s="104" t="s">
        <v>1517</v>
      </c>
      <c r="D39" s="104" t="s">
        <v>1518</v>
      </c>
      <c r="E39" s="104" t="s">
        <v>1519</v>
      </c>
      <c r="F39" s="104" t="s">
        <v>1520</v>
      </c>
      <c r="G39" s="104" t="s">
        <v>1521</v>
      </c>
      <c r="H39" s="104" t="s">
        <v>1522</v>
      </c>
      <c r="I39" s="104" t="s">
        <v>13</v>
      </c>
      <c r="J39" s="104"/>
    </row>
    <row r="40" spans="2:10">
      <c r="B40" s="104" t="s">
        <v>1523</v>
      </c>
      <c r="C40" s="104" t="s">
        <v>1524</v>
      </c>
      <c r="D40" s="104" t="s">
        <v>1525</v>
      </c>
      <c r="E40" s="104">
        <f>F40*$C$19</f>
        <v>25</v>
      </c>
      <c r="F40" s="104">
        <v>50</v>
      </c>
      <c r="G40" s="104">
        <f>F40*$C$18</f>
        <v>50</v>
      </c>
      <c r="H40" s="104">
        <v>2</v>
      </c>
      <c r="I40" s="104" t="s">
        <v>1526</v>
      </c>
      <c r="J40" s="104"/>
    </row>
    <row r="41" spans="2:10">
      <c r="B41" s="104" t="s">
        <v>1523</v>
      </c>
      <c r="C41" s="104" t="s">
        <v>1527</v>
      </c>
      <c r="D41" s="104" t="s">
        <v>1528</v>
      </c>
      <c r="E41" s="104">
        <f>F41*$C$19</f>
        <v>50</v>
      </c>
      <c r="F41" s="104">
        <v>100</v>
      </c>
      <c r="G41" s="104">
        <f>F41*$C$18</f>
        <v>100</v>
      </c>
      <c r="H41" s="104">
        <v>5</v>
      </c>
      <c r="I41" s="104" t="s">
        <v>1529</v>
      </c>
      <c r="J41" s="104"/>
    </row>
    <row r="42" spans="2:10">
      <c r="B42" s="104" t="s">
        <v>1530</v>
      </c>
      <c r="C42" s="104" t="s">
        <v>1531</v>
      </c>
      <c r="D42" s="104" t="s">
        <v>1532</v>
      </c>
      <c r="E42" s="104">
        <f>F42*$C$19</f>
        <v>50</v>
      </c>
      <c r="F42" s="104">
        <v>100</v>
      </c>
      <c r="G42" s="104">
        <f>F42*$C$18</f>
        <v>100</v>
      </c>
      <c r="H42" s="104">
        <v>1</v>
      </c>
      <c r="I42" s="104" t="s">
        <v>1533</v>
      </c>
      <c r="J42" s="104"/>
    </row>
    <row r="43" spans="2:10">
      <c r="B43" s="104" t="s">
        <v>1530</v>
      </c>
      <c r="C43" s="104" t="s">
        <v>1534</v>
      </c>
      <c r="D43" s="104" t="s">
        <v>1535</v>
      </c>
      <c r="E43" s="104">
        <f>F43*$C$19</f>
        <v>100</v>
      </c>
      <c r="F43" s="104">
        <v>200</v>
      </c>
      <c r="G43" s="104">
        <f>F43*$C$18</f>
        <v>200</v>
      </c>
      <c r="H43" s="104">
        <v>1</v>
      </c>
      <c r="I43" s="104" t="s">
        <v>1536</v>
      </c>
      <c r="J43" s="104"/>
    </row>
    <row r="44" spans="2:10">
      <c r="B44" s="104" t="s">
        <v>1530</v>
      </c>
      <c r="C44" s="104" t="s">
        <v>1537</v>
      </c>
      <c r="D44" s="104" t="s">
        <v>1538</v>
      </c>
      <c r="E44" s="104">
        <f>F44*$C$19</f>
        <v>50</v>
      </c>
      <c r="F44" s="104">
        <v>100</v>
      </c>
      <c r="G44" s="104">
        <f>F44*$C$18</f>
        <v>100</v>
      </c>
      <c r="H44" s="104">
        <v>1</v>
      </c>
      <c r="I44" s="104" t="s">
        <v>1539</v>
      </c>
      <c r="J44" s="104"/>
    </row>
    <row r="45" spans="2:10">
      <c r="B45" s="104"/>
      <c r="C45" s="104"/>
      <c r="D45" s="104"/>
      <c r="E45" s="104"/>
      <c r="F45" s="104"/>
      <c r="G45" s="104"/>
      <c r="H45" s="104"/>
      <c r="I45" s="104"/>
      <c r="J45" s="104"/>
    </row>
    <row r="46" spans="2:10">
      <c r="B46" s="104"/>
      <c r="C46" s="104"/>
      <c r="D46" s="104"/>
      <c r="E46" s="104"/>
      <c r="F46" s="104"/>
      <c r="G46" s="104"/>
      <c r="H46" s="104"/>
      <c r="I46" s="104"/>
      <c r="J46" s="104"/>
    </row>
    <row r="47" spans="2:10">
      <c r="B47" s="217" t="s">
        <v>1471</v>
      </c>
      <c r="C47" s="104"/>
      <c r="D47" s="104"/>
      <c r="E47" s="104"/>
      <c r="F47" s="104"/>
      <c r="H47" s="104"/>
      <c r="J47" s="104"/>
    </row>
    <row r="48" spans="2:10">
      <c r="B48" s="218" t="s">
        <v>1540</v>
      </c>
      <c r="C48" s="104" t="s">
        <v>1541</v>
      </c>
      <c r="D48" s="104" t="s">
        <v>1519</v>
      </c>
      <c r="E48" s="104" t="s">
        <v>1520</v>
      </c>
      <c r="F48" s="104" t="s">
        <v>1521</v>
      </c>
      <c r="G48" s="104" t="s">
        <v>1542</v>
      </c>
      <c r="H48" s="104" t="s">
        <v>1543</v>
      </c>
      <c r="I48" s="104" t="s">
        <v>1544</v>
      </c>
      <c r="J48" s="104" t="s">
        <v>1545</v>
      </c>
    </row>
    <row r="49" spans="2:11">
      <c r="B49" s="104" t="s">
        <v>1144</v>
      </c>
      <c r="C49" s="104">
        <v>2</v>
      </c>
      <c r="D49" s="104">
        <f>E49*$C$19</f>
        <v>25</v>
      </c>
      <c r="E49" s="104">
        <v>50</v>
      </c>
      <c r="F49" s="104">
        <f>E49*$C$18</f>
        <v>50</v>
      </c>
      <c r="G49" s="221">
        <v>0.5</v>
      </c>
      <c r="H49" s="104" t="s">
        <v>1546</v>
      </c>
      <c r="I49" s="104" t="s">
        <v>1546</v>
      </c>
      <c r="J49" s="104" t="s">
        <v>1546</v>
      </c>
    </row>
    <row r="50" spans="2:11">
      <c r="B50" s="104" t="s">
        <v>1547</v>
      </c>
      <c r="C50" s="104">
        <v>3</v>
      </c>
      <c r="D50" s="104">
        <f>E50*$C$19</f>
        <v>50</v>
      </c>
      <c r="E50" s="104">
        <v>100</v>
      </c>
      <c r="F50" s="104">
        <f>E50*$C$18</f>
        <v>100</v>
      </c>
      <c r="G50" s="221">
        <v>0.3</v>
      </c>
      <c r="H50" s="104" t="s">
        <v>1548</v>
      </c>
      <c r="I50" s="104"/>
      <c r="J50" s="104"/>
    </row>
    <row r="51" spans="2:11">
      <c r="B51" s="104" t="s">
        <v>1145</v>
      </c>
      <c r="C51" s="104">
        <v>5</v>
      </c>
      <c r="D51" s="104">
        <f>E51*$C$19</f>
        <v>75</v>
      </c>
      <c r="E51" s="104">
        <v>150</v>
      </c>
      <c r="F51" s="104">
        <f>E51*$C$18</f>
        <v>150</v>
      </c>
      <c r="G51" s="221">
        <v>0.15</v>
      </c>
      <c r="H51" s="104" t="s">
        <v>1549</v>
      </c>
      <c r="I51" s="104"/>
      <c r="J51" s="104"/>
    </row>
    <row r="52" spans="2:11">
      <c r="B52" s="104" t="s">
        <v>1157</v>
      </c>
      <c r="C52" s="104">
        <v>8</v>
      </c>
      <c r="D52" s="104">
        <f>E52*$C$19</f>
        <v>100</v>
      </c>
      <c r="E52" s="104">
        <v>200</v>
      </c>
      <c r="F52" s="104">
        <f>E52*$C$18</f>
        <v>200</v>
      </c>
      <c r="G52" s="221">
        <v>0.05</v>
      </c>
      <c r="H52" s="104" t="s">
        <v>1550</v>
      </c>
      <c r="I52" s="104"/>
      <c r="J52" s="104"/>
    </row>
    <row r="53" ht="33" customHeight="1" spans="2:11">
      <c r="B53" s="104" t="s">
        <v>1551</v>
      </c>
      <c r="C53" s="104" t="s">
        <v>1552</v>
      </c>
      <c r="D53" s="104"/>
      <c r="E53" s="104"/>
      <c r="F53" s="104"/>
      <c r="G53" s="104"/>
      <c r="H53" s="104"/>
      <c r="I53" s="104"/>
      <c r="J53" s="104"/>
    </row>
    <row r="54" spans="2:11">
      <c r="B54" s="104"/>
      <c r="C54" s="104"/>
      <c r="D54" s="104"/>
      <c r="E54" s="104"/>
      <c r="F54" s="104"/>
      <c r="G54" s="104"/>
      <c r="H54" s="104"/>
      <c r="I54" s="104"/>
      <c r="J54" s="104"/>
    </row>
    <row r="55" ht="33" customHeight="1" spans="2:11">
      <c r="B55" s="217" t="s">
        <v>1553</v>
      </c>
      <c r="C55" s="104" t="s">
        <v>1554</v>
      </c>
      <c r="D55" s="104"/>
      <c r="F55" s="104"/>
      <c r="G55" s="104"/>
      <c r="H55" s="104"/>
      <c r="I55" s="104"/>
      <c r="J55" s="104"/>
    </row>
    <row r="56" ht="33" customHeight="1" spans="2:11">
      <c r="B56" s="218" t="s">
        <v>1540</v>
      </c>
      <c r="C56" s="104" t="s">
        <v>1555</v>
      </c>
      <c r="D56" s="104" t="s">
        <v>1556</v>
      </c>
      <c r="E56" s="104" t="s">
        <v>1557</v>
      </c>
      <c r="F56" s="104" t="s">
        <v>1558</v>
      </c>
      <c r="G56" s="104" t="s">
        <v>1559</v>
      </c>
      <c r="H56" s="104" t="s">
        <v>1560</v>
      </c>
      <c r="I56" s="104" t="s">
        <v>1561</v>
      </c>
      <c r="J56" s="104" t="s">
        <v>1562</v>
      </c>
      <c r="K56" s="104" t="s">
        <v>1560</v>
      </c>
    </row>
    <row r="57" spans="2:11">
      <c r="B57" s="104" t="s">
        <v>1144</v>
      </c>
      <c r="C57" s="104" t="s">
        <v>601</v>
      </c>
      <c r="D57" s="16">
        <v>10000</v>
      </c>
      <c r="E57" s="16">
        <f>VLOOKUP(C57,道具定价!$C:$F,4,0)*D57</f>
        <v>10</v>
      </c>
      <c r="F57" s="16" t="s">
        <v>613</v>
      </c>
      <c r="G57" s="16">
        <v>5</v>
      </c>
      <c r="H57" s="16">
        <f>VLOOKUP(F57,道具定价!$C:$F,4,0)*G57</f>
        <v>10</v>
      </c>
      <c r="I57" s="16" t="s">
        <v>669</v>
      </c>
      <c r="J57" s="16">
        <v>5</v>
      </c>
      <c r="K57" s="16">
        <f>VLOOKUP(I57,道具定价!$C:$F,4,0)*J57</f>
        <v>10</v>
      </c>
    </row>
    <row r="58" spans="2:11">
      <c r="B58" s="104" t="s">
        <v>1547</v>
      </c>
      <c r="C58" s="104" t="s">
        <v>601</v>
      </c>
      <c r="D58" s="16">
        <v>30000</v>
      </c>
      <c r="E58" s="16">
        <f>VLOOKUP(C58,道具定价!$C:$F,4,0)*D58</f>
        <v>30</v>
      </c>
      <c r="F58" s="16" t="s">
        <v>614</v>
      </c>
      <c r="G58" s="16">
        <v>3</v>
      </c>
      <c r="H58" s="16">
        <f>VLOOKUP(F58,道具定价!$C:$F,4,0)*G58</f>
        <v>30</v>
      </c>
      <c r="I58" s="16" t="s">
        <v>670</v>
      </c>
      <c r="J58" s="16">
        <v>3</v>
      </c>
      <c r="K58" s="16">
        <f>VLOOKUP(I58,道具定价!$C:$F,4,0)*J58</f>
        <v>30</v>
      </c>
    </row>
    <row r="59" spans="2:11">
      <c r="B59" s="104" t="s">
        <v>1145</v>
      </c>
      <c r="C59" s="104" t="s">
        <v>601</v>
      </c>
      <c r="D59" s="16">
        <v>30000</v>
      </c>
      <c r="E59" s="16">
        <f>VLOOKUP(C59,道具定价!$C:$F,4,0)*D59</f>
        <v>30</v>
      </c>
      <c r="F59" s="16" t="s">
        <v>614</v>
      </c>
      <c r="G59" s="16">
        <v>5</v>
      </c>
      <c r="H59" s="16">
        <f>VLOOKUP(F59,道具定价!$C:$F,4,0)*G59</f>
        <v>50</v>
      </c>
      <c r="I59" s="104" t="s">
        <v>5</v>
      </c>
      <c r="J59" s="16">
        <v>50</v>
      </c>
      <c r="K59" s="16">
        <f>VLOOKUP(I59,道具定价!$C:$F,4,0)*J59</f>
        <v>50</v>
      </c>
    </row>
    <row r="60" spans="2:11">
      <c r="B60" s="104" t="s">
        <v>1157</v>
      </c>
      <c r="C60" s="104" t="s">
        <v>6</v>
      </c>
      <c r="D60" s="16">
        <v>1</v>
      </c>
      <c r="E60" s="16">
        <f>VLOOKUP(C60,道具定价!$C:$F,4,0)*D60</f>
        <v>150</v>
      </c>
      <c r="F60" s="104" t="s">
        <v>7</v>
      </c>
      <c r="G60" s="16">
        <v>1</v>
      </c>
      <c r="H60" s="16">
        <f>VLOOKUP(F60,道具定价!$C:$F,4,0)*G60</f>
        <v>150</v>
      </c>
      <c r="I60" s="104" t="s">
        <v>5</v>
      </c>
      <c r="J60" s="16">
        <v>100</v>
      </c>
      <c r="K60" s="16">
        <f>VLOOKUP(I60,道具定价!$C:$F,4,0)*J60</f>
        <v>100</v>
      </c>
    </row>
    <row r="61" spans="2:11">
      <c r="B61" s="104"/>
      <c r="C61" s="104"/>
      <c r="D61" s="104"/>
      <c r="E61" s="104"/>
      <c r="F61" s="104"/>
      <c r="G61" s="104"/>
      <c r="H61" s="104"/>
      <c r="I61" s="104"/>
      <c r="J61" s="104"/>
    </row>
    <row r="62" spans="2:11">
      <c r="B62" s="104"/>
      <c r="C62" s="104"/>
      <c r="D62" s="104"/>
      <c r="E62" s="104"/>
      <c r="F62" s="104"/>
      <c r="G62" s="104"/>
      <c r="H62" s="104"/>
      <c r="I62" s="104"/>
      <c r="J62" s="104"/>
    </row>
    <row r="63" spans="2:11">
      <c r="B63" s="104"/>
      <c r="C63" s="104"/>
      <c r="D63" s="104"/>
      <c r="E63" s="104"/>
      <c r="F63" s="104"/>
      <c r="G63" s="104"/>
      <c r="H63" s="104"/>
      <c r="I63" s="104"/>
      <c r="J63" s="104"/>
    </row>
    <row r="64" spans="2:11">
      <c r="B64" s="104"/>
      <c r="C64" s="104"/>
      <c r="D64" s="104"/>
      <c r="E64" s="104"/>
      <c r="F64" s="104"/>
      <c r="G64" s="104"/>
      <c r="H64" s="104"/>
      <c r="I64" s="104"/>
      <c r="J64" s="104"/>
    </row>
    <row r="65" spans="2:11">
      <c r="B65" s="217" t="s">
        <v>1475</v>
      </c>
      <c r="C65" s="104"/>
      <c r="D65" s="104"/>
      <c r="E65" s="104"/>
      <c r="F65" s="104"/>
      <c r="G65" s="104"/>
      <c r="H65" s="104"/>
      <c r="I65" s="104"/>
      <c r="J65" s="104"/>
    </row>
    <row r="66" spans="2:11">
      <c r="B66" s="218" t="s">
        <v>1487</v>
      </c>
      <c r="C66" s="104" t="s">
        <v>1488</v>
      </c>
      <c r="D66" s="104" t="s">
        <v>1563</v>
      </c>
      <c r="E66" s="104" t="s">
        <v>1564</v>
      </c>
      <c r="F66" s="104" t="s">
        <v>13</v>
      </c>
      <c r="G66" s="104"/>
      <c r="H66" s="104"/>
      <c r="I66" s="104"/>
      <c r="J66" s="104"/>
    </row>
    <row r="67" spans="2:11">
      <c r="B67" s="104" t="s">
        <v>1565</v>
      </c>
      <c r="C67" s="104">
        <v>1</v>
      </c>
      <c r="D67" s="104" t="s">
        <v>1566</v>
      </c>
      <c r="E67" s="104" t="s">
        <v>1567</v>
      </c>
      <c r="F67" s="104" t="s">
        <v>1568</v>
      </c>
      <c r="G67" s="104"/>
      <c r="H67" s="104"/>
      <c r="I67" s="104"/>
      <c r="J67" s="104"/>
    </row>
    <row r="68" spans="2:11">
      <c r="B68" s="104" t="s">
        <v>1569</v>
      </c>
      <c r="C68" s="104" t="s">
        <v>1570</v>
      </c>
      <c r="D68" s="104" t="s">
        <v>1571</v>
      </c>
      <c r="E68" s="104" t="s">
        <v>1572</v>
      </c>
      <c r="F68" s="104" t="s">
        <v>1573</v>
      </c>
      <c r="G68" s="104"/>
      <c r="H68" s="104"/>
      <c r="I68" s="104"/>
      <c r="J68" s="104"/>
    </row>
    <row r="69" ht="33" customHeight="1" spans="2:11">
      <c r="B69" s="104" t="s">
        <v>1574</v>
      </c>
      <c r="C69" s="104" t="s">
        <v>1575</v>
      </c>
      <c r="D69" s="104" t="s">
        <v>1576</v>
      </c>
      <c r="E69" s="104" t="s">
        <v>1577</v>
      </c>
      <c r="F69" s="104" t="s">
        <v>1578</v>
      </c>
      <c r="G69" s="104"/>
      <c r="H69" s="104"/>
      <c r="I69" s="104"/>
      <c r="J69" s="104"/>
    </row>
    <row r="70" ht="33" customHeight="1" spans="2:11">
      <c r="B70" s="104" t="s">
        <v>1579</v>
      </c>
      <c r="C70" s="104">
        <v>1</v>
      </c>
      <c r="D70" s="104" t="s">
        <v>1580</v>
      </c>
      <c r="E70" s="104" t="s">
        <v>1581</v>
      </c>
      <c r="F70" s="104" t="s">
        <v>1582</v>
      </c>
      <c r="G70" s="104"/>
      <c r="H70" s="104"/>
      <c r="I70" s="104"/>
      <c r="J70" s="104"/>
    </row>
    <row r="71" spans="2:11">
      <c r="B71" s="104" t="s">
        <v>1583</v>
      </c>
      <c r="C71" s="104">
        <v>10</v>
      </c>
      <c r="D71" s="104"/>
      <c r="E71" s="104"/>
      <c r="F71" s="104"/>
      <c r="G71" s="104"/>
      <c r="H71" s="104"/>
      <c r="I71" s="104"/>
      <c r="J71" s="104"/>
    </row>
    <row r="72" spans="2:11">
      <c r="B72" s="104"/>
      <c r="C72" s="104"/>
      <c r="D72" s="104"/>
      <c r="E72" s="104"/>
      <c r="F72" s="104"/>
      <c r="G72" s="104"/>
      <c r="H72" s="104"/>
      <c r="I72" s="104"/>
      <c r="J72" s="104"/>
    </row>
    <row r="73" spans="2:11">
      <c r="C73" s="104"/>
      <c r="D73" s="104"/>
      <c r="E73" s="104"/>
      <c r="F73" s="104"/>
      <c r="G73" s="104"/>
      <c r="H73" s="104"/>
      <c r="I73" s="104"/>
      <c r="J73" s="104"/>
    </row>
    <row r="74" spans="2:11">
      <c r="B74" s="217" t="s">
        <v>1584</v>
      </c>
      <c r="C74" s="104"/>
      <c r="D74" s="104"/>
      <c r="E74" s="104"/>
      <c r="F74" s="104"/>
      <c r="G74" s="104"/>
      <c r="H74" s="104"/>
      <c r="I74" s="104"/>
      <c r="J74" s="104"/>
    </row>
    <row r="75" spans="2:11">
      <c r="B75" s="104"/>
      <c r="C75" s="104"/>
      <c r="D75" s="104"/>
      <c r="E75" s="104"/>
      <c r="F75" s="104"/>
      <c r="G75" s="104"/>
      <c r="H75" s="104"/>
      <c r="I75" s="104"/>
      <c r="J75" s="104"/>
    </row>
    <row r="76" spans="2:11">
      <c r="B76" s="19" t="s">
        <v>1585</v>
      </c>
      <c r="C76" s="19" t="s">
        <v>1586</v>
      </c>
      <c r="D76" s="19" t="s">
        <v>1587</v>
      </c>
      <c r="E76" s="19" t="s">
        <v>1588</v>
      </c>
      <c r="F76" s="19" t="s">
        <v>1589</v>
      </c>
      <c r="G76" s="19" t="s">
        <v>1590</v>
      </c>
      <c r="H76" s="19" t="s">
        <v>1591</v>
      </c>
      <c r="I76" s="19" t="s">
        <v>1592</v>
      </c>
      <c r="J76" s="19" t="s">
        <v>1593</v>
      </c>
      <c r="K76" s="19" t="s">
        <v>1594</v>
      </c>
    </row>
    <row r="77" spans="2:11">
      <c r="B77" s="16">
        <v>1</v>
      </c>
      <c r="C77" s="16" t="s">
        <v>6</v>
      </c>
      <c r="D77" s="16">
        <v>1</v>
      </c>
      <c r="E77" s="16">
        <f>VLOOKUP(C77,道具定价!$C:$F,4,0)*D77</f>
        <v>150</v>
      </c>
      <c r="F77" s="104" t="s">
        <v>608</v>
      </c>
      <c r="G77" s="16">
        <v>200</v>
      </c>
      <c r="H77" s="16">
        <f>VLOOKUP(F77,道具定价!$C:$F,4,0)*G77</f>
        <v>200</v>
      </c>
      <c r="I77" s="16">
        <f t="shared" ref="I77:I83" si="1">H77/E77</f>
        <v>1.33333333333333</v>
      </c>
      <c r="J77" s="16" t="s">
        <v>1595</v>
      </c>
      <c r="K77" s="16">
        <v>3</v>
      </c>
    </row>
    <row r="78" spans="2:11">
      <c r="B78" s="16">
        <v>2</v>
      </c>
      <c r="C78" s="16" t="s">
        <v>7</v>
      </c>
      <c r="D78" s="16">
        <v>1</v>
      </c>
      <c r="E78" s="16">
        <f>VLOOKUP(C78,道具定价!$C:$F,4,0)*D78</f>
        <v>150</v>
      </c>
      <c r="F78" s="104" t="s">
        <v>608</v>
      </c>
      <c r="G78" s="16">
        <v>200</v>
      </c>
      <c r="H78" s="16">
        <f>VLOOKUP(F78,道具定价!$C:$F,4,0)*G78</f>
        <v>200</v>
      </c>
      <c r="I78" s="16">
        <f t="shared" si="1"/>
        <v>1.33333333333333</v>
      </c>
      <c r="J78" s="16" t="s">
        <v>1595</v>
      </c>
      <c r="K78" s="16">
        <v>3</v>
      </c>
    </row>
    <row r="79" spans="2:11">
      <c r="B79" s="16">
        <v>3</v>
      </c>
      <c r="C79" s="16" t="s">
        <v>601</v>
      </c>
      <c r="D79" s="16">
        <v>100000</v>
      </c>
      <c r="E79" s="16">
        <f>VLOOKUP(C79,道具定价!$C:$F,4,0)*D79</f>
        <v>100</v>
      </c>
      <c r="F79" s="104" t="s">
        <v>608</v>
      </c>
      <c r="G79" s="16">
        <v>100</v>
      </c>
      <c r="H79" s="16">
        <f>VLOOKUP(F79,道具定价!$C:$F,4,0)*G79</f>
        <v>100</v>
      </c>
      <c r="I79" s="16">
        <f t="shared" si="1"/>
        <v>1</v>
      </c>
      <c r="J79" s="16" t="s">
        <v>1596</v>
      </c>
    </row>
    <row r="80" spans="2:11">
      <c r="B80" s="16">
        <v>4</v>
      </c>
      <c r="C80" s="16" t="s">
        <v>614</v>
      </c>
      <c r="D80" s="16">
        <v>2</v>
      </c>
      <c r="E80" s="16">
        <f>VLOOKUP(C80,道具定价!$C:$F,4,0)*D80</f>
        <v>20</v>
      </c>
      <c r="F80" s="104" t="s">
        <v>608</v>
      </c>
      <c r="G80" s="16">
        <v>20</v>
      </c>
      <c r="H80" s="16">
        <f>VLOOKUP(F80,道具定价!$C:$F,4,0)*G80</f>
        <v>20</v>
      </c>
      <c r="I80" s="16">
        <f t="shared" si="1"/>
        <v>1</v>
      </c>
      <c r="J80" s="16" t="s">
        <v>1596</v>
      </c>
    </row>
    <row r="81" spans="2:10">
      <c r="B81" s="16">
        <v>5</v>
      </c>
      <c r="C81" s="16" t="s">
        <v>670</v>
      </c>
      <c r="D81" s="16">
        <v>2</v>
      </c>
      <c r="E81" s="16">
        <f>VLOOKUP(C81,道具定价!$C:$F,4,0)*D81</f>
        <v>20</v>
      </c>
      <c r="F81" s="104" t="s">
        <v>608</v>
      </c>
      <c r="G81" s="16">
        <v>20</v>
      </c>
      <c r="H81" s="16">
        <f>VLOOKUP(F81,道具定价!$C:$F,4,0)*G81</f>
        <v>20</v>
      </c>
      <c r="I81" s="16">
        <f t="shared" si="1"/>
        <v>1</v>
      </c>
      <c r="J81" s="16" t="s">
        <v>1596</v>
      </c>
    </row>
    <row r="82" spans="2:10">
      <c r="B82" s="16">
        <v>6</v>
      </c>
      <c r="C82" s="16" t="s">
        <v>700</v>
      </c>
      <c r="D82" s="16">
        <v>5000</v>
      </c>
      <c r="E82" s="16">
        <f>VLOOKUP(C82,道具定价!$C:$F,4,0)*D82</f>
        <v>50</v>
      </c>
      <c r="F82" s="104" t="s">
        <v>608</v>
      </c>
      <c r="G82" s="16">
        <v>50</v>
      </c>
      <c r="H82" s="16">
        <f>VLOOKUP(F82,道具定价!$C:$F,4,0)*G82</f>
        <v>50</v>
      </c>
      <c r="I82" s="16">
        <f t="shared" si="1"/>
        <v>1</v>
      </c>
      <c r="J82" s="16" t="s">
        <v>1596</v>
      </c>
    </row>
    <row r="83" spans="2:10">
      <c r="B83" s="16">
        <v>7</v>
      </c>
      <c r="C83" s="16" t="s">
        <v>728</v>
      </c>
      <c r="D83" s="16">
        <v>5000</v>
      </c>
      <c r="E83" s="16">
        <f>VLOOKUP(C83,道具定价!$C:$F,4,0)*D83</f>
        <v>50</v>
      </c>
      <c r="F83" s="104" t="s">
        <v>608</v>
      </c>
      <c r="G83" s="16">
        <v>50</v>
      </c>
      <c r="H83" s="16">
        <f>VLOOKUP(F83,道具定价!$C:$F,4,0)*G83</f>
        <v>50</v>
      </c>
      <c r="I83" s="16">
        <f t="shared" si="1"/>
        <v>1</v>
      </c>
      <c r="J83" s="16" t="s">
        <v>1596</v>
      </c>
    </row>
    <row r="84" spans="2:10">
      <c r="B84" s="104"/>
      <c r="C84" s="104"/>
      <c r="D84" s="104"/>
      <c r="E84" s="104"/>
      <c r="F84" s="104"/>
      <c r="G84" s="104"/>
      <c r="H84" s="104"/>
      <c r="I84" s="104"/>
      <c r="J84" s="104"/>
    </row>
    <row r="85" spans="2:10">
      <c r="B85" s="217" t="s">
        <v>1479</v>
      </c>
      <c r="C85" s="104"/>
      <c r="D85" s="104"/>
      <c r="E85" s="104"/>
      <c r="F85" s="104"/>
      <c r="G85" s="104"/>
      <c r="H85" s="104"/>
      <c r="I85" s="104"/>
      <c r="J85" s="104"/>
    </row>
    <row r="86" spans="2:10">
      <c r="B86" s="104" t="s">
        <v>1597</v>
      </c>
      <c r="C86" s="104"/>
      <c r="D86" s="104"/>
      <c r="E86" s="104"/>
      <c r="F86" s="104"/>
      <c r="G86" s="104"/>
      <c r="H86" s="104"/>
      <c r="I86" s="104"/>
      <c r="J86" s="104"/>
    </row>
    <row r="87" spans="2:10">
      <c r="B87" s="104"/>
      <c r="C87" s="104"/>
      <c r="D87" s="104"/>
      <c r="E87" s="104"/>
      <c r="F87" s="104"/>
      <c r="G87" s="104"/>
      <c r="H87" s="104"/>
      <c r="I87" s="104"/>
      <c r="J87" s="104"/>
    </row>
    <row r="88" spans="2:10">
      <c r="B88" s="104"/>
      <c r="C88" s="104"/>
      <c r="D88" s="104"/>
      <c r="E88" s="104"/>
      <c r="F88" s="104"/>
      <c r="G88" s="104"/>
      <c r="H88" s="104"/>
      <c r="I88" s="104"/>
      <c r="J88" s="104"/>
    </row>
    <row r="89" spans="2:10">
      <c r="B89" s="104"/>
      <c r="C89" s="104"/>
      <c r="D89" s="104"/>
      <c r="E89" s="104"/>
      <c r="F89" s="104"/>
      <c r="G89" s="104"/>
      <c r="H89" s="104"/>
      <c r="I89" s="104"/>
      <c r="J89" s="104"/>
    </row>
    <row r="90" spans="2:10">
      <c r="B90" s="104"/>
      <c r="C90" s="104"/>
      <c r="D90" s="104"/>
      <c r="E90" s="104"/>
      <c r="F90" s="104"/>
      <c r="G90" s="104"/>
      <c r="H90" s="104"/>
      <c r="I90" s="104"/>
      <c r="J90" s="104"/>
    </row>
    <row r="91" spans="2:10">
      <c r="B91" s="104"/>
      <c r="C91" s="104"/>
      <c r="D91" s="104"/>
      <c r="E91" s="104"/>
      <c r="F91" s="104"/>
      <c r="G91" s="104"/>
      <c r="H91" s="104"/>
      <c r="I91" s="104"/>
      <c r="J91" s="104"/>
    </row>
    <row r="92" spans="2:10">
      <c r="B92" s="104"/>
      <c r="C92" s="104"/>
      <c r="D92" s="104"/>
      <c r="E92" s="104"/>
      <c r="F92" s="104"/>
      <c r="G92" s="104"/>
      <c r="H92" s="104"/>
      <c r="I92" s="104"/>
      <c r="J92" s="104"/>
    </row>
    <row r="93" spans="2:10">
      <c r="B93" s="104"/>
      <c r="C93" s="104"/>
      <c r="D93" s="104"/>
      <c r="E93" s="104"/>
      <c r="F93" s="104"/>
      <c r="G93" s="104"/>
      <c r="H93" s="104"/>
      <c r="I93" s="104"/>
      <c r="J93" s="104"/>
    </row>
    <row r="94" spans="2:10">
      <c r="B94" s="104"/>
      <c r="C94" s="104"/>
      <c r="D94" s="104"/>
      <c r="E94" s="104"/>
      <c r="F94" s="104"/>
      <c r="G94" s="104"/>
      <c r="H94" s="104"/>
      <c r="I94" s="104"/>
      <c r="J94" s="104"/>
    </row>
    <row r="95" spans="2:10">
      <c r="B95" s="104"/>
      <c r="C95" s="104"/>
      <c r="D95" s="104"/>
      <c r="E95" s="104"/>
      <c r="F95" s="104"/>
      <c r="G95" s="104"/>
      <c r="H95" s="104"/>
      <c r="I95" s="104"/>
      <c r="J95" s="104"/>
    </row>
    <row r="96" spans="2:10">
      <c r="B96" s="104"/>
      <c r="C96" s="104"/>
      <c r="D96" s="104"/>
      <c r="E96" s="104"/>
      <c r="F96" s="104"/>
      <c r="G96" s="104"/>
      <c r="H96" s="104"/>
      <c r="I96" s="104"/>
      <c r="J96" s="104"/>
    </row>
    <row r="97" spans="2:10">
      <c r="B97" s="104"/>
      <c r="C97" s="104"/>
      <c r="D97" s="104"/>
      <c r="E97" s="104"/>
      <c r="F97" s="104"/>
      <c r="G97" s="104"/>
      <c r="H97" s="104"/>
      <c r="I97" s="104"/>
      <c r="J97" s="104"/>
    </row>
    <row r="98" spans="2:10">
      <c r="B98" s="104"/>
      <c r="C98" s="104"/>
      <c r="D98" s="104"/>
      <c r="E98" s="104"/>
      <c r="F98" s="104"/>
      <c r="G98" s="104"/>
      <c r="H98" s="104"/>
      <c r="I98" s="104"/>
      <c r="J98" s="104"/>
    </row>
    <row r="99" spans="2:10">
      <c r="B99" s="104"/>
      <c r="C99" s="104"/>
      <c r="D99" s="104"/>
      <c r="E99" s="104"/>
      <c r="F99" s="104"/>
      <c r="G99" s="104"/>
      <c r="H99" s="104"/>
      <c r="I99" s="104"/>
      <c r="J99" s="104"/>
    </row>
    <row r="100" spans="2:10">
      <c r="B100" s="104"/>
      <c r="C100" s="104"/>
      <c r="D100" s="104"/>
      <c r="E100" s="104"/>
      <c r="F100" s="104"/>
      <c r="G100" s="104"/>
      <c r="H100" s="104"/>
      <c r="I100" s="104"/>
      <c r="J100" s="104"/>
    </row>
    <row r="101" spans="2:10">
      <c r="B101" s="104"/>
      <c r="C101" s="104"/>
      <c r="D101" s="104"/>
      <c r="E101" s="104"/>
      <c r="F101" s="104"/>
      <c r="G101" s="104"/>
      <c r="H101" s="104"/>
      <c r="I101" s="104"/>
      <c r="J101" s="104"/>
    </row>
  </sheetData>
  <mergeCells count="2">
    <mergeCell ref="B1:E1"/>
    <mergeCell ref="B12:J12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213"/>
  <sheetViews>
    <sheetView topLeftCell="A4" workbookViewId="0">
      <selection activeCell="B65" sqref="B65:C66"/>
    </sheetView>
  </sheetViews>
  <sheetFormatPr defaultColWidth="9" defaultRowHeight="13.5"/>
  <cols>
    <col min="2" max="2" width="17.125" style="14" customWidth="1"/>
    <col min="8" max="8" width="18" style="14" customWidth="1"/>
    <col min="11" max="11" width="9.375" style="14" customWidth="1"/>
    <col min="12" max="12" width="17.625" style="14" customWidth="1"/>
    <col min="18" max="19" width="9.375" style="14" customWidth="1"/>
  </cols>
  <sheetData>
    <row r="1" spans="2:19">
      <c r="B1" t="s">
        <v>589</v>
      </c>
      <c r="C1" t="s">
        <v>590</v>
      </c>
      <c r="H1" t="s">
        <v>567</v>
      </c>
      <c r="L1" t="s">
        <v>555</v>
      </c>
    </row>
    <row r="2" ht="16.5" customHeight="1" spans="2:19">
      <c r="B2" s="3" t="s">
        <v>5</v>
      </c>
      <c r="C2" s="3">
        <v>2</v>
      </c>
      <c r="G2" s="146">
        <v>40000001</v>
      </c>
      <c r="H2" t="str">
        <f t="array" ref="H2:H101">_xlfn.TOCOL(_xlfn.HSTACK(通行证!C17:C116),1)</f>
        <v>金币</v>
      </c>
      <c r="I2">
        <f t="shared" ref="I2:I65" si="0">VLOOKUP(H2,$B:$C,2,0)</f>
        <v>1</v>
      </c>
      <c r="J2">
        <f t="array" ref="J2:J101">_xlfn.TOCOL(_xlfn.HSTACK(通行证!D17:D116),1)</f>
        <v>10000</v>
      </c>
      <c r="K2">
        <f t="array" ref="K2:K213">_xlfn.TOCOL(_xlfn.HSTACK(R2:R201,S2:S201),1)</f>
        <v>40001001</v>
      </c>
      <c r="L2" t="str">
        <f t="array" ref="L2:L113">_xlfn.TOCOL(_xlfn.HSTACK(通行证!F17:F116,通行证!I17:I116),1)</f>
        <v>钻石</v>
      </c>
      <c r="M2">
        <f t="shared" ref="M2:M65" si="1">VLOOKUP(L2,$B:$C,2,0)</f>
        <v>2</v>
      </c>
      <c r="N2">
        <f t="array" ref="N2:N113">_xlfn.TOCOL(_xlfn.HSTACK(通行证!G17:G116,通行证!J17:J116),1)</f>
        <v>680</v>
      </c>
      <c r="Q2" s="146">
        <v>40000001</v>
      </c>
      <c r="R2">
        <v>40001001</v>
      </c>
    </row>
    <row r="3" ht="16.5" customHeight="1" spans="2:19">
      <c r="B3" s="27" t="s">
        <v>1598</v>
      </c>
      <c r="C3" s="3">
        <v>100</v>
      </c>
      <c r="G3" s="146">
        <v>40000002</v>
      </c>
      <c r="H3" t="str">
        <v>角色经验中2000</v>
      </c>
      <c r="I3">
        <f t="shared" si="0"/>
        <v>101</v>
      </c>
      <c r="J3">
        <v>5</v>
      </c>
      <c r="K3">
        <v>40001002</v>
      </c>
      <c r="L3" t="str">
        <v>角色经验高10000</v>
      </c>
      <c r="M3">
        <f t="shared" si="1"/>
        <v>102</v>
      </c>
      <c r="N3">
        <v>4</v>
      </c>
      <c r="Q3" s="146">
        <v>40000002</v>
      </c>
      <c r="R3">
        <v>40001002</v>
      </c>
    </row>
    <row r="4" ht="16.5" customHeight="1" spans="2:19">
      <c r="B4" s="27" t="s">
        <v>1599</v>
      </c>
      <c r="C4" s="3">
        <v>101</v>
      </c>
      <c r="G4" s="146">
        <v>40000003</v>
      </c>
      <c r="H4" t="str">
        <v>专武经验中4000</v>
      </c>
      <c r="I4">
        <f t="shared" si="0"/>
        <v>109</v>
      </c>
      <c r="J4">
        <v>5</v>
      </c>
      <c r="K4">
        <v>40001003</v>
      </c>
      <c r="L4" t="str">
        <v>专武经验高20000</v>
      </c>
      <c r="M4">
        <f t="shared" si="1"/>
        <v>110</v>
      </c>
      <c r="N4">
        <v>4</v>
      </c>
      <c r="Q4" s="146">
        <v>40000003</v>
      </c>
      <c r="R4">
        <v>40001003</v>
      </c>
    </row>
    <row r="5" ht="16.5" customHeight="1" spans="2:19">
      <c r="B5" s="27" t="s">
        <v>1600</v>
      </c>
      <c r="C5" s="3">
        <v>102</v>
      </c>
      <c r="G5" s="146">
        <v>40000004</v>
      </c>
      <c r="H5" t="str">
        <v>主角装备经验</v>
      </c>
      <c r="I5">
        <f t="shared" si="0"/>
        <v>13</v>
      </c>
      <c r="J5">
        <v>1000</v>
      </c>
      <c r="K5">
        <v>40001004</v>
      </c>
      <c r="L5" t="str">
        <v>主角装备经验</v>
      </c>
      <c r="M5">
        <f t="shared" si="1"/>
        <v>13</v>
      </c>
      <c r="N5">
        <v>4000</v>
      </c>
      <c r="Q5" s="146">
        <v>40000004</v>
      </c>
      <c r="R5">
        <v>40001004</v>
      </c>
    </row>
    <row r="6" ht="16.5" customHeight="1" spans="2:19">
      <c r="B6" s="3" t="s">
        <v>1601</v>
      </c>
      <c r="C6" s="3">
        <v>1001</v>
      </c>
      <c r="G6" s="146">
        <v>40000005</v>
      </c>
      <c r="H6" t="str">
        <v>体力药</v>
      </c>
      <c r="I6">
        <f t="shared" si="0"/>
        <v>105</v>
      </c>
      <c r="J6">
        <v>1</v>
      </c>
      <c r="K6">
        <v>40001005</v>
      </c>
      <c r="L6" t="str">
        <v>体力药</v>
      </c>
      <c r="M6">
        <f t="shared" si="1"/>
        <v>105</v>
      </c>
      <c r="N6">
        <v>2</v>
      </c>
      <c r="Q6" s="146">
        <v>40000005</v>
      </c>
      <c r="R6">
        <v>40001005</v>
      </c>
      <c r="S6">
        <v>40001005</v>
      </c>
    </row>
    <row r="7" ht="16.5" customHeight="1" spans="2:19">
      <c r="B7" s="3" t="s">
        <v>1602</v>
      </c>
      <c r="C7" s="3">
        <v>1002</v>
      </c>
      <c r="G7" s="146">
        <v>40000006</v>
      </c>
      <c r="H7" t="str">
        <v>金币</v>
      </c>
      <c r="I7">
        <f t="shared" si="0"/>
        <v>1</v>
      </c>
      <c r="J7">
        <v>10000</v>
      </c>
      <c r="K7">
        <v>40001005</v>
      </c>
      <c r="L7" t="str">
        <v>额外星盘点</v>
      </c>
      <c r="M7">
        <f t="shared" si="1"/>
        <v>103</v>
      </c>
      <c r="N7">
        <v>1</v>
      </c>
      <c r="Q7" s="146">
        <v>40000006</v>
      </c>
      <c r="R7">
        <v>40001006</v>
      </c>
    </row>
    <row r="8" ht="16.5" customHeight="1" spans="2:19">
      <c r="B8" s="3" t="s">
        <v>1603</v>
      </c>
      <c r="C8" s="3">
        <v>1003</v>
      </c>
      <c r="G8" s="146">
        <v>40000007</v>
      </c>
      <c r="H8" t="str">
        <v>角色经验中2000</v>
      </c>
      <c r="I8">
        <f t="shared" si="0"/>
        <v>101</v>
      </c>
      <c r="J8">
        <v>5</v>
      </c>
      <c r="K8">
        <v>40001006</v>
      </c>
      <c r="L8" t="str">
        <v>金币</v>
      </c>
      <c r="M8">
        <f t="shared" si="1"/>
        <v>1</v>
      </c>
      <c r="N8">
        <v>40000</v>
      </c>
      <c r="Q8" s="146">
        <v>40000007</v>
      </c>
      <c r="R8">
        <v>40001007</v>
      </c>
    </row>
    <row r="9" ht="16.5" customHeight="1" spans="2:19">
      <c r="B9" s="3" t="s">
        <v>1604</v>
      </c>
      <c r="C9" s="3">
        <v>1004</v>
      </c>
      <c r="G9" s="146">
        <v>40000008</v>
      </c>
      <c r="H9" t="str">
        <v>专武经验中4000</v>
      </c>
      <c r="I9">
        <f t="shared" si="0"/>
        <v>109</v>
      </c>
      <c r="J9">
        <v>5</v>
      </c>
      <c r="K9">
        <v>40001007</v>
      </c>
      <c r="L9" t="str">
        <v>角色经验高10000</v>
      </c>
      <c r="M9">
        <f t="shared" si="1"/>
        <v>102</v>
      </c>
      <c r="N9">
        <v>4</v>
      </c>
      <c r="Q9" s="146">
        <v>40000008</v>
      </c>
      <c r="R9">
        <v>40001008</v>
      </c>
    </row>
    <row r="10" ht="16.5" customHeight="1" spans="2:19">
      <c r="B10" s="3" t="s">
        <v>1605</v>
      </c>
      <c r="C10" s="3">
        <v>1005</v>
      </c>
      <c r="G10" s="146">
        <v>40000009</v>
      </c>
      <c r="H10" t="str">
        <v>主角装备经验</v>
      </c>
      <c r="I10">
        <f t="shared" si="0"/>
        <v>13</v>
      </c>
      <c r="J10">
        <v>1000</v>
      </c>
      <c r="K10">
        <v>40001008</v>
      </c>
      <c r="L10" t="str">
        <v>专武经验高20000</v>
      </c>
      <c r="M10">
        <f t="shared" si="1"/>
        <v>110</v>
      </c>
      <c r="N10">
        <v>4</v>
      </c>
      <c r="Q10" s="146">
        <v>40000009</v>
      </c>
      <c r="R10">
        <v>40001009</v>
      </c>
    </row>
    <row r="11" ht="16.5" customHeight="1" spans="2:19">
      <c r="B11" s="3" t="s">
        <v>1606</v>
      </c>
      <c r="C11" s="3">
        <v>1006</v>
      </c>
      <c r="G11" s="146">
        <v>40000010</v>
      </c>
      <c r="H11" t="str">
        <v>钻石</v>
      </c>
      <c r="I11">
        <f t="shared" si="0"/>
        <v>2</v>
      </c>
      <c r="J11">
        <v>50</v>
      </c>
      <c r="K11">
        <v>40001009</v>
      </c>
      <c r="L11" t="str">
        <v>主角装备经验</v>
      </c>
      <c r="M11">
        <f t="shared" si="1"/>
        <v>13</v>
      </c>
      <c r="N11">
        <v>4000</v>
      </c>
      <c r="Q11" s="146">
        <v>40000010</v>
      </c>
      <c r="R11">
        <v>40001010</v>
      </c>
      <c r="S11">
        <v>40001010</v>
      </c>
    </row>
    <row r="12" ht="16.5" customHeight="1" spans="2:19">
      <c r="B12" s="3" t="s">
        <v>1607</v>
      </c>
      <c r="C12" s="3">
        <v>1007</v>
      </c>
      <c r="G12" s="146">
        <v>40000011</v>
      </c>
      <c r="H12" t="str">
        <v>金币</v>
      </c>
      <c r="I12">
        <f t="shared" si="0"/>
        <v>1</v>
      </c>
      <c r="J12">
        <v>10000</v>
      </c>
      <c r="K12">
        <v>40001010</v>
      </c>
      <c r="L12" t="str">
        <v>角色抽卡券普通</v>
      </c>
      <c r="M12">
        <f t="shared" si="1"/>
        <v>106</v>
      </c>
      <c r="N12">
        <v>2</v>
      </c>
      <c r="Q12" s="146">
        <v>40000011</v>
      </c>
      <c r="R12">
        <v>40001011</v>
      </c>
    </row>
    <row r="13" ht="16.5" customHeight="1" spans="2:19">
      <c r="B13" s="3" t="s">
        <v>1608</v>
      </c>
      <c r="C13" s="3">
        <v>1008</v>
      </c>
      <c r="G13" s="146">
        <v>40000012</v>
      </c>
      <c r="H13" t="str">
        <v>角色经验中2000</v>
      </c>
      <c r="I13">
        <f t="shared" si="0"/>
        <v>101</v>
      </c>
      <c r="J13">
        <v>5</v>
      </c>
      <c r="K13">
        <v>40001010</v>
      </c>
      <c r="L13" t="str">
        <v>专武抽卡券普通</v>
      </c>
      <c r="M13">
        <f t="shared" si="1"/>
        <v>107</v>
      </c>
      <c r="N13">
        <v>2</v>
      </c>
      <c r="Q13" s="146">
        <v>40000012</v>
      </c>
      <c r="R13">
        <v>40001012</v>
      </c>
    </row>
    <row r="14" ht="16.5" customHeight="1" spans="2:19">
      <c r="B14" s="3" t="s">
        <v>1609</v>
      </c>
      <c r="C14" s="3">
        <v>1009</v>
      </c>
      <c r="G14" s="146">
        <v>40000013</v>
      </c>
      <c r="H14" t="str">
        <v>专武经验中4000</v>
      </c>
      <c r="I14">
        <f t="shared" si="0"/>
        <v>109</v>
      </c>
      <c r="J14">
        <v>5</v>
      </c>
      <c r="K14">
        <v>40001011</v>
      </c>
      <c r="L14" t="str">
        <v>金币</v>
      </c>
      <c r="M14">
        <f t="shared" si="1"/>
        <v>1</v>
      </c>
      <c r="N14">
        <v>40000</v>
      </c>
      <c r="Q14" s="146">
        <v>40000013</v>
      </c>
      <c r="R14">
        <v>40001013</v>
      </c>
    </row>
    <row r="15" ht="16.5" customHeight="1" spans="2:19">
      <c r="B15" s="3" t="s">
        <v>6</v>
      </c>
      <c r="C15" s="3">
        <v>106</v>
      </c>
      <c r="G15" s="146">
        <v>40000014</v>
      </c>
      <c r="H15" t="str">
        <v>主角装备经验</v>
      </c>
      <c r="I15">
        <f t="shared" si="0"/>
        <v>13</v>
      </c>
      <c r="J15">
        <v>1000</v>
      </c>
      <c r="K15">
        <v>40001012</v>
      </c>
      <c r="L15" t="str">
        <v>角色经验高10000</v>
      </c>
      <c r="M15">
        <f t="shared" si="1"/>
        <v>102</v>
      </c>
      <c r="N15">
        <v>4</v>
      </c>
      <c r="Q15" s="146">
        <v>40000014</v>
      </c>
      <c r="R15">
        <v>40001014</v>
      </c>
    </row>
    <row r="16" ht="16.5" customHeight="1" spans="2:19">
      <c r="B16" s="3" t="s">
        <v>1610</v>
      </c>
      <c r="C16" s="3">
        <v>13</v>
      </c>
      <c r="G16" s="146">
        <v>40000015</v>
      </c>
      <c r="H16" t="str">
        <v>史诗装备兑换材料</v>
      </c>
      <c r="I16">
        <f t="shared" si="0"/>
        <v>24</v>
      </c>
      <c r="J16">
        <v>5</v>
      </c>
      <c r="K16">
        <v>40001013</v>
      </c>
      <c r="L16" t="str">
        <v>专武经验高20000</v>
      </c>
      <c r="M16">
        <f t="shared" si="1"/>
        <v>110</v>
      </c>
      <c r="N16">
        <v>4</v>
      </c>
      <c r="Q16" s="146">
        <v>40000015</v>
      </c>
      <c r="R16">
        <v>40001015</v>
      </c>
      <c r="S16">
        <v>40001015</v>
      </c>
    </row>
    <row r="17" ht="16.5" customHeight="1" spans="2:19">
      <c r="B17" s="3" t="s">
        <v>1611</v>
      </c>
      <c r="C17" s="3">
        <v>5</v>
      </c>
      <c r="G17" s="146">
        <v>40000016</v>
      </c>
      <c r="H17" t="str">
        <v>金币</v>
      </c>
      <c r="I17">
        <f t="shared" si="0"/>
        <v>1</v>
      </c>
      <c r="J17">
        <v>10000</v>
      </c>
      <c r="K17">
        <v>40001014</v>
      </c>
      <c r="L17" t="str">
        <v>主角装备经验</v>
      </c>
      <c r="M17">
        <f t="shared" si="1"/>
        <v>13</v>
      </c>
      <c r="N17">
        <v>4000</v>
      </c>
      <c r="Q17" s="146">
        <v>40000016</v>
      </c>
      <c r="R17">
        <v>40001016</v>
      </c>
    </row>
    <row r="18" ht="17.25" customHeight="1" spans="2:19">
      <c r="B18" s="3" t="s">
        <v>1612</v>
      </c>
      <c r="C18" s="15">
        <v>1010</v>
      </c>
      <c r="G18" s="146">
        <v>40000017</v>
      </c>
      <c r="H18" t="str">
        <v>角色经验中2000</v>
      </c>
      <c r="I18">
        <f t="shared" si="0"/>
        <v>101</v>
      </c>
      <c r="J18">
        <v>5</v>
      </c>
      <c r="K18">
        <v>40001015</v>
      </c>
      <c r="L18" t="str">
        <v>体力药</v>
      </c>
      <c r="M18">
        <f t="shared" si="1"/>
        <v>105</v>
      </c>
      <c r="N18">
        <v>2</v>
      </c>
      <c r="Q18" s="146">
        <v>40000017</v>
      </c>
      <c r="R18">
        <v>40001017</v>
      </c>
    </row>
    <row r="19" ht="17.25" customHeight="1" spans="2:19">
      <c r="B19" s="3" t="s">
        <v>1613</v>
      </c>
      <c r="C19" s="15">
        <v>1011</v>
      </c>
      <c r="G19" s="146">
        <v>40000018</v>
      </c>
      <c r="H19" t="str">
        <v>专武经验中4000</v>
      </c>
      <c r="I19">
        <f t="shared" si="0"/>
        <v>109</v>
      </c>
      <c r="J19">
        <v>5</v>
      </c>
      <c r="K19">
        <v>40001015</v>
      </c>
      <c r="L19" t="str">
        <v>史诗装备兑换材料</v>
      </c>
      <c r="M19">
        <f t="shared" si="1"/>
        <v>24</v>
      </c>
      <c r="N19">
        <v>30</v>
      </c>
      <c r="Q19" s="146">
        <v>40000018</v>
      </c>
      <c r="R19">
        <v>40001018</v>
      </c>
    </row>
    <row r="20" ht="17.25" customHeight="1" spans="2:19">
      <c r="B20" s="3" t="s">
        <v>1614</v>
      </c>
      <c r="C20" s="15">
        <v>1012</v>
      </c>
      <c r="G20" s="146">
        <v>40000019</v>
      </c>
      <c r="H20" t="str">
        <v>主角装备经验</v>
      </c>
      <c r="I20">
        <f t="shared" si="0"/>
        <v>13</v>
      </c>
      <c r="J20">
        <v>1000</v>
      </c>
      <c r="K20">
        <v>40001016</v>
      </c>
      <c r="L20" t="str">
        <v>金币</v>
      </c>
      <c r="M20">
        <f t="shared" si="1"/>
        <v>1</v>
      </c>
      <c r="N20">
        <v>40000</v>
      </c>
      <c r="Q20" s="146">
        <v>40000019</v>
      </c>
      <c r="R20">
        <v>40001019</v>
      </c>
    </row>
    <row r="21" ht="17.25" customHeight="1" spans="2:19">
      <c r="B21" s="3" t="s">
        <v>1615</v>
      </c>
      <c r="C21" s="15">
        <v>1013</v>
      </c>
      <c r="G21" s="146">
        <v>40000020</v>
      </c>
      <c r="H21" t="str">
        <v>钻石</v>
      </c>
      <c r="I21">
        <f t="shared" si="0"/>
        <v>2</v>
      </c>
      <c r="J21">
        <v>50</v>
      </c>
      <c r="K21">
        <v>40001017</v>
      </c>
      <c r="L21" t="str">
        <v>角色经验高10000</v>
      </c>
      <c r="M21">
        <f t="shared" si="1"/>
        <v>102</v>
      </c>
      <c r="N21">
        <v>4</v>
      </c>
      <c r="Q21" s="146">
        <v>40000020</v>
      </c>
      <c r="R21">
        <v>40001020</v>
      </c>
      <c r="S21">
        <v>40001020</v>
      </c>
    </row>
    <row r="22" ht="17.25" customHeight="1" spans="2:19">
      <c r="B22" s="3" t="s">
        <v>1616</v>
      </c>
      <c r="C22" s="15">
        <v>1014</v>
      </c>
      <c r="G22" s="146">
        <v>40000021</v>
      </c>
      <c r="H22" t="str">
        <v>金币</v>
      </c>
      <c r="I22">
        <f t="shared" si="0"/>
        <v>1</v>
      </c>
      <c r="J22">
        <v>20000</v>
      </c>
      <c r="K22">
        <v>40001018</v>
      </c>
      <c r="L22" t="str">
        <v>专武经验高20000</v>
      </c>
      <c r="M22">
        <f t="shared" si="1"/>
        <v>110</v>
      </c>
      <c r="N22">
        <v>4</v>
      </c>
      <c r="Q22" s="146">
        <v>40000021</v>
      </c>
      <c r="R22">
        <v>40001021</v>
      </c>
    </row>
    <row r="23" ht="17.25" customHeight="1" spans="2:19">
      <c r="B23" s="3" t="s">
        <v>1617</v>
      </c>
      <c r="C23" s="15">
        <v>1015</v>
      </c>
      <c r="G23" s="146">
        <v>40000022</v>
      </c>
      <c r="H23" t="str">
        <v>角色经验中2000</v>
      </c>
      <c r="I23">
        <f t="shared" si="0"/>
        <v>101</v>
      </c>
      <c r="J23">
        <v>10</v>
      </c>
      <c r="K23">
        <v>40001019</v>
      </c>
      <c r="L23" t="str">
        <v>主角装备经验</v>
      </c>
      <c r="M23">
        <f t="shared" si="1"/>
        <v>13</v>
      </c>
      <c r="N23">
        <v>4000</v>
      </c>
      <c r="Q23" s="146">
        <v>40000022</v>
      </c>
      <c r="R23">
        <v>40001022</v>
      </c>
    </row>
    <row r="24" ht="17.25" customHeight="1" spans="2:19">
      <c r="B24" s="3" t="s">
        <v>1618</v>
      </c>
      <c r="C24" s="15">
        <v>1016</v>
      </c>
      <c r="G24" s="146">
        <v>40000023</v>
      </c>
      <c r="H24" t="str">
        <v>专武经验中4000</v>
      </c>
      <c r="I24">
        <f t="shared" si="0"/>
        <v>109</v>
      </c>
      <c r="J24">
        <v>10</v>
      </c>
      <c r="K24">
        <v>40001020</v>
      </c>
      <c r="L24" t="str">
        <v>角色抽卡券普通</v>
      </c>
      <c r="M24">
        <f t="shared" si="1"/>
        <v>106</v>
      </c>
      <c r="N24">
        <v>2</v>
      </c>
      <c r="Q24" s="146">
        <v>40000023</v>
      </c>
      <c r="R24">
        <v>40001023</v>
      </c>
    </row>
    <row r="25" ht="17.25" customHeight="1" spans="2:19">
      <c r="B25" s="3" t="s">
        <v>1619</v>
      </c>
      <c r="C25" s="15">
        <v>1017</v>
      </c>
      <c r="G25" s="146">
        <v>40000024</v>
      </c>
      <c r="H25" t="str">
        <v>主角装备经验</v>
      </c>
      <c r="I25">
        <f t="shared" si="0"/>
        <v>13</v>
      </c>
      <c r="J25">
        <v>2000</v>
      </c>
      <c r="K25">
        <v>40001020</v>
      </c>
      <c r="L25" t="str">
        <v>专武抽卡券普通</v>
      </c>
      <c r="M25">
        <f t="shared" si="1"/>
        <v>107</v>
      </c>
      <c r="N25">
        <v>2</v>
      </c>
      <c r="Q25" s="146">
        <v>40000024</v>
      </c>
      <c r="R25">
        <v>40001024</v>
      </c>
    </row>
    <row r="26" ht="17.25" customHeight="1" spans="2:19">
      <c r="B26" s="3" t="s">
        <v>1620</v>
      </c>
      <c r="C26" s="15">
        <v>1018</v>
      </c>
      <c r="G26" s="146">
        <v>40000025</v>
      </c>
      <c r="H26" t="str">
        <v>体力药</v>
      </c>
      <c r="I26">
        <f t="shared" si="0"/>
        <v>105</v>
      </c>
      <c r="J26">
        <v>1</v>
      </c>
      <c r="K26">
        <v>40001021</v>
      </c>
      <c r="L26" t="str">
        <v>金币</v>
      </c>
      <c r="M26">
        <f t="shared" si="1"/>
        <v>1</v>
      </c>
      <c r="N26">
        <v>80000</v>
      </c>
      <c r="Q26" s="146">
        <v>40000025</v>
      </c>
      <c r="R26">
        <v>40001025</v>
      </c>
      <c r="S26">
        <v>40001025</v>
      </c>
    </row>
    <row r="27" ht="17.25" customHeight="1" spans="2:19">
      <c r="B27" s="3" t="s">
        <v>1621</v>
      </c>
      <c r="C27" s="15">
        <v>2502</v>
      </c>
      <c r="G27" s="146">
        <v>40000026</v>
      </c>
      <c r="H27" t="str">
        <v>金币</v>
      </c>
      <c r="I27">
        <f t="shared" si="0"/>
        <v>1</v>
      </c>
      <c r="J27">
        <v>20000</v>
      </c>
      <c r="K27">
        <v>40001022</v>
      </c>
      <c r="L27" t="str">
        <v>角色经验高10000</v>
      </c>
      <c r="M27">
        <f t="shared" si="1"/>
        <v>102</v>
      </c>
      <c r="N27">
        <v>8</v>
      </c>
      <c r="Q27" s="146">
        <v>40000026</v>
      </c>
      <c r="R27">
        <v>40001026</v>
      </c>
    </row>
    <row r="28" ht="17.25" customHeight="1" spans="2:19">
      <c r="B28" s="3" t="s">
        <v>1622</v>
      </c>
      <c r="C28" s="15">
        <v>2503</v>
      </c>
      <c r="G28" s="146">
        <v>40000027</v>
      </c>
      <c r="H28" t="str">
        <v>角色经验中2000</v>
      </c>
      <c r="I28">
        <f t="shared" si="0"/>
        <v>101</v>
      </c>
      <c r="J28">
        <v>10</v>
      </c>
      <c r="K28">
        <v>40001023</v>
      </c>
      <c r="L28" t="str">
        <v>专武经验高20000</v>
      </c>
      <c r="M28">
        <f t="shared" si="1"/>
        <v>110</v>
      </c>
      <c r="N28">
        <v>8</v>
      </c>
      <c r="Q28" s="146">
        <v>40000027</v>
      </c>
      <c r="R28">
        <v>40001027</v>
      </c>
    </row>
    <row r="29" ht="17.25" customHeight="1" spans="2:19">
      <c r="B29" s="3" t="s">
        <v>1623</v>
      </c>
      <c r="C29" s="15">
        <v>1019</v>
      </c>
      <c r="G29" s="146">
        <v>40000028</v>
      </c>
      <c r="H29" t="str">
        <v>专武经验中4000</v>
      </c>
      <c r="I29">
        <f t="shared" si="0"/>
        <v>109</v>
      </c>
      <c r="J29">
        <v>10</v>
      </c>
      <c r="K29">
        <v>40001024</v>
      </c>
      <c r="L29" t="str">
        <v>主角装备经验</v>
      </c>
      <c r="M29">
        <f t="shared" si="1"/>
        <v>13</v>
      </c>
      <c r="N29">
        <v>8000</v>
      </c>
      <c r="Q29" s="146">
        <v>40000028</v>
      </c>
      <c r="R29">
        <v>40001028</v>
      </c>
    </row>
    <row r="30" ht="17.25" customHeight="1" spans="2:19">
      <c r="B30" s="3" t="s">
        <v>1624</v>
      </c>
      <c r="C30" s="15">
        <v>1022</v>
      </c>
      <c r="G30" s="146">
        <v>40000029</v>
      </c>
      <c r="H30" t="str">
        <v>主角装备经验</v>
      </c>
      <c r="I30">
        <f t="shared" si="0"/>
        <v>13</v>
      </c>
      <c r="J30">
        <v>2000</v>
      </c>
      <c r="K30">
        <v>40001025</v>
      </c>
      <c r="L30" t="str">
        <v>体力药</v>
      </c>
      <c r="M30">
        <f t="shared" si="1"/>
        <v>105</v>
      </c>
      <c r="N30">
        <v>3</v>
      </c>
      <c r="Q30" s="146">
        <v>40000029</v>
      </c>
      <c r="R30">
        <v>40001029</v>
      </c>
    </row>
    <row r="31" ht="17.25" customHeight="1" spans="2:19">
      <c r="B31" s="3" t="s">
        <v>1625</v>
      </c>
      <c r="C31" s="15">
        <v>1020</v>
      </c>
      <c r="G31" s="146">
        <v>40000030</v>
      </c>
      <c r="H31" t="str">
        <v>钻石</v>
      </c>
      <c r="I31">
        <f t="shared" si="0"/>
        <v>2</v>
      </c>
      <c r="J31">
        <v>50</v>
      </c>
      <c r="K31">
        <v>40001025</v>
      </c>
      <c r="L31" t="str">
        <v>额外星盘点</v>
      </c>
      <c r="M31">
        <f t="shared" si="1"/>
        <v>103</v>
      </c>
      <c r="N31">
        <v>1</v>
      </c>
      <c r="Q31" s="146">
        <v>40000030</v>
      </c>
      <c r="R31">
        <v>40001030</v>
      </c>
      <c r="S31">
        <v>40001030</v>
      </c>
    </row>
    <row r="32" ht="17.25" customHeight="1" spans="2:19">
      <c r="B32" s="3" t="s">
        <v>1626</v>
      </c>
      <c r="C32" s="15">
        <v>1023</v>
      </c>
      <c r="G32" s="146">
        <v>40000031</v>
      </c>
      <c r="H32" t="str">
        <v>金币</v>
      </c>
      <c r="I32">
        <f t="shared" si="0"/>
        <v>1</v>
      </c>
      <c r="J32">
        <v>20000</v>
      </c>
      <c r="K32">
        <v>40001026</v>
      </c>
      <c r="L32" t="str">
        <v>金币</v>
      </c>
      <c r="M32">
        <f t="shared" si="1"/>
        <v>1</v>
      </c>
      <c r="N32">
        <v>80000</v>
      </c>
      <c r="Q32" s="146">
        <v>40000031</v>
      </c>
      <c r="R32">
        <v>40001031</v>
      </c>
    </row>
    <row r="33" ht="17.25" customHeight="1" spans="2:19">
      <c r="B33" s="3" t="s">
        <v>1627</v>
      </c>
      <c r="C33" s="15">
        <v>1021</v>
      </c>
      <c r="G33" s="146">
        <v>40000032</v>
      </c>
      <c r="H33" t="str">
        <v>角色经验中2000</v>
      </c>
      <c r="I33">
        <f t="shared" si="0"/>
        <v>101</v>
      </c>
      <c r="J33">
        <v>10</v>
      </c>
      <c r="K33">
        <v>40001027</v>
      </c>
      <c r="L33" t="str">
        <v>角色经验高10000</v>
      </c>
      <c r="M33">
        <f t="shared" si="1"/>
        <v>102</v>
      </c>
      <c r="N33">
        <v>8</v>
      </c>
      <c r="Q33" s="146">
        <v>40000032</v>
      </c>
      <c r="R33">
        <v>40001032</v>
      </c>
    </row>
    <row r="34" ht="17.25" customHeight="1" spans="2:19">
      <c r="B34" s="3" t="s">
        <v>1628</v>
      </c>
      <c r="C34" s="15">
        <v>1024</v>
      </c>
      <c r="G34" s="146">
        <v>40000033</v>
      </c>
      <c r="H34" t="str">
        <v>专武经验中4000</v>
      </c>
      <c r="I34">
        <f t="shared" si="0"/>
        <v>109</v>
      </c>
      <c r="J34">
        <v>10</v>
      </c>
      <c r="K34">
        <v>40001028</v>
      </c>
      <c r="L34" t="str">
        <v>专武经验高20000</v>
      </c>
      <c r="M34">
        <f t="shared" si="1"/>
        <v>110</v>
      </c>
      <c r="N34">
        <v>8</v>
      </c>
      <c r="Q34" s="146">
        <v>40000033</v>
      </c>
      <c r="R34">
        <v>40001033</v>
      </c>
    </row>
    <row r="35" ht="17.25" customHeight="1" spans="2:19">
      <c r="B35" s="3" t="s">
        <v>1629</v>
      </c>
      <c r="C35" s="15">
        <v>1025</v>
      </c>
      <c r="G35" s="146">
        <v>40000034</v>
      </c>
      <c r="H35" t="str">
        <v>主角装备经验</v>
      </c>
      <c r="I35">
        <f t="shared" si="0"/>
        <v>13</v>
      </c>
      <c r="J35">
        <v>2000</v>
      </c>
      <c r="K35">
        <v>40001029</v>
      </c>
      <c r="L35" t="str">
        <v>主角装备经验</v>
      </c>
      <c r="M35">
        <f t="shared" si="1"/>
        <v>13</v>
      </c>
      <c r="N35">
        <v>8000</v>
      </c>
      <c r="Q35" s="146">
        <v>40000034</v>
      </c>
      <c r="R35">
        <v>40001034</v>
      </c>
    </row>
    <row r="36" ht="17.25" customHeight="1" spans="2:19">
      <c r="B36" s="3" t="s">
        <v>1630</v>
      </c>
      <c r="C36" s="15">
        <v>1028</v>
      </c>
      <c r="G36" s="146">
        <v>40000035</v>
      </c>
      <c r="H36" t="str">
        <v>史诗装备兑换材料</v>
      </c>
      <c r="I36">
        <f t="shared" si="0"/>
        <v>24</v>
      </c>
      <c r="J36">
        <v>10</v>
      </c>
      <c r="K36">
        <v>40001030</v>
      </c>
      <c r="L36" t="str">
        <v>角色抽卡券普通</v>
      </c>
      <c r="M36">
        <f t="shared" si="1"/>
        <v>106</v>
      </c>
      <c r="N36">
        <v>2</v>
      </c>
      <c r="Q36" s="146">
        <v>40000035</v>
      </c>
      <c r="R36">
        <v>40001035</v>
      </c>
      <c r="S36">
        <v>40001035</v>
      </c>
    </row>
    <row r="37" ht="17.25" customHeight="1" spans="2:19">
      <c r="B37" s="3" t="s">
        <v>1631</v>
      </c>
      <c r="C37" s="15">
        <v>1026</v>
      </c>
      <c r="G37" s="146">
        <v>40000036</v>
      </c>
      <c r="H37" t="str">
        <v>金币</v>
      </c>
      <c r="I37">
        <f t="shared" si="0"/>
        <v>1</v>
      </c>
      <c r="J37">
        <v>20000</v>
      </c>
      <c r="K37">
        <v>40001030</v>
      </c>
      <c r="L37" t="str">
        <v>专武抽卡券普通</v>
      </c>
      <c r="M37">
        <f t="shared" si="1"/>
        <v>107</v>
      </c>
      <c r="N37">
        <v>2</v>
      </c>
      <c r="Q37" s="146">
        <v>40000036</v>
      </c>
      <c r="R37">
        <v>40001036</v>
      </c>
    </row>
    <row r="38" ht="17.25" customHeight="1" spans="2:19">
      <c r="B38" s="3" t="s">
        <v>1632</v>
      </c>
      <c r="C38" s="15">
        <v>1029</v>
      </c>
      <c r="G38" s="146">
        <v>40000037</v>
      </c>
      <c r="H38" t="str">
        <v>角色经验中2000</v>
      </c>
      <c r="I38">
        <f t="shared" si="0"/>
        <v>101</v>
      </c>
      <c r="J38">
        <v>10</v>
      </c>
      <c r="K38">
        <v>40001031</v>
      </c>
      <c r="L38" t="str">
        <v>金币</v>
      </c>
      <c r="M38">
        <f t="shared" si="1"/>
        <v>1</v>
      </c>
      <c r="N38">
        <v>80000</v>
      </c>
      <c r="Q38" s="146">
        <v>40000037</v>
      </c>
      <c r="R38">
        <v>40001037</v>
      </c>
    </row>
    <row r="39" ht="17.25" customHeight="1" spans="2:19">
      <c r="B39" s="3" t="s">
        <v>1633</v>
      </c>
      <c r="C39" s="15">
        <v>1027</v>
      </c>
      <c r="G39" s="146">
        <v>40000038</v>
      </c>
      <c r="H39" t="str">
        <v>专武经验中4000</v>
      </c>
      <c r="I39">
        <f t="shared" si="0"/>
        <v>109</v>
      </c>
      <c r="J39">
        <v>10</v>
      </c>
      <c r="K39">
        <v>40001032</v>
      </c>
      <c r="L39" t="str">
        <v>角色经验高10000</v>
      </c>
      <c r="M39">
        <f t="shared" si="1"/>
        <v>102</v>
      </c>
      <c r="N39">
        <v>8</v>
      </c>
      <c r="Q39" s="146">
        <v>40000038</v>
      </c>
      <c r="R39">
        <v>40001038</v>
      </c>
    </row>
    <row r="40" ht="17.25" customHeight="1" spans="2:19">
      <c r="B40" s="3" t="s">
        <v>1634</v>
      </c>
      <c r="C40" s="15">
        <v>1030</v>
      </c>
      <c r="G40" s="146">
        <v>40000039</v>
      </c>
      <c r="H40" t="str">
        <v>主角装备经验</v>
      </c>
      <c r="I40">
        <f t="shared" si="0"/>
        <v>13</v>
      </c>
      <c r="J40">
        <v>2000</v>
      </c>
      <c r="K40">
        <v>40001033</v>
      </c>
      <c r="L40" t="str">
        <v>专武经验高20000</v>
      </c>
      <c r="M40">
        <f t="shared" si="1"/>
        <v>110</v>
      </c>
      <c r="N40">
        <v>8</v>
      </c>
      <c r="Q40" s="146">
        <v>40000039</v>
      </c>
      <c r="R40">
        <v>40001039</v>
      </c>
    </row>
    <row r="41" ht="16.5" customHeight="1" spans="2:19">
      <c r="B41" s="3" t="s">
        <v>1635</v>
      </c>
      <c r="C41" s="3">
        <f t="shared" ref="C41:C52" si="2">C35+6</f>
        <v>1031</v>
      </c>
      <c r="G41" s="146">
        <v>40000040</v>
      </c>
      <c r="H41" t="str">
        <v>钻石</v>
      </c>
      <c r="I41">
        <f t="shared" si="0"/>
        <v>2</v>
      </c>
      <c r="J41">
        <v>100</v>
      </c>
      <c r="K41">
        <v>40001034</v>
      </c>
      <c r="L41" t="str">
        <v>主角装备经验</v>
      </c>
      <c r="M41">
        <f t="shared" si="1"/>
        <v>13</v>
      </c>
      <c r="N41">
        <v>8000</v>
      </c>
      <c r="Q41" s="146">
        <v>40000040</v>
      </c>
      <c r="R41">
        <v>40001040</v>
      </c>
      <c r="S41">
        <v>40001040</v>
      </c>
    </row>
    <row r="42" ht="16.5" customHeight="1" spans="2:19">
      <c r="B42" s="3" t="s">
        <v>1636</v>
      </c>
      <c r="C42" s="3">
        <f t="shared" si="2"/>
        <v>1034</v>
      </c>
      <c r="G42" s="146">
        <v>40000041</v>
      </c>
      <c r="H42" t="str">
        <v>金币</v>
      </c>
      <c r="I42">
        <f t="shared" si="0"/>
        <v>1</v>
      </c>
      <c r="J42">
        <v>30000</v>
      </c>
      <c r="K42">
        <v>40001035</v>
      </c>
      <c r="L42" t="str">
        <v>体力药</v>
      </c>
      <c r="M42">
        <f t="shared" si="1"/>
        <v>105</v>
      </c>
      <c r="N42">
        <v>3</v>
      </c>
      <c r="Q42" s="146">
        <v>40000041</v>
      </c>
      <c r="R42">
        <v>40001041</v>
      </c>
    </row>
    <row r="43" ht="16.5" customHeight="1" spans="2:19">
      <c r="B43" s="3" t="s">
        <v>1637</v>
      </c>
      <c r="C43" s="3">
        <f t="shared" si="2"/>
        <v>1032</v>
      </c>
      <c r="G43" s="146">
        <v>40000042</v>
      </c>
      <c r="H43" t="str">
        <v>角色经验高10000</v>
      </c>
      <c r="I43">
        <f t="shared" si="0"/>
        <v>102</v>
      </c>
      <c r="J43">
        <v>3</v>
      </c>
      <c r="K43">
        <v>40001035</v>
      </c>
      <c r="L43" t="str">
        <v>史诗装备兑换材料</v>
      </c>
      <c r="M43">
        <f t="shared" si="1"/>
        <v>24</v>
      </c>
      <c r="N43">
        <v>50</v>
      </c>
      <c r="Q43" s="146">
        <v>40000042</v>
      </c>
      <c r="R43">
        <v>40001042</v>
      </c>
    </row>
    <row r="44" ht="16.5" customHeight="1" spans="2:19">
      <c r="B44" s="3" t="s">
        <v>1638</v>
      </c>
      <c r="C44" s="3">
        <f t="shared" si="2"/>
        <v>1035</v>
      </c>
      <c r="G44" s="146">
        <v>40000043</v>
      </c>
      <c r="H44" t="str">
        <v>专武经验高20000</v>
      </c>
      <c r="I44">
        <f t="shared" si="0"/>
        <v>110</v>
      </c>
      <c r="J44">
        <v>3</v>
      </c>
      <c r="K44">
        <v>40001036</v>
      </c>
      <c r="L44" t="str">
        <v>金币</v>
      </c>
      <c r="M44">
        <f t="shared" si="1"/>
        <v>1</v>
      </c>
      <c r="N44">
        <v>80000</v>
      </c>
      <c r="Q44" s="146">
        <v>40000043</v>
      </c>
      <c r="R44">
        <v>40001043</v>
      </c>
    </row>
    <row r="45" ht="16.5" customHeight="1" spans="2:19">
      <c r="B45" s="3" t="s">
        <v>1639</v>
      </c>
      <c r="C45" s="3">
        <f t="shared" si="2"/>
        <v>1033</v>
      </c>
      <c r="G45" s="146">
        <v>40000044</v>
      </c>
      <c r="H45" t="str">
        <v>主角装备经验</v>
      </c>
      <c r="I45">
        <f t="shared" si="0"/>
        <v>13</v>
      </c>
      <c r="J45">
        <v>3000</v>
      </c>
      <c r="K45">
        <v>40001037</v>
      </c>
      <c r="L45" t="str">
        <v>角色经验高10000</v>
      </c>
      <c r="M45">
        <f t="shared" si="1"/>
        <v>102</v>
      </c>
      <c r="N45">
        <v>8</v>
      </c>
      <c r="Q45" s="146">
        <v>40000044</v>
      </c>
      <c r="R45">
        <v>40001044</v>
      </c>
    </row>
    <row r="46" ht="16.5" customHeight="1" spans="2:19">
      <c r="B46" s="3" t="s">
        <v>1640</v>
      </c>
      <c r="C46" s="3">
        <f t="shared" si="2"/>
        <v>1036</v>
      </c>
      <c r="G46" s="146">
        <v>40000045</v>
      </c>
      <c r="H46" t="str">
        <v>体力药</v>
      </c>
      <c r="I46">
        <f t="shared" si="0"/>
        <v>105</v>
      </c>
      <c r="J46">
        <v>1</v>
      </c>
      <c r="K46">
        <v>40001038</v>
      </c>
      <c r="L46" t="str">
        <v>专武经验高20000</v>
      </c>
      <c r="M46">
        <f t="shared" si="1"/>
        <v>110</v>
      </c>
      <c r="N46">
        <v>8</v>
      </c>
      <c r="Q46" s="146">
        <v>40000045</v>
      </c>
      <c r="R46">
        <v>40001045</v>
      </c>
      <c r="S46">
        <v>40001045</v>
      </c>
    </row>
    <row r="47" ht="16.5" customHeight="1" spans="2:19">
      <c r="B47" s="3" t="s">
        <v>1641</v>
      </c>
      <c r="C47" s="3">
        <f t="shared" si="2"/>
        <v>1037</v>
      </c>
      <c r="G47" s="146">
        <v>40000046</v>
      </c>
      <c r="H47" t="str">
        <v>金币</v>
      </c>
      <c r="I47">
        <f t="shared" si="0"/>
        <v>1</v>
      </c>
      <c r="J47">
        <v>30000</v>
      </c>
      <c r="K47">
        <v>40001039</v>
      </c>
      <c r="L47" t="str">
        <v>主角装备经验</v>
      </c>
      <c r="M47">
        <f t="shared" si="1"/>
        <v>13</v>
      </c>
      <c r="N47">
        <v>8000</v>
      </c>
      <c r="Q47" s="146">
        <v>40000046</v>
      </c>
      <c r="R47">
        <v>40001046</v>
      </c>
    </row>
    <row r="48" ht="16.5" customHeight="1" spans="2:19">
      <c r="B48" s="3" t="s">
        <v>1642</v>
      </c>
      <c r="C48" s="3">
        <f t="shared" si="2"/>
        <v>1040</v>
      </c>
      <c r="G48" s="146">
        <v>40000047</v>
      </c>
      <c r="H48" t="str">
        <v>角色经验高10000</v>
      </c>
      <c r="I48">
        <f t="shared" si="0"/>
        <v>102</v>
      </c>
      <c r="J48">
        <v>3</v>
      </c>
      <c r="K48">
        <v>40001040</v>
      </c>
      <c r="L48" t="str">
        <v>角色抽卡券普通</v>
      </c>
      <c r="M48">
        <f t="shared" si="1"/>
        <v>106</v>
      </c>
      <c r="N48">
        <v>2</v>
      </c>
      <c r="Q48" s="146">
        <v>40000047</v>
      </c>
      <c r="R48">
        <v>40001047</v>
      </c>
    </row>
    <row r="49" ht="16.5" customHeight="1" spans="2:19">
      <c r="B49" s="3" t="s">
        <v>1643</v>
      </c>
      <c r="C49" s="3">
        <f t="shared" si="2"/>
        <v>1038</v>
      </c>
      <c r="G49" s="146">
        <v>40000048</v>
      </c>
      <c r="H49" t="str">
        <v>专武经验高20000</v>
      </c>
      <c r="I49">
        <f t="shared" si="0"/>
        <v>110</v>
      </c>
      <c r="J49">
        <v>3</v>
      </c>
      <c r="K49">
        <v>40001040</v>
      </c>
      <c r="L49" t="str">
        <v>专武抽卡券普通</v>
      </c>
      <c r="M49">
        <f t="shared" si="1"/>
        <v>107</v>
      </c>
      <c r="N49">
        <v>2</v>
      </c>
      <c r="Q49" s="146">
        <v>40000048</v>
      </c>
      <c r="R49">
        <v>40001048</v>
      </c>
    </row>
    <row r="50" ht="16.5" customHeight="1" spans="2:19">
      <c r="B50" s="3" t="s">
        <v>1644</v>
      </c>
      <c r="C50" s="3">
        <f t="shared" si="2"/>
        <v>1041</v>
      </c>
      <c r="G50" s="146">
        <v>40000049</v>
      </c>
      <c r="H50" t="str">
        <v>主角装备经验</v>
      </c>
      <c r="I50">
        <f t="shared" si="0"/>
        <v>13</v>
      </c>
      <c r="J50">
        <v>3000</v>
      </c>
      <c r="K50">
        <v>40001041</v>
      </c>
      <c r="L50" t="str">
        <v>金币</v>
      </c>
      <c r="M50">
        <f t="shared" si="1"/>
        <v>1</v>
      </c>
      <c r="N50">
        <v>120000</v>
      </c>
      <c r="Q50" s="146">
        <v>40000049</v>
      </c>
      <c r="R50">
        <v>40001049</v>
      </c>
    </row>
    <row r="51" ht="16.5" customHeight="1" spans="2:19">
      <c r="B51" s="3" t="s">
        <v>1645</v>
      </c>
      <c r="C51" s="3">
        <f t="shared" si="2"/>
        <v>1039</v>
      </c>
      <c r="G51" s="146">
        <v>40000050</v>
      </c>
      <c r="H51" t="str">
        <v>钻石</v>
      </c>
      <c r="I51">
        <f t="shared" si="0"/>
        <v>2</v>
      </c>
      <c r="J51">
        <v>100</v>
      </c>
      <c r="K51">
        <v>40001042</v>
      </c>
      <c r="L51" t="str">
        <v>角色经验高10000</v>
      </c>
      <c r="M51">
        <f t="shared" si="1"/>
        <v>102</v>
      </c>
      <c r="N51">
        <v>12</v>
      </c>
      <c r="Q51" s="146">
        <v>40000050</v>
      </c>
      <c r="R51">
        <v>40001050</v>
      </c>
      <c r="S51">
        <v>40001050</v>
      </c>
    </row>
    <row r="52" ht="16.5" customHeight="1" spans="2:19">
      <c r="B52" s="3" t="s">
        <v>1646</v>
      </c>
      <c r="C52" s="3">
        <f t="shared" si="2"/>
        <v>1042</v>
      </c>
      <c r="G52" s="146">
        <v>40000051</v>
      </c>
      <c r="H52" t="str">
        <v>金币</v>
      </c>
      <c r="I52">
        <f t="shared" si="0"/>
        <v>1</v>
      </c>
      <c r="J52">
        <v>30000</v>
      </c>
      <c r="K52">
        <v>40001043</v>
      </c>
      <c r="L52" t="str">
        <v>专武经验高20000</v>
      </c>
      <c r="M52">
        <f t="shared" si="1"/>
        <v>110</v>
      </c>
      <c r="N52">
        <v>12</v>
      </c>
      <c r="Q52" s="146">
        <v>40000051</v>
      </c>
      <c r="R52">
        <v>40001051</v>
      </c>
    </row>
    <row r="53" spans="2:19">
      <c r="B53" t="s">
        <v>601</v>
      </c>
      <c r="C53">
        <v>1</v>
      </c>
      <c r="G53" s="146">
        <v>40000052</v>
      </c>
      <c r="H53" t="str">
        <v>角色经验高10000</v>
      </c>
      <c r="I53">
        <f t="shared" si="0"/>
        <v>102</v>
      </c>
      <c r="J53">
        <v>3</v>
      </c>
      <c r="K53">
        <v>40001044</v>
      </c>
      <c r="L53" t="str">
        <v>主角装备经验</v>
      </c>
      <c r="M53">
        <f t="shared" si="1"/>
        <v>13</v>
      </c>
      <c r="N53">
        <v>12000</v>
      </c>
      <c r="Q53" s="146">
        <v>40000052</v>
      </c>
      <c r="R53">
        <v>40001052</v>
      </c>
    </row>
    <row r="54" spans="2:19">
      <c r="B54" t="s">
        <v>613</v>
      </c>
      <c r="C54">
        <v>101</v>
      </c>
      <c r="G54" s="146">
        <v>40000053</v>
      </c>
      <c r="H54" t="str">
        <v>专武经验高20000</v>
      </c>
      <c r="I54">
        <f t="shared" si="0"/>
        <v>110</v>
      </c>
      <c r="J54">
        <v>3</v>
      </c>
      <c r="K54">
        <v>40001045</v>
      </c>
      <c r="L54" t="str">
        <v>体力药</v>
      </c>
      <c r="M54">
        <f t="shared" si="1"/>
        <v>105</v>
      </c>
      <c r="N54">
        <v>4</v>
      </c>
      <c r="Q54" s="146">
        <v>40000053</v>
      </c>
      <c r="R54">
        <v>40001053</v>
      </c>
    </row>
    <row r="55" ht="17.25" customHeight="1" spans="2:19">
      <c r="B55" t="s">
        <v>669</v>
      </c>
      <c r="C55" s="15">
        <v>109</v>
      </c>
      <c r="G55" s="146">
        <v>40000054</v>
      </c>
      <c r="H55" t="str">
        <v>主角装备经验</v>
      </c>
      <c r="I55">
        <f t="shared" si="0"/>
        <v>13</v>
      </c>
      <c r="J55">
        <v>3000</v>
      </c>
      <c r="K55">
        <v>40001045</v>
      </c>
      <c r="L55" t="str">
        <v>传说装备兑换材料</v>
      </c>
      <c r="M55">
        <f t="shared" si="1"/>
        <v>23</v>
      </c>
      <c r="N55">
        <v>100</v>
      </c>
      <c r="Q55" s="146">
        <v>40000054</v>
      </c>
      <c r="R55">
        <v>40001054</v>
      </c>
    </row>
    <row r="56" spans="2:19">
      <c r="B56" t="s">
        <v>728</v>
      </c>
      <c r="C56">
        <v>13</v>
      </c>
      <c r="G56" s="146">
        <v>40000055</v>
      </c>
      <c r="H56" t="str">
        <v>史诗装备兑换材料</v>
      </c>
      <c r="I56">
        <f t="shared" si="0"/>
        <v>24</v>
      </c>
      <c r="J56">
        <v>15</v>
      </c>
      <c r="K56">
        <v>40001046</v>
      </c>
      <c r="L56" t="str">
        <v>金币</v>
      </c>
      <c r="M56">
        <f t="shared" si="1"/>
        <v>1</v>
      </c>
      <c r="N56">
        <v>120000</v>
      </c>
      <c r="Q56" s="146">
        <v>40000055</v>
      </c>
      <c r="R56">
        <v>40001055</v>
      </c>
      <c r="S56">
        <v>40001055</v>
      </c>
    </row>
    <row r="57" spans="2:19">
      <c r="B57" t="s">
        <v>606</v>
      </c>
      <c r="C57">
        <v>105</v>
      </c>
      <c r="G57" s="146">
        <v>40000056</v>
      </c>
      <c r="H57" t="str">
        <v>金币</v>
      </c>
      <c r="I57">
        <f t="shared" si="0"/>
        <v>1</v>
      </c>
      <c r="J57">
        <v>30000</v>
      </c>
      <c r="K57">
        <v>40001047</v>
      </c>
      <c r="L57" t="str">
        <v>角色经验高10000</v>
      </c>
      <c r="M57">
        <f t="shared" si="1"/>
        <v>102</v>
      </c>
      <c r="N57">
        <v>12</v>
      </c>
      <c r="Q57" s="146">
        <v>40000056</v>
      </c>
      <c r="R57">
        <v>40001056</v>
      </c>
    </row>
    <row r="58" spans="2:19">
      <c r="B58" t="s">
        <v>614</v>
      </c>
      <c r="C58">
        <v>102</v>
      </c>
      <c r="G58" s="146">
        <v>40000057</v>
      </c>
      <c r="H58" t="str">
        <v>角色经验高10000</v>
      </c>
      <c r="I58">
        <f t="shared" si="0"/>
        <v>102</v>
      </c>
      <c r="J58">
        <v>3</v>
      </c>
      <c r="K58">
        <v>40001048</v>
      </c>
      <c r="L58" t="str">
        <v>专武经验高20000</v>
      </c>
      <c r="M58">
        <f t="shared" si="1"/>
        <v>110</v>
      </c>
      <c r="N58">
        <v>12</v>
      </c>
      <c r="Q58" s="146">
        <v>40000057</v>
      </c>
      <c r="R58">
        <v>40001057</v>
      </c>
    </row>
    <row r="59" spans="2:19">
      <c r="B59" t="s">
        <v>670</v>
      </c>
      <c r="C59">
        <v>110</v>
      </c>
      <c r="G59" s="146">
        <v>40000058</v>
      </c>
      <c r="H59" t="str">
        <v>专武经验高20000</v>
      </c>
      <c r="I59">
        <f t="shared" si="0"/>
        <v>110</v>
      </c>
      <c r="J59">
        <v>3</v>
      </c>
      <c r="K59">
        <v>40001049</v>
      </c>
      <c r="L59" t="str">
        <v>主角装备经验</v>
      </c>
      <c r="M59">
        <f t="shared" si="1"/>
        <v>13</v>
      </c>
      <c r="N59">
        <v>12000</v>
      </c>
      <c r="Q59" s="146">
        <v>40000058</v>
      </c>
      <c r="R59">
        <v>40001058</v>
      </c>
    </row>
    <row r="60" ht="16.5" customHeight="1" spans="2:19">
      <c r="B60" s="16" t="s">
        <v>700</v>
      </c>
      <c r="C60">
        <v>6</v>
      </c>
      <c r="G60" s="146">
        <v>40000059</v>
      </c>
      <c r="H60" t="str">
        <v>主角装备经验</v>
      </c>
      <c r="I60">
        <f t="shared" si="0"/>
        <v>13</v>
      </c>
      <c r="J60">
        <v>3000</v>
      </c>
      <c r="K60">
        <v>40001050</v>
      </c>
      <c r="L60" t="str">
        <v>角色抽卡券普通</v>
      </c>
      <c r="M60">
        <f t="shared" si="1"/>
        <v>106</v>
      </c>
      <c r="N60">
        <v>2</v>
      </c>
      <c r="Q60" s="146">
        <v>40000059</v>
      </c>
      <c r="R60">
        <v>40001059</v>
      </c>
    </row>
    <row r="61" ht="17.25" customHeight="1" spans="2:19">
      <c r="B61" t="s">
        <v>730</v>
      </c>
      <c r="C61" s="15">
        <v>23</v>
      </c>
      <c r="G61" s="146">
        <v>40000060</v>
      </c>
      <c r="H61" t="str">
        <v>钻石</v>
      </c>
      <c r="I61">
        <f t="shared" si="0"/>
        <v>2</v>
      </c>
      <c r="J61">
        <v>100</v>
      </c>
      <c r="K61">
        <v>40001050</v>
      </c>
      <c r="L61" t="str">
        <v>专武抽卡券普通</v>
      </c>
      <c r="M61">
        <f t="shared" si="1"/>
        <v>107</v>
      </c>
      <c r="N61">
        <v>2</v>
      </c>
      <c r="Q61" s="146">
        <v>40000060</v>
      </c>
      <c r="R61">
        <v>40001060</v>
      </c>
      <c r="S61">
        <v>40001060</v>
      </c>
    </row>
    <row r="62" ht="17.25" customHeight="1" spans="2:19">
      <c r="B62" t="s">
        <v>729</v>
      </c>
      <c r="C62" s="15">
        <v>24</v>
      </c>
      <c r="G62" s="146">
        <v>40000061</v>
      </c>
      <c r="H62" t="str">
        <v>金币</v>
      </c>
      <c r="I62">
        <f t="shared" si="0"/>
        <v>1</v>
      </c>
      <c r="J62">
        <v>2000</v>
      </c>
      <c r="K62">
        <v>40001051</v>
      </c>
      <c r="L62" t="str">
        <v>金币</v>
      </c>
      <c r="M62">
        <f t="shared" si="1"/>
        <v>1</v>
      </c>
      <c r="N62">
        <v>120000</v>
      </c>
      <c r="Q62" s="146">
        <v>40000061</v>
      </c>
      <c r="R62">
        <v>40001061</v>
      </c>
    </row>
    <row r="63" spans="2:19">
      <c r="B63" t="s">
        <v>665</v>
      </c>
      <c r="C63">
        <v>103</v>
      </c>
      <c r="G63" s="146">
        <v>40000062</v>
      </c>
      <c r="H63" t="str">
        <v>角色经验中2000</v>
      </c>
      <c r="I63">
        <f t="shared" si="0"/>
        <v>101</v>
      </c>
      <c r="J63">
        <v>1</v>
      </c>
      <c r="K63">
        <v>40001052</v>
      </c>
      <c r="L63" t="str">
        <v>角色经验高10000</v>
      </c>
      <c r="M63">
        <f t="shared" si="1"/>
        <v>102</v>
      </c>
      <c r="N63">
        <v>12</v>
      </c>
      <c r="Q63" s="146">
        <v>40000062</v>
      </c>
      <c r="R63">
        <v>40001062</v>
      </c>
    </row>
    <row r="64" spans="2:19">
      <c r="B64" t="s">
        <v>7</v>
      </c>
      <c r="C64">
        <v>107</v>
      </c>
      <c r="G64" s="146">
        <v>40000063</v>
      </c>
      <c r="H64" t="str">
        <v>专武经验中4000</v>
      </c>
      <c r="I64">
        <f t="shared" si="0"/>
        <v>109</v>
      </c>
      <c r="J64">
        <v>1</v>
      </c>
      <c r="K64">
        <v>40001053</v>
      </c>
      <c r="L64" t="str">
        <v>专武经验高20000</v>
      </c>
      <c r="M64">
        <f t="shared" si="1"/>
        <v>110</v>
      </c>
      <c r="N64">
        <v>12</v>
      </c>
      <c r="Q64" s="146">
        <v>40000063</v>
      </c>
      <c r="R64">
        <v>40001063</v>
      </c>
    </row>
    <row r="65" ht="16.5" customHeight="1" spans="2:18">
      <c r="B65" s="3" t="s">
        <v>8</v>
      </c>
      <c r="C65" s="3">
        <v>111</v>
      </c>
      <c r="G65" s="146">
        <v>40000064</v>
      </c>
      <c r="H65" t="str">
        <v>主角装备经验</v>
      </c>
      <c r="I65">
        <f t="shared" si="0"/>
        <v>13</v>
      </c>
      <c r="J65">
        <v>200</v>
      </c>
      <c r="K65">
        <v>40001054</v>
      </c>
      <c r="L65" t="str">
        <v>主角装备经验</v>
      </c>
      <c r="M65">
        <f t="shared" si="1"/>
        <v>13</v>
      </c>
      <c r="N65">
        <v>12000</v>
      </c>
      <c r="Q65" s="146">
        <v>40000064</v>
      </c>
      <c r="R65">
        <v>40001064</v>
      </c>
    </row>
    <row r="66" spans="2:18">
      <c r="B66" t="s">
        <v>9</v>
      </c>
      <c r="C66">
        <v>112</v>
      </c>
      <c r="G66" s="146">
        <v>40000065</v>
      </c>
      <c r="H66" t="str">
        <v>旅券经验</v>
      </c>
      <c r="I66">
        <f t="shared" ref="I66:I101" si="3">VLOOKUP(H66,$B:$C,2,0)</f>
        <v>6</v>
      </c>
      <c r="J66">
        <v>200</v>
      </c>
      <c r="K66">
        <v>40001055</v>
      </c>
      <c r="L66" t="str">
        <v>体力药</v>
      </c>
      <c r="M66">
        <f t="shared" ref="M66:M113" si="4">VLOOKUP(L66,$B:$C,2,0)</f>
        <v>105</v>
      </c>
      <c r="N66">
        <v>4</v>
      </c>
      <c r="Q66" s="146">
        <v>40000065</v>
      </c>
      <c r="R66">
        <v>40001065</v>
      </c>
    </row>
    <row r="67" spans="2:18">
      <c r="G67" s="146">
        <v>40000066</v>
      </c>
      <c r="H67" t="str">
        <v>金币</v>
      </c>
      <c r="I67">
        <f t="shared" si="3"/>
        <v>1</v>
      </c>
      <c r="J67">
        <v>2000</v>
      </c>
      <c r="K67">
        <v>40001055</v>
      </c>
      <c r="L67" t="str">
        <v>传说装备兑换材料</v>
      </c>
      <c r="M67">
        <f t="shared" si="4"/>
        <v>23</v>
      </c>
      <c r="N67">
        <v>100</v>
      </c>
      <c r="Q67" s="146">
        <v>40000066</v>
      </c>
      <c r="R67">
        <v>40001066</v>
      </c>
    </row>
    <row r="68" spans="2:18">
      <c r="G68" s="146">
        <v>40000067</v>
      </c>
      <c r="H68" t="str">
        <v>角色经验中2000</v>
      </c>
      <c r="I68">
        <f t="shared" si="3"/>
        <v>101</v>
      </c>
      <c r="J68">
        <v>1</v>
      </c>
      <c r="K68">
        <v>40001056</v>
      </c>
      <c r="L68" t="str">
        <v>金币</v>
      </c>
      <c r="M68">
        <f t="shared" si="4"/>
        <v>1</v>
      </c>
      <c r="N68">
        <v>120000</v>
      </c>
      <c r="Q68" s="146">
        <v>40000067</v>
      </c>
      <c r="R68">
        <v>40001067</v>
      </c>
    </row>
    <row r="69" spans="2:18">
      <c r="G69" s="146">
        <v>40000068</v>
      </c>
      <c r="H69" t="str">
        <v>专武经验中4000</v>
      </c>
      <c r="I69">
        <f t="shared" si="3"/>
        <v>109</v>
      </c>
      <c r="J69">
        <v>1</v>
      </c>
      <c r="K69">
        <v>40001057</v>
      </c>
      <c r="L69" t="str">
        <v>角色经验高10000</v>
      </c>
      <c r="M69">
        <f t="shared" si="4"/>
        <v>102</v>
      </c>
      <c r="N69">
        <v>12</v>
      </c>
      <c r="Q69" s="146">
        <v>40000068</v>
      </c>
      <c r="R69">
        <v>40001068</v>
      </c>
    </row>
    <row r="70" spans="2:18">
      <c r="G70" s="146">
        <v>40000069</v>
      </c>
      <c r="H70" t="str">
        <v>主角装备经验</v>
      </c>
      <c r="I70">
        <f t="shared" si="3"/>
        <v>13</v>
      </c>
      <c r="J70">
        <v>200</v>
      </c>
      <c r="K70">
        <v>40001058</v>
      </c>
      <c r="L70" t="str">
        <v>专武经验高20000</v>
      </c>
      <c r="M70">
        <f t="shared" si="4"/>
        <v>110</v>
      </c>
      <c r="N70">
        <v>12</v>
      </c>
      <c r="Q70" s="146">
        <v>40000069</v>
      </c>
      <c r="R70">
        <v>40001069</v>
      </c>
    </row>
    <row r="71" spans="2:18">
      <c r="G71" s="146">
        <v>40000070</v>
      </c>
      <c r="H71" t="str">
        <v>旅券经验</v>
      </c>
      <c r="I71">
        <f t="shared" si="3"/>
        <v>6</v>
      </c>
      <c r="J71">
        <v>200</v>
      </c>
      <c r="K71">
        <v>40001059</v>
      </c>
      <c r="L71" t="str">
        <v>主角装备经验</v>
      </c>
      <c r="M71">
        <f t="shared" si="4"/>
        <v>13</v>
      </c>
      <c r="N71">
        <v>12000</v>
      </c>
      <c r="Q71" s="146">
        <v>40000070</v>
      </c>
      <c r="R71">
        <v>40001070</v>
      </c>
    </row>
    <row r="72" spans="2:18">
      <c r="G72" s="146">
        <v>40000071</v>
      </c>
      <c r="H72" t="str">
        <v>金币</v>
      </c>
      <c r="I72">
        <f t="shared" si="3"/>
        <v>1</v>
      </c>
      <c r="J72">
        <v>2000</v>
      </c>
      <c r="K72">
        <v>40001060</v>
      </c>
      <c r="L72" t="str">
        <v>钻石</v>
      </c>
      <c r="M72">
        <f t="shared" si="4"/>
        <v>2</v>
      </c>
      <c r="N72">
        <v>1000</v>
      </c>
      <c r="Q72" s="146">
        <v>40000071</v>
      </c>
      <c r="R72">
        <v>40001071</v>
      </c>
    </row>
    <row r="73" spans="2:18">
      <c r="G73" s="146">
        <v>40000072</v>
      </c>
      <c r="H73" t="str">
        <v>角色经验中2000</v>
      </c>
      <c r="I73">
        <f t="shared" si="3"/>
        <v>101</v>
      </c>
      <c r="J73">
        <v>1</v>
      </c>
      <c r="K73">
        <v>40001060</v>
      </c>
      <c r="L73" t="str">
        <v>传说装备兑换材料</v>
      </c>
      <c r="M73">
        <f t="shared" si="4"/>
        <v>23</v>
      </c>
      <c r="N73">
        <v>200</v>
      </c>
      <c r="Q73" s="146">
        <v>40000072</v>
      </c>
      <c r="R73">
        <v>40001072</v>
      </c>
    </row>
    <row r="74" spans="2:18">
      <c r="G74" s="146">
        <v>40000073</v>
      </c>
      <c r="H74" t="str">
        <v>专武经验中4000</v>
      </c>
      <c r="I74">
        <f t="shared" si="3"/>
        <v>109</v>
      </c>
      <c r="J74">
        <v>1</v>
      </c>
      <c r="K74">
        <v>40001061</v>
      </c>
      <c r="L74" t="str">
        <v>金币</v>
      </c>
      <c r="M74">
        <f t="shared" si="4"/>
        <v>1</v>
      </c>
      <c r="N74">
        <v>8000</v>
      </c>
      <c r="Q74" s="146">
        <v>40000073</v>
      </c>
      <c r="R74">
        <v>40001073</v>
      </c>
    </row>
    <row r="75" spans="2:18">
      <c r="G75" s="146">
        <v>40000074</v>
      </c>
      <c r="H75" t="str">
        <v>主角装备经验</v>
      </c>
      <c r="I75">
        <f t="shared" si="3"/>
        <v>13</v>
      </c>
      <c r="J75">
        <v>200</v>
      </c>
      <c r="K75">
        <v>40001062</v>
      </c>
      <c r="L75" t="str">
        <v>角色经验高10000</v>
      </c>
      <c r="M75">
        <f t="shared" si="4"/>
        <v>102</v>
      </c>
      <c r="N75">
        <v>1</v>
      </c>
      <c r="Q75" s="146">
        <v>40000074</v>
      </c>
      <c r="R75">
        <v>40001074</v>
      </c>
    </row>
    <row r="76" spans="2:18">
      <c r="G76" s="146">
        <v>40000075</v>
      </c>
      <c r="H76" t="str">
        <v>旅券经验</v>
      </c>
      <c r="I76">
        <f t="shared" si="3"/>
        <v>6</v>
      </c>
      <c r="J76">
        <v>200</v>
      </c>
      <c r="K76">
        <v>40001063</v>
      </c>
      <c r="L76" t="str">
        <v>专武经验高20000</v>
      </c>
      <c r="M76">
        <f t="shared" si="4"/>
        <v>110</v>
      </c>
      <c r="N76">
        <v>1</v>
      </c>
      <c r="Q76" s="146">
        <v>40000075</v>
      </c>
      <c r="R76">
        <v>40001075</v>
      </c>
    </row>
    <row r="77" spans="2:18">
      <c r="G77" s="146">
        <v>40000076</v>
      </c>
      <c r="H77" t="str">
        <v>金币</v>
      </c>
      <c r="I77">
        <f t="shared" si="3"/>
        <v>1</v>
      </c>
      <c r="J77">
        <v>2000</v>
      </c>
      <c r="K77">
        <v>40001064</v>
      </c>
      <c r="L77" t="str">
        <v>主角装备经验</v>
      </c>
      <c r="M77">
        <f t="shared" si="4"/>
        <v>13</v>
      </c>
      <c r="N77">
        <v>800</v>
      </c>
      <c r="Q77" s="146">
        <v>40000076</v>
      </c>
      <c r="R77">
        <v>40001076</v>
      </c>
    </row>
    <row r="78" spans="2:18">
      <c r="G78" s="146">
        <v>40000077</v>
      </c>
      <c r="H78" t="str">
        <v>角色经验中2000</v>
      </c>
      <c r="I78">
        <f t="shared" si="3"/>
        <v>101</v>
      </c>
      <c r="J78">
        <v>1</v>
      </c>
      <c r="K78">
        <v>40001065</v>
      </c>
      <c r="L78" t="str">
        <v>旅券经验</v>
      </c>
      <c r="M78">
        <f t="shared" si="4"/>
        <v>6</v>
      </c>
      <c r="N78">
        <v>800</v>
      </c>
      <c r="Q78" s="146">
        <v>40000077</v>
      </c>
      <c r="R78">
        <v>40001077</v>
      </c>
    </row>
    <row r="79" spans="2:18">
      <c r="G79" s="146">
        <v>40000078</v>
      </c>
      <c r="H79" t="str">
        <v>专武经验中4000</v>
      </c>
      <c r="I79">
        <f t="shared" si="3"/>
        <v>109</v>
      </c>
      <c r="J79">
        <v>1</v>
      </c>
      <c r="K79">
        <v>40001066</v>
      </c>
      <c r="L79" t="str">
        <v>金币</v>
      </c>
      <c r="M79">
        <f t="shared" si="4"/>
        <v>1</v>
      </c>
      <c r="N79">
        <v>8000</v>
      </c>
      <c r="Q79" s="146">
        <v>40000078</v>
      </c>
      <c r="R79">
        <v>40001078</v>
      </c>
    </row>
    <row r="80" spans="2:18">
      <c r="G80" s="146">
        <v>40000079</v>
      </c>
      <c r="H80" t="str">
        <v>主角装备经验</v>
      </c>
      <c r="I80">
        <f t="shared" si="3"/>
        <v>13</v>
      </c>
      <c r="J80">
        <v>200</v>
      </c>
      <c r="K80">
        <v>40001067</v>
      </c>
      <c r="L80" t="str">
        <v>角色经验高10000</v>
      </c>
      <c r="M80">
        <f t="shared" si="4"/>
        <v>102</v>
      </c>
      <c r="N80">
        <v>1</v>
      </c>
      <c r="Q80" s="146">
        <v>40000079</v>
      </c>
      <c r="R80">
        <v>40001079</v>
      </c>
    </row>
    <row r="81" spans="7:18">
      <c r="G81" s="146">
        <v>40000080</v>
      </c>
      <c r="H81" t="str">
        <v>旅券经验</v>
      </c>
      <c r="I81">
        <f t="shared" si="3"/>
        <v>6</v>
      </c>
      <c r="J81">
        <v>200</v>
      </c>
      <c r="K81">
        <v>40001068</v>
      </c>
      <c r="L81" t="str">
        <v>专武经验高20000</v>
      </c>
      <c r="M81">
        <f t="shared" si="4"/>
        <v>110</v>
      </c>
      <c r="N81">
        <v>1</v>
      </c>
      <c r="Q81" s="146">
        <v>40000080</v>
      </c>
      <c r="R81">
        <v>40001080</v>
      </c>
    </row>
    <row r="82" spans="7:18">
      <c r="G82" s="146">
        <v>40000081</v>
      </c>
      <c r="H82" t="str">
        <v>金币</v>
      </c>
      <c r="I82">
        <f t="shared" si="3"/>
        <v>1</v>
      </c>
      <c r="J82">
        <v>2000</v>
      </c>
      <c r="K82">
        <v>40001069</v>
      </c>
      <c r="L82" t="str">
        <v>主角装备经验</v>
      </c>
      <c r="M82">
        <f t="shared" si="4"/>
        <v>13</v>
      </c>
      <c r="N82">
        <v>800</v>
      </c>
      <c r="Q82" s="146">
        <v>40000081</v>
      </c>
      <c r="R82">
        <v>40001081</v>
      </c>
    </row>
    <row r="83" spans="7:18">
      <c r="G83" s="146">
        <v>40000082</v>
      </c>
      <c r="H83" t="str">
        <v>角色经验中2000</v>
      </c>
      <c r="I83">
        <f t="shared" si="3"/>
        <v>101</v>
      </c>
      <c r="J83">
        <v>1</v>
      </c>
      <c r="K83">
        <v>40001070</v>
      </c>
      <c r="L83" t="str">
        <v>旅券经验</v>
      </c>
      <c r="M83">
        <f t="shared" si="4"/>
        <v>6</v>
      </c>
      <c r="N83">
        <v>800</v>
      </c>
      <c r="Q83" s="146">
        <v>40000082</v>
      </c>
      <c r="R83">
        <v>40001082</v>
      </c>
    </row>
    <row r="84" spans="7:18">
      <c r="G84" s="146">
        <v>40000083</v>
      </c>
      <c r="H84" t="str">
        <v>专武经验中4000</v>
      </c>
      <c r="I84">
        <f t="shared" si="3"/>
        <v>109</v>
      </c>
      <c r="J84">
        <v>1</v>
      </c>
      <c r="K84">
        <v>40001071</v>
      </c>
      <c r="L84" t="str">
        <v>金币</v>
      </c>
      <c r="M84">
        <f t="shared" si="4"/>
        <v>1</v>
      </c>
      <c r="N84">
        <v>8000</v>
      </c>
      <c r="Q84" s="146">
        <v>40000083</v>
      </c>
      <c r="R84">
        <v>40001083</v>
      </c>
    </row>
    <row r="85" spans="7:18">
      <c r="G85" s="146">
        <v>40000084</v>
      </c>
      <c r="H85" t="str">
        <v>主角装备经验</v>
      </c>
      <c r="I85">
        <f t="shared" si="3"/>
        <v>13</v>
      </c>
      <c r="J85">
        <v>200</v>
      </c>
      <c r="K85">
        <v>40001072</v>
      </c>
      <c r="L85" t="str">
        <v>角色经验高10000</v>
      </c>
      <c r="M85">
        <f t="shared" si="4"/>
        <v>102</v>
      </c>
      <c r="N85">
        <v>1</v>
      </c>
      <c r="Q85" s="146">
        <v>40000084</v>
      </c>
      <c r="R85">
        <v>40001084</v>
      </c>
    </row>
    <row r="86" spans="7:18">
      <c r="G86" s="146">
        <v>40000085</v>
      </c>
      <c r="H86" t="str">
        <v>旅券经验</v>
      </c>
      <c r="I86">
        <f t="shared" si="3"/>
        <v>6</v>
      </c>
      <c r="J86">
        <v>200</v>
      </c>
      <c r="K86">
        <v>40001073</v>
      </c>
      <c r="L86" t="str">
        <v>专武经验高20000</v>
      </c>
      <c r="M86">
        <f t="shared" si="4"/>
        <v>110</v>
      </c>
      <c r="N86">
        <v>1</v>
      </c>
      <c r="Q86" s="146">
        <v>40000085</v>
      </c>
      <c r="R86">
        <v>40001085</v>
      </c>
    </row>
    <row r="87" spans="7:18">
      <c r="G87" s="146">
        <v>40000086</v>
      </c>
      <c r="H87" t="str">
        <v>金币</v>
      </c>
      <c r="I87">
        <f t="shared" si="3"/>
        <v>1</v>
      </c>
      <c r="J87">
        <v>2000</v>
      </c>
      <c r="K87">
        <v>40001074</v>
      </c>
      <c r="L87" t="str">
        <v>主角装备经验</v>
      </c>
      <c r="M87">
        <f t="shared" si="4"/>
        <v>13</v>
      </c>
      <c r="N87">
        <v>800</v>
      </c>
      <c r="Q87" s="146">
        <v>40000086</v>
      </c>
      <c r="R87">
        <v>40001086</v>
      </c>
    </row>
    <row r="88" spans="7:18">
      <c r="G88" s="146">
        <v>40000087</v>
      </c>
      <c r="H88" t="str">
        <v>角色经验中2000</v>
      </c>
      <c r="I88">
        <f t="shared" si="3"/>
        <v>101</v>
      </c>
      <c r="J88">
        <v>1</v>
      </c>
      <c r="K88">
        <v>40001075</v>
      </c>
      <c r="L88" t="str">
        <v>旅券经验</v>
      </c>
      <c r="M88">
        <f t="shared" si="4"/>
        <v>6</v>
      </c>
      <c r="N88">
        <v>800</v>
      </c>
      <c r="Q88" s="146">
        <v>40000087</v>
      </c>
      <c r="R88">
        <v>40001087</v>
      </c>
    </row>
    <row r="89" spans="7:18">
      <c r="G89" s="146">
        <v>40000088</v>
      </c>
      <c r="H89" t="str">
        <v>专武经验中4000</v>
      </c>
      <c r="I89">
        <f t="shared" si="3"/>
        <v>109</v>
      </c>
      <c r="J89">
        <v>1</v>
      </c>
      <c r="K89">
        <v>40001076</v>
      </c>
      <c r="L89" t="str">
        <v>金币</v>
      </c>
      <c r="M89">
        <f t="shared" si="4"/>
        <v>1</v>
      </c>
      <c r="N89">
        <v>8000</v>
      </c>
      <c r="Q89" s="146">
        <v>40000088</v>
      </c>
      <c r="R89">
        <v>40001088</v>
      </c>
    </row>
    <row r="90" spans="7:18">
      <c r="G90" s="146">
        <v>40000089</v>
      </c>
      <c r="H90" t="str">
        <v>主角装备经验</v>
      </c>
      <c r="I90">
        <f t="shared" si="3"/>
        <v>13</v>
      </c>
      <c r="J90">
        <v>200</v>
      </c>
      <c r="K90">
        <v>40001077</v>
      </c>
      <c r="L90" t="str">
        <v>角色经验高10000</v>
      </c>
      <c r="M90">
        <f t="shared" si="4"/>
        <v>102</v>
      </c>
      <c r="N90">
        <v>1</v>
      </c>
      <c r="Q90" s="146">
        <v>40000089</v>
      </c>
      <c r="R90">
        <v>40001089</v>
      </c>
    </row>
    <row r="91" spans="7:18">
      <c r="G91" s="146">
        <v>40000090</v>
      </c>
      <c r="H91" t="str">
        <v>旅券经验</v>
      </c>
      <c r="I91">
        <f t="shared" si="3"/>
        <v>6</v>
      </c>
      <c r="J91">
        <v>200</v>
      </c>
      <c r="K91">
        <v>40001078</v>
      </c>
      <c r="L91" t="str">
        <v>专武经验高20000</v>
      </c>
      <c r="M91">
        <f t="shared" si="4"/>
        <v>110</v>
      </c>
      <c r="N91">
        <v>1</v>
      </c>
      <c r="Q91" s="146">
        <v>40000090</v>
      </c>
      <c r="R91">
        <v>40001090</v>
      </c>
    </row>
    <row r="92" spans="7:18">
      <c r="G92" s="146">
        <v>40000091</v>
      </c>
      <c r="H92" t="str">
        <v>金币</v>
      </c>
      <c r="I92">
        <f t="shared" si="3"/>
        <v>1</v>
      </c>
      <c r="J92">
        <v>2000</v>
      </c>
      <c r="K92">
        <v>40001079</v>
      </c>
      <c r="L92" t="str">
        <v>主角装备经验</v>
      </c>
      <c r="M92">
        <f t="shared" si="4"/>
        <v>13</v>
      </c>
      <c r="N92">
        <v>800</v>
      </c>
      <c r="Q92" s="146">
        <v>40000091</v>
      </c>
      <c r="R92">
        <v>40001091</v>
      </c>
    </row>
    <row r="93" spans="7:18">
      <c r="G93" s="146">
        <v>40000092</v>
      </c>
      <c r="H93" t="str">
        <v>角色经验中2000</v>
      </c>
      <c r="I93">
        <f t="shared" si="3"/>
        <v>101</v>
      </c>
      <c r="J93">
        <v>1</v>
      </c>
      <c r="K93">
        <v>40001080</v>
      </c>
      <c r="L93" t="str">
        <v>旅券经验</v>
      </c>
      <c r="M93">
        <f t="shared" si="4"/>
        <v>6</v>
      </c>
      <c r="N93">
        <v>800</v>
      </c>
      <c r="Q93" s="146">
        <v>40000092</v>
      </c>
      <c r="R93">
        <v>40001092</v>
      </c>
    </row>
    <row r="94" spans="7:18">
      <c r="G94" s="146">
        <v>40000093</v>
      </c>
      <c r="H94" t="str">
        <v>专武经验中4000</v>
      </c>
      <c r="I94">
        <f t="shared" si="3"/>
        <v>109</v>
      </c>
      <c r="J94">
        <v>1</v>
      </c>
      <c r="K94">
        <v>40001081</v>
      </c>
      <c r="L94" t="str">
        <v>金币</v>
      </c>
      <c r="M94">
        <f t="shared" si="4"/>
        <v>1</v>
      </c>
      <c r="N94">
        <v>8000</v>
      </c>
      <c r="Q94" s="146">
        <v>40000093</v>
      </c>
      <c r="R94">
        <v>40001093</v>
      </c>
    </row>
    <row r="95" spans="7:18">
      <c r="G95" s="146">
        <v>40000094</v>
      </c>
      <c r="H95" t="str">
        <v>主角装备经验</v>
      </c>
      <c r="I95">
        <f t="shared" si="3"/>
        <v>13</v>
      </c>
      <c r="J95">
        <v>200</v>
      </c>
      <c r="K95">
        <v>40001082</v>
      </c>
      <c r="L95" t="str">
        <v>角色经验高10000</v>
      </c>
      <c r="M95">
        <f t="shared" si="4"/>
        <v>102</v>
      </c>
      <c r="N95">
        <v>1</v>
      </c>
      <c r="Q95" s="146">
        <v>40000094</v>
      </c>
      <c r="R95">
        <v>40001094</v>
      </c>
    </row>
    <row r="96" spans="7:18">
      <c r="G96" s="146">
        <v>40000095</v>
      </c>
      <c r="H96" t="str">
        <v>旅券经验</v>
      </c>
      <c r="I96">
        <f t="shared" si="3"/>
        <v>6</v>
      </c>
      <c r="J96">
        <v>200</v>
      </c>
      <c r="K96">
        <v>40001083</v>
      </c>
      <c r="L96" t="str">
        <v>专武经验高20000</v>
      </c>
      <c r="M96">
        <f t="shared" si="4"/>
        <v>110</v>
      </c>
      <c r="N96">
        <v>1</v>
      </c>
      <c r="Q96" s="146">
        <v>40000095</v>
      </c>
      <c r="R96">
        <v>40001095</v>
      </c>
    </row>
    <row r="97" spans="7:18">
      <c r="G97" s="146">
        <v>40000096</v>
      </c>
      <c r="H97" t="str">
        <v>金币</v>
      </c>
      <c r="I97">
        <f t="shared" si="3"/>
        <v>1</v>
      </c>
      <c r="J97">
        <v>2000</v>
      </c>
      <c r="K97">
        <v>40001084</v>
      </c>
      <c r="L97" t="str">
        <v>主角装备经验</v>
      </c>
      <c r="M97">
        <f t="shared" si="4"/>
        <v>13</v>
      </c>
      <c r="N97">
        <v>800</v>
      </c>
      <c r="Q97" s="146">
        <v>40000096</v>
      </c>
      <c r="R97">
        <v>40001096</v>
      </c>
    </row>
    <row r="98" spans="7:18">
      <c r="G98" s="146">
        <v>40000097</v>
      </c>
      <c r="H98" t="str">
        <v>角色经验中2000</v>
      </c>
      <c r="I98">
        <f t="shared" si="3"/>
        <v>101</v>
      </c>
      <c r="J98">
        <v>1</v>
      </c>
      <c r="K98">
        <v>40001085</v>
      </c>
      <c r="L98" t="str">
        <v>旅券经验</v>
      </c>
      <c r="M98">
        <f t="shared" si="4"/>
        <v>6</v>
      </c>
      <c r="N98">
        <v>800</v>
      </c>
      <c r="Q98" s="146">
        <v>40000097</v>
      </c>
      <c r="R98">
        <v>40001097</v>
      </c>
    </row>
    <row r="99" spans="7:18">
      <c r="G99" s="146">
        <v>40000098</v>
      </c>
      <c r="H99" t="str">
        <v>专武经验中4000</v>
      </c>
      <c r="I99">
        <f t="shared" si="3"/>
        <v>109</v>
      </c>
      <c r="J99">
        <v>1</v>
      </c>
      <c r="K99">
        <v>40001086</v>
      </c>
      <c r="L99" t="str">
        <v>金币</v>
      </c>
      <c r="M99">
        <f t="shared" si="4"/>
        <v>1</v>
      </c>
      <c r="N99">
        <v>8000</v>
      </c>
      <c r="Q99" s="146">
        <v>40000098</v>
      </c>
      <c r="R99">
        <v>40001098</v>
      </c>
    </row>
    <row r="100" spans="7:18">
      <c r="G100" s="146">
        <v>40000099</v>
      </c>
      <c r="H100" t="str">
        <v>主角装备经验</v>
      </c>
      <c r="I100">
        <f t="shared" si="3"/>
        <v>13</v>
      </c>
      <c r="J100">
        <v>200</v>
      </c>
      <c r="K100">
        <v>40001087</v>
      </c>
      <c r="L100" t="str">
        <v>角色经验高10000</v>
      </c>
      <c r="M100">
        <f t="shared" si="4"/>
        <v>102</v>
      </c>
      <c r="N100">
        <v>1</v>
      </c>
      <c r="Q100" s="146">
        <v>40000099</v>
      </c>
      <c r="R100">
        <v>40001099</v>
      </c>
    </row>
    <row r="101" spans="7:18">
      <c r="G101" s="146">
        <v>40000100</v>
      </c>
      <c r="H101" t="str">
        <v>旅券经验</v>
      </c>
      <c r="I101">
        <f t="shared" si="3"/>
        <v>6</v>
      </c>
      <c r="J101">
        <v>200</v>
      </c>
      <c r="K101">
        <v>40001088</v>
      </c>
      <c r="L101" t="str">
        <v>专武经验高20000</v>
      </c>
      <c r="M101">
        <f t="shared" si="4"/>
        <v>110</v>
      </c>
      <c r="N101">
        <v>1</v>
      </c>
      <c r="Q101" s="146">
        <v>40000100</v>
      </c>
      <c r="R101">
        <v>40001100</v>
      </c>
    </row>
    <row r="102" spans="7:18">
      <c r="G102" s="146"/>
      <c r="K102">
        <v>40001089</v>
      </c>
      <c r="L102" t="str">
        <v>主角装备经验</v>
      </c>
      <c r="M102">
        <f t="shared" si="4"/>
        <v>13</v>
      </c>
      <c r="N102">
        <v>800</v>
      </c>
      <c r="Q102" s="146">
        <v>40000001</v>
      </c>
      <c r="R102">
        <v>40001001</v>
      </c>
    </row>
    <row r="103" spans="7:18">
      <c r="G103" s="146"/>
      <c r="K103">
        <v>40001090</v>
      </c>
      <c r="L103" t="str">
        <v>旅券经验</v>
      </c>
      <c r="M103">
        <f t="shared" si="4"/>
        <v>6</v>
      </c>
      <c r="N103">
        <v>800</v>
      </c>
      <c r="Q103" s="146">
        <v>40000002</v>
      </c>
      <c r="R103">
        <v>40001002</v>
      </c>
    </row>
    <row r="104" spans="7:18">
      <c r="G104" s="146"/>
      <c r="K104">
        <v>40001091</v>
      </c>
      <c r="L104" t="str">
        <v>金币</v>
      </c>
      <c r="M104">
        <f t="shared" si="4"/>
        <v>1</v>
      </c>
      <c r="N104">
        <v>8000</v>
      </c>
      <c r="Q104" s="146">
        <v>40000003</v>
      </c>
      <c r="R104">
        <v>40001003</v>
      </c>
    </row>
    <row r="105" spans="7:18">
      <c r="G105" s="146"/>
      <c r="K105">
        <v>40001092</v>
      </c>
      <c r="L105" t="str">
        <v>角色经验高10000</v>
      </c>
      <c r="M105">
        <f t="shared" si="4"/>
        <v>102</v>
      </c>
      <c r="N105">
        <v>1</v>
      </c>
      <c r="Q105" s="146">
        <v>40000004</v>
      </c>
      <c r="R105">
        <v>40001004</v>
      </c>
    </row>
    <row r="106" spans="7:18">
      <c r="G106" s="146"/>
      <c r="K106">
        <v>40001093</v>
      </c>
      <c r="L106" t="str">
        <v>专武经验高20000</v>
      </c>
      <c r="M106">
        <f t="shared" si="4"/>
        <v>110</v>
      </c>
      <c r="N106">
        <v>1</v>
      </c>
      <c r="Q106" s="146">
        <v>40000005</v>
      </c>
      <c r="R106">
        <v>40001005</v>
      </c>
    </row>
    <row r="107" spans="7:18">
      <c r="G107" s="146"/>
      <c r="K107">
        <v>40001094</v>
      </c>
      <c r="L107" t="str">
        <v>主角装备经验</v>
      </c>
      <c r="M107">
        <f t="shared" si="4"/>
        <v>13</v>
      </c>
      <c r="N107">
        <v>800</v>
      </c>
      <c r="Q107" s="146">
        <v>40000006</v>
      </c>
      <c r="R107">
        <v>40001006</v>
      </c>
    </row>
    <row r="108" spans="7:18">
      <c r="G108" s="146"/>
      <c r="K108">
        <v>40001095</v>
      </c>
      <c r="L108" t="str">
        <v>旅券经验</v>
      </c>
      <c r="M108">
        <f t="shared" si="4"/>
        <v>6</v>
      </c>
      <c r="N108">
        <v>800</v>
      </c>
      <c r="Q108" s="146">
        <v>40000007</v>
      </c>
      <c r="R108">
        <v>40001007</v>
      </c>
    </row>
    <row r="109" spans="7:18">
      <c r="G109" s="146"/>
      <c r="K109">
        <v>40001096</v>
      </c>
      <c r="L109" t="str">
        <v>金币</v>
      </c>
      <c r="M109">
        <f t="shared" si="4"/>
        <v>1</v>
      </c>
      <c r="N109">
        <v>8000</v>
      </c>
      <c r="Q109" s="146">
        <v>40000008</v>
      </c>
      <c r="R109">
        <v>40001008</v>
      </c>
    </row>
    <row r="110" spans="7:18">
      <c r="G110" s="146"/>
      <c r="K110">
        <v>40001097</v>
      </c>
      <c r="L110" t="str">
        <v>角色经验高10000</v>
      </c>
      <c r="M110">
        <f t="shared" si="4"/>
        <v>102</v>
      </c>
      <c r="N110">
        <v>1</v>
      </c>
      <c r="Q110" s="146">
        <v>40000009</v>
      </c>
      <c r="R110">
        <v>40001009</v>
      </c>
    </row>
    <row r="111" spans="7:18">
      <c r="G111" s="146"/>
      <c r="K111">
        <v>40001098</v>
      </c>
      <c r="L111" t="str">
        <v>专武经验高20000</v>
      </c>
      <c r="M111">
        <f t="shared" si="4"/>
        <v>110</v>
      </c>
      <c r="N111">
        <v>1</v>
      </c>
      <c r="Q111" s="146">
        <v>40000010</v>
      </c>
      <c r="R111">
        <v>40001010</v>
      </c>
    </row>
    <row r="112" spans="7:18">
      <c r="G112" s="146"/>
      <c r="K112">
        <v>40001099</v>
      </c>
      <c r="L112" t="str">
        <v>主角装备经验</v>
      </c>
      <c r="M112">
        <f t="shared" si="4"/>
        <v>13</v>
      </c>
      <c r="N112">
        <v>800</v>
      </c>
      <c r="Q112" s="146">
        <v>40000011</v>
      </c>
      <c r="R112">
        <v>40001011</v>
      </c>
    </row>
    <row r="113" spans="7:18">
      <c r="G113" s="146"/>
      <c r="K113">
        <v>40001100</v>
      </c>
      <c r="L113" t="str">
        <v>旅券经验</v>
      </c>
      <c r="M113">
        <f t="shared" si="4"/>
        <v>6</v>
      </c>
      <c r="N113">
        <v>800</v>
      </c>
      <c r="Q113" s="146">
        <v>40000012</v>
      </c>
      <c r="R113">
        <v>40001012</v>
      </c>
    </row>
    <row r="114" spans="7:18">
      <c r="G114" s="146"/>
      <c r="K114">
        <v>40001001</v>
      </c>
      <c r="Q114" s="146">
        <v>40000013</v>
      </c>
      <c r="R114">
        <v>40001013</v>
      </c>
    </row>
    <row r="115" spans="7:18">
      <c r="G115" s="146"/>
      <c r="K115">
        <v>40001002</v>
      </c>
      <c r="Q115" s="146">
        <v>40000014</v>
      </c>
      <c r="R115">
        <v>40001014</v>
      </c>
    </row>
    <row r="116" spans="7:18">
      <c r="G116" s="146"/>
      <c r="K116">
        <v>40001003</v>
      </c>
      <c r="Q116" s="146">
        <v>40000015</v>
      </c>
      <c r="R116">
        <v>40001015</v>
      </c>
    </row>
    <row r="117" spans="7:18">
      <c r="G117" s="146"/>
      <c r="K117">
        <v>40001004</v>
      </c>
      <c r="Q117" s="146">
        <v>40000016</v>
      </c>
      <c r="R117">
        <v>40001016</v>
      </c>
    </row>
    <row r="118" spans="7:18">
      <c r="G118" s="146"/>
      <c r="K118">
        <v>40001005</v>
      </c>
      <c r="Q118" s="146">
        <v>40000017</v>
      </c>
      <c r="R118">
        <v>40001017</v>
      </c>
    </row>
    <row r="119" spans="7:18">
      <c r="G119" s="146"/>
      <c r="K119">
        <v>40001006</v>
      </c>
      <c r="Q119" s="146">
        <v>40000018</v>
      </c>
      <c r="R119">
        <v>40001018</v>
      </c>
    </row>
    <row r="120" spans="7:18">
      <c r="G120" s="146"/>
      <c r="K120">
        <v>40001007</v>
      </c>
      <c r="Q120" s="146">
        <v>40000019</v>
      </c>
      <c r="R120">
        <v>40001019</v>
      </c>
    </row>
    <row r="121" spans="7:18">
      <c r="G121" s="146"/>
      <c r="K121">
        <v>40001008</v>
      </c>
      <c r="Q121" s="146">
        <v>40000020</v>
      </c>
      <c r="R121">
        <v>40001020</v>
      </c>
    </row>
    <row r="122" spans="7:18">
      <c r="G122" s="146"/>
      <c r="K122">
        <v>40001009</v>
      </c>
      <c r="Q122" s="146">
        <v>40000021</v>
      </c>
      <c r="R122">
        <v>40001021</v>
      </c>
    </row>
    <row r="123" spans="7:18">
      <c r="G123" s="146"/>
      <c r="K123">
        <v>40001010</v>
      </c>
      <c r="Q123" s="146">
        <v>40000022</v>
      </c>
      <c r="R123">
        <v>40001022</v>
      </c>
    </row>
    <row r="124" spans="7:18">
      <c r="G124" s="146"/>
      <c r="K124">
        <v>40001011</v>
      </c>
      <c r="Q124" s="146">
        <v>40000023</v>
      </c>
      <c r="R124">
        <v>40001023</v>
      </c>
    </row>
    <row r="125" spans="7:18">
      <c r="G125" s="146"/>
      <c r="K125">
        <v>40001012</v>
      </c>
      <c r="Q125" s="146">
        <v>40000024</v>
      </c>
      <c r="R125">
        <v>40001024</v>
      </c>
    </row>
    <row r="126" spans="7:18">
      <c r="G126" s="146"/>
      <c r="K126">
        <v>40001013</v>
      </c>
      <c r="Q126" s="146">
        <v>40000025</v>
      </c>
      <c r="R126">
        <v>40001025</v>
      </c>
    </row>
    <row r="127" spans="7:18">
      <c r="G127" s="146"/>
      <c r="K127">
        <v>40001014</v>
      </c>
      <c r="Q127" s="146">
        <v>40000026</v>
      </c>
      <c r="R127">
        <v>40001026</v>
      </c>
    </row>
    <row r="128" spans="7:18">
      <c r="G128" s="146"/>
      <c r="K128">
        <v>40001015</v>
      </c>
      <c r="Q128" s="146">
        <v>40000027</v>
      </c>
      <c r="R128">
        <v>40001027</v>
      </c>
    </row>
    <row r="129" spans="7:18">
      <c r="G129" s="146"/>
      <c r="K129">
        <v>40001016</v>
      </c>
      <c r="Q129" s="146">
        <v>40000028</v>
      </c>
      <c r="R129">
        <v>40001028</v>
      </c>
    </row>
    <row r="130" spans="7:18">
      <c r="G130" s="146"/>
      <c r="K130">
        <v>40001017</v>
      </c>
      <c r="Q130" s="146">
        <v>40000029</v>
      </c>
      <c r="R130">
        <v>40001029</v>
      </c>
    </row>
    <row r="131" spans="7:18">
      <c r="G131" s="146"/>
      <c r="K131">
        <v>40001018</v>
      </c>
      <c r="Q131" s="146">
        <v>40000030</v>
      </c>
      <c r="R131">
        <v>40001030</v>
      </c>
    </row>
    <row r="132" spans="7:18">
      <c r="G132" s="146"/>
      <c r="K132">
        <v>40001019</v>
      </c>
      <c r="Q132" s="146">
        <v>40000031</v>
      </c>
      <c r="R132">
        <v>40001031</v>
      </c>
    </row>
    <row r="133" spans="7:18">
      <c r="G133" s="146"/>
      <c r="K133">
        <v>40001020</v>
      </c>
      <c r="Q133" s="146">
        <v>40000032</v>
      </c>
      <c r="R133">
        <v>40001032</v>
      </c>
    </row>
    <row r="134" spans="7:18">
      <c r="G134" s="146"/>
      <c r="K134">
        <v>40001021</v>
      </c>
      <c r="Q134" s="146">
        <v>40000033</v>
      </c>
      <c r="R134">
        <v>40001033</v>
      </c>
    </row>
    <row r="135" spans="7:18">
      <c r="G135" s="146"/>
      <c r="K135">
        <v>40001022</v>
      </c>
      <c r="Q135" s="146">
        <v>40000034</v>
      </c>
      <c r="R135">
        <v>40001034</v>
      </c>
    </row>
    <row r="136" spans="7:18">
      <c r="G136" s="146"/>
      <c r="K136">
        <v>40001023</v>
      </c>
      <c r="Q136" s="146">
        <v>40000035</v>
      </c>
      <c r="R136">
        <v>40001035</v>
      </c>
    </row>
    <row r="137" spans="7:18">
      <c r="G137" s="146"/>
      <c r="K137">
        <v>40001024</v>
      </c>
      <c r="Q137" s="146">
        <v>40000036</v>
      </c>
      <c r="R137">
        <v>40001036</v>
      </c>
    </row>
    <row r="138" spans="7:18">
      <c r="G138" s="146"/>
      <c r="K138">
        <v>40001025</v>
      </c>
      <c r="Q138" s="146">
        <v>40000037</v>
      </c>
      <c r="R138">
        <v>40001037</v>
      </c>
    </row>
    <row r="139" spans="7:18">
      <c r="G139" s="146"/>
      <c r="K139">
        <v>40001026</v>
      </c>
      <c r="Q139" s="146">
        <v>40000038</v>
      </c>
      <c r="R139">
        <v>40001038</v>
      </c>
    </row>
    <row r="140" spans="7:18">
      <c r="G140" s="146"/>
      <c r="K140">
        <v>40001027</v>
      </c>
      <c r="Q140" s="146">
        <v>40000039</v>
      </c>
      <c r="R140">
        <v>40001039</v>
      </c>
    </row>
    <row r="141" spans="7:18">
      <c r="G141" s="146"/>
      <c r="K141">
        <v>40001028</v>
      </c>
      <c r="Q141" s="146">
        <v>40000040</v>
      </c>
      <c r="R141">
        <v>40001040</v>
      </c>
    </row>
    <row r="142" spans="7:18">
      <c r="G142" s="146"/>
      <c r="K142">
        <v>40001029</v>
      </c>
      <c r="Q142" s="146">
        <v>40000041</v>
      </c>
      <c r="R142">
        <v>40001041</v>
      </c>
    </row>
    <row r="143" spans="7:18">
      <c r="G143" s="146"/>
      <c r="K143">
        <v>40001030</v>
      </c>
      <c r="Q143" s="146">
        <v>40000042</v>
      </c>
      <c r="R143">
        <v>40001042</v>
      </c>
    </row>
    <row r="144" spans="7:18">
      <c r="G144" s="146"/>
      <c r="K144">
        <v>40001031</v>
      </c>
      <c r="Q144" s="146">
        <v>40000043</v>
      </c>
      <c r="R144">
        <v>40001043</v>
      </c>
    </row>
    <row r="145" spans="7:18">
      <c r="G145" s="146"/>
      <c r="K145">
        <v>40001032</v>
      </c>
      <c r="Q145" s="146">
        <v>40000044</v>
      </c>
      <c r="R145">
        <v>40001044</v>
      </c>
    </row>
    <row r="146" spans="7:18">
      <c r="G146" s="146"/>
      <c r="K146">
        <v>40001033</v>
      </c>
      <c r="Q146" s="146">
        <v>40000045</v>
      </c>
      <c r="R146">
        <v>40001045</v>
      </c>
    </row>
    <row r="147" spans="7:18">
      <c r="G147" s="146"/>
      <c r="K147">
        <v>40001034</v>
      </c>
      <c r="Q147" s="146">
        <v>40000046</v>
      </c>
      <c r="R147">
        <v>40001046</v>
      </c>
    </row>
    <row r="148" spans="7:18">
      <c r="G148" s="146"/>
      <c r="K148">
        <v>40001035</v>
      </c>
      <c r="Q148" s="146">
        <v>40000047</v>
      </c>
      <c r="R148">
        <v>40001047</v>
      </c>
    </row>
    <row r="149" spans="7:18">
      <c r="G149" s="146"/>
      <c r="K149">
        <v>40001036</v>
      </c>
      <c r="Q149" s="146">
        <v>40000048</v>
      </c>
      <c r="R149">
        <v>40001048</v>
      </c>
    </row>
    <row r="150" spans="7:18">
      <c r="G150" s="146"/>
      <c r="K150">
        <v>40001037</v>
      </c>
      <c r="Q150" s="146">
        <v>40000049</v>
      </c>
      <c r="R150">
        <v>40001049</v>
      </c>
    </row>
    <row r="151" spans="7:18">
      <c r="G151" s="146"/>
      <c r="K151">
        <v>40001038</v>
      </c>
      <c r="Q151" s="146">
        <v>40000050</v>
      </c>
      <c r="R151">
        <v>40001050</v>
      </c>
    </row>
    <row r="152" spans="7:18">
      <c r="G152" s="146"/>
      <c r="K152">
        <v>40001039</v>
      </c>
      <c r="Q152" s="146">
        <v>40000051</v>
      </c>
      <c r="R152">
        <v>40001051</v>
      </c>
    </row>
    <row r="153" spans="7:18">
      <c r="G153" s="146"/>
      <c r="K153">
        <v>40001040</v>
      </c>
      <c r="Q153" s="146">
        <v>40000052</v>
      </c>
      <c r="R153">
        <v>40001052</v>
      </c>
    </row>
    <row r="154" spans="7:18">
      <c r="G154" s="146"/>
      <c r="K154">
        <v>40001041</v>
      </c>
      <c r="Q154" s="146">
        <v>40000053</v>
      </c>
      <c r="R154">
        <v>40001053</v>
      </c>
    </row>
    <row r="155" spans="7:18">
      <c r="G155" s="146"/>
      <c r="K155">
        <v>40001042</v>
      </c>
      <c r="Q155" s="146">
        <v>40000054</v>
      </c>
      <c r="R155">
        <v>40001054</v>
      </c>
    </row>
    <row r="156" spans="7:18">
      <c r="G156" s="146"/>
      <c r="K156">
        <v>40001043</v>
      </c>
      <c r="Q156" s="146">
        <v>40000055</v>
      </c>
      <c r="R156">
        <v>40001055</v>
      </c>
    </row>
    <row r="157" spans="7:18">
      <c r="G157" s="146"/>
      <c r="K157">
        <v>40001044</v>
      </c>
      <c r="Q157" s="146">
        <v>40000056</v>
      </c>
      <c r="R157">
        <v>40001056</v>
      </c>
    </row>
    <row r="158" spans="7:18">
      <c r="G158" s="146"/>
      <c r="K158">
        <v>40001045</v>
      </c>
      <c r="Q158" s="146">
        <v>40000057</v>
      </c>
      <c r="R158">
        <v>40001057</v>
      </c>
    </row>
    <row r="159" spans="7:18">
      <c r="G159" s="146"/>
      <c r="K159">
        <v>40001046</v>
      </c>
      <c r="Q159" s="146">
        <v>40000058</v>
      </c>
      <c r="R159">
        <v>40001058</v>
      </c>
    </row>
    <row r="160" spans="7:18">
      <c r="G160" s="146"/>
      <c r="K160">
        <v>40001047</v>
      </c>
      <c r="Q160" s="146">
        <v>40000059</v>
      </c>
      <c r="R160">
        <v>40001059</v>
      </c>
    </row>
    <row r="161" spans="7:18">
      <c r="G161" s="146"/>
      <c r="K161">
        <v>40001048</v>
      </c>
      <c r="Q161" s="146">
        <v>40000060</v>
      </c>
      <c r="R161">
        <v>40001060</v>
      </c>
    </row>
    <row r="162" spans="7:18">
      <c r="G162" s="146"/>
      <c r="K162">
        <v>40001049</v>
      </c>
      <c r="Q162" s="146">
        <v>40000061</v>
      </c>
      <c r="R162">
        <v>40001061</v>
      </c>
    </row>
    <row r="163" spans="7:18">
      <c r="G163" s="146"/>
      <c r="K163">
        <v>40001050</v>
      </c>
      <c r="Q163" s="146">
        <v>40000062</v>
      </c>
      <c r="R163">
        <v>40001062</v>
      </c>
    </row>
    <row r="164" spans="7:18">
      <c r="G164" s="146"/>
      <c r="K164">
        <v>40001051</v>
      </c>
      <c r="Q164" s="146">
        <v>40000063</v>
      </c>
      <c r="R164">
        <v>40001063</v>
      </c>
    </row>
    <row r="165" spans="7:18">
      <c r="G165" s="146"/>
      <c r="K165">
        <v>40001052</v>
      </c>
      <c r="Q165" s="146">
        <v>40000064</v>
      </c>
      <c r="R165">
        <v>40001064</v>
      </c>
    </row>
    <row r="166" spans="7:18">
      <c r="G166" s="146"/>
      <c r="K166">
        <v>40001053</v>
      </c>
      <c r="Q166" s="146">
        <v>40000065</v>
      </c>
      <c r="R166">
        <v>40001065</v>
      </c>
    </row>
    <row r="167" spans="7:18">
      <c r="G167" s="146"/>
      <c r="K167">
        <v>40001054</v>
      </c>
      <c r="Q167" s="146">
        <v>40000066</v>
      </c>
      <c r="R167">
        <v>40001066</v>
      </c>
    </row>
    <row r="168" spans="7:18">
      <c r="G168" s="146"/>
      <c r="K168">
        <v>40001055</v>
      </c>
      <c r="Q168" s="146">
        <v>40000067</v>
      </c>
      <c r="R168">
        <v>40001067</v>
      </c>
    </row>
    <row r="169" spans="7:18">
      <c r="G169" s="146"/>
      <c r="K169">
        <v>40001056</v>
      </c>
      <c r="Q169" s="146">
        <v>40000068</v>
      </c>
      <c r="R169">
        <v>40001068</v>
      </c>
    </row>
    <row r="170" spans="7:18">
      <c r="G170" s="146"/>
      <c r="K170">
        <v>40001057</v>
      </c>
      <c r="Q170" s="146">
        <v>40000069</v>
      </c>
      <c r="R170">
        <v>40001069</v>
      </c>
    </row>
    <row r="171" spans="7:18">
      <c r="G171" s="146"/>
      <c r="K171">
        <v>40001058</v>
      </c>
      <c r="Q171" s="146">
        <v>40000070</v>
      </c>
      <c r="R171">
        <v>40001070</v>
      </c>
    </row>
    <row r="172" spans="7:18">
      <c r="G172" s="146"/>
      <c r="K172">
        <v>40001059</v>
      </c>
      <c r="Q172" s="146">
        <v>40000071</v>
      </c>
      <c r="R172">
        <v>40001071</v>
      </c>
    </row>
    <row r="173" spans="7:18">
      <c r="G173" s="146"/>
      <c r="K173">
        <v>40001060</v>
      </c>
      <c r="Q173" s="146">
        <v>40000072</v>
      </c>
      <c r="R173">
        <v>40001072</v>
      </c>
    </row>
    <row r="174" spans="7:18">
      <c r="G174" s="146"/>
      <c r="K174">
        <v>40001061</v>
      </c>
      <c r="Q174" s="146">
        <v>40000073</v>
      </c>
      <c r="R174">
        <v>40001073</v>
      </c>
    </row>
    <row r="175" spans="7:18">
      <c r="G175" s="146"/>
      <c r="K175">
        <v>40001062</v>
      </c>
      <c r="Q175" s="146">
        <v>40000074</v>
      </c>
      <c r="R175">
        <v>40001074</v>
      </c>
    </row>
    <row r="176" spans="7:18">
      <c r="G176" s="146"/>
      <c r="K176">
        <v>40001063</v>
      </c>
      <c r="Q176" s="146">
        <v>40000075</v>
      </c>
      <c r="R176">
        <v>40001075</v>
      </c>
    </row>
    <row r="177" spans="7:18">
      <c r="G177" s="146"/>
      <c r="K177">
        <v>40001064</v>
      </c>
      <c r="Q177" s="146">
        <v>40000076</v>
      </c>
      <c r="R177">
        <v>40001076</v>
      </c>
    </row>
    <row r="178" spans="7:18">
      <c r="G178" s="146"/>
      <c r="K178">
        <v>40001065</v>
      </c>
      <c r="Q178" s="146">
        <v>40000077</v>
      </c>
      <c r="R178">
        <v>40001077</v>
      </c>
    </row>
    <row r="179" spans="7:18">
      <c r="G179" s="146"/>
      <c r="K179">
        <v>40001066</v>
      </c>
      <c r="Q179" s="146">
        <v>40000078</v>
      </c>
      <c r="R179">
        <v>40001078</v>
      </c>
    </row>
    <row r="180" spans="7:18">
      <c r="G180" s="146"/>
      <c r="K180">
        <v>40001067</v>
      </c>
      <c r="Q180" s="146">
        <v>40000079</v>
      </c>
      <c r="R180">
        <v>40001079</v>
      </c>
    </row>
    <row r="181" spans="7:18">
      <c r="G181" s="146"/>
      <c r="K181">
        <v>40001068</v>
      </c>
      <c r="Q181" s="146">
        <v>40000080</v>
      </c>
      <c r="R181">
        <v>40001080</v>
      </c>
    </row>
    <row r="182" spans="7:18">
      <c r="G182" s="146"/>
      <c r="K182">
        <v>40001069</v>
      </c>
      <c r="Q182" s="146">
        <v>40000081</v>
      </c>
      <c r="R182">
        <v>40001081</v>
      </c>
    </row>
    <row r="183" spans="7:18">
      <c r="G183" s="146"/>
      <c r="K183">
        <v>40001070</v>
      </c>
      <c r="Q183" s="146">
        <v>40000082</v>
      </c>
      <c r="R183">
        <v>40001082</v>
      </c>
    </row>
    <row r="184" spans="7:18">
      <c r="G184" s="146"/>
      <c r="K184">
        <v>40001071</v>
      </c>
      <c r="Q184" s="146">
        <v>40000083</v>
      </c>
      <c r="R184">
        <v>40001083</v>
      </c>
    </row>
    <row r="185" spans="7:18">
      <c r="G185" s="146"/>
      <c r="K185">
        <v>40001072</v>
      </c>
      <c r="Q185" s="146">
        <v>40000084</v>
      </c>
      <c r="R185">
        <v>40001084</v>
      </c>
    </row>
    <row r="186" spans="7:18">
      <c r="G186" s="146"/>
      <c r="K186">
        <v>40001073</v>
      </c>
      <c r="Q186" s="146">
        <v>40000085</v>
      </c>
      <c r="R186">
        <v>40001085</v>
      </c>
    </row>
    <row r="187" spans="7:18">
      <c r="G187" s="146"/>
      <c r="K187">
        <v>40001074</v>
      </c>
      <c r="Q187" s="146">
        <v>40000086</v>
      </c>
      <c r="R187">
        <v>40001086</v>
      </c>
    </row>
    <row r="188" spans="7:18">
      <c r="G188" s="146"/>
      <c r="K188">
        <v>40001075</v>
      </c>
      <c r="Q188" s="146">
        <v>40000087</v>
      </c>
      <c r="R188">
        <v>40001087</v>
      </c>
    </row>
    <row r="189" spans="7:18">
      <c r="G189" s="146"/>
      <c r="K189">
        <v>40001076</v>
      </c>
      <c r="Q189" s="146">
        <v>40000088</v>
      </c>
      <c r="R189">
        <v>40001088</v>
      </c>
    </row>
    <row r="190" spans="7:18">
      <c r="G190" s="146"/>
      <c r="K190">
        <v>40001077</v>
      </c>
      <c r="Q190" s="146">
        <v>40000089</v>
      </c>
      <c r="R190">
        <v>40001089</v>
      </c>
    </row>
    <row r="191" spans="7:18">
      <c r="G191" s="146"/>
      <c r="K191">
        <v>40001078</v>
      </c>
      <c r="Q191" s="146">
        <v>40000090</v>
      </c>
      <c r="R191">
        <v>40001090</v>
      </c>
    </row>
    <row r="192" spans="7:18">
      <c r="G192" s="146"/>
      <c r="K192">
        <v>40001079</v>
      </c>
      <c r="Q192" s="146">
        <v>40000091</v>
      </c>
      <c r="R192">
        <v>40001091</v>
      </c>
    </row>
    <row r="193" spans="7:18">
      <c r="G193" s="146"/>
      <c r="K193">
        <v>40001080</v>
      </c>
      <c r="Q193" s="146">
        <v>40000092</v>
      </c>
      <c r="R193">
        <v>40001092</v>
      </c>
    </row>
    <row r="194" spans="7:18">
      <c r="G194" s="146"/>
      <c r="K194">
        <v>40001081</v>
      </c>
      <c r="Q194" s="146">
        <v>40000093</v>
      </c>
      <c r="R194">
        <v>40001093</v>
      </c>
    </row>
    <row r="195" spans="7:18">
      <c r="G195" s="146"/>
      <c r="K195">
        <v>40001082</v>
      </c>
      <c r="Q195" s="146">
        <v>40000094</v>
      </c>
      <c r="R195">
        <v>40001094</v>
      </c>
    </row>
    <row r="196" spans="7:18">
      <c r="G196" s="146"/>
      <c r="K196">
        <v>40001083</v>
      </c>
      <c r="Q196" s="146">
        <v>40000095</v>
      </c>
      <c r="R196">
        <v>40001095</v>
      </c>
    </row>
    <row r="197" spans="7:18">
      <c r="G197" s="146"/>
      <c r="K197">
        <v>40001084</v>
      </c>
      <c r="Q197" s="146">
        <v>40000096</v>
      </c>
      <c r="R197">
        <v>40001096</v>
      </c>
    </row>
    <row r="198" spans="7:18">
      <c r="G198" s="146"/>
      <c r="K198">
        <v>40001085</v>
      </c>
      <c r="Q198" s="146">
        <v>40000097</v>
      </c>
      <c r="R198">
        <v>40001097</v>
      </c>
    </row>
    <row r="199" spans="7:18">
      <c r="G199" s="146"/>
      <c r="K199">
        <v>40001086</v>
      </c>
      <c r="Q199" s="146">
        <v>40000098</v>
      </c>
      <c r="R199">
        <v>40001098</v>
      </c>
    </row>
    <row r="200" spans="7:18">
      <c r="G200" s="146"/>
      <c r="K200">
        <v>40001087</v>
      </c>
      <c r="Q200" s="146">
        <v>40000099</v>
      </c>
      <c r="R200">
        <v>40001099</v>
      </c>
    </row>
    <row r="201" spans="7:18">
      <c r="G201" s="146"/>
      <c r="K201">
        <v>40001088</v>
      </c>
      <c r="Q201" s="146">
        <v>40000100</v>
      </c>
      <c r="R201">
        <v>40001100</v>
      </c>
    </row>
    <row r="202" spans="7:18">
      <c r="K202">
        <v>40001089</v>
      </c>
    </row>
    <row r="203" spans="7:18">
      <c r="K203">
        <v>40001090</v>
      </c>
    </row>
    <row r="204" spans="7:18">
      <c r="K204">
        <v>40001091</v>
      </c>
    </row>
    <row r="205" spans="7:18">
      <c r="K205">
        <v>40001092</v>
      </c>
    </row>
    <row r="206" spans="7:18">
      <c r="K206">
        <v>40001093</v>
      </c>
    </row>
    <row r="207" spans="7:18">
      <c r="K207">
        <v>40001094</v>
      </c>
    </row>
    <row r="208" spans="7:18">
      <c r="K208">
        <v>40001095</v>
      </c>
    </row>
    <row r="209" spans="11:11">
      <c r="K209">
        <v>40001096</v>
      </c>
    </row>
    <row r="210" spans="11:11">
      <c r="K210">
        <v>40001097</v>
      </c>
    </row>
    <row r="211" spans="11:11">
      <c r="K211">
        <v>40001098</v>
      </c>
    </row>
    <row r="212" spans="11:11">
      <c r="K212">
        <v>40001099</v>
      </c>
    </row>
    <row r="213" spans="11:11">
      <c r="K213">
        <v>40001100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B2:O374"/>
  <sheetViews>
    <sheetView topLeftCell="A307" workbookViewId="0">
      <selection activeCell="G318" sqref="G318"/>
    </sheetView>
  </sheetViews>
  <sheetFormatPr defaultColWidth="9" defaultRowHeight="16.5"/>
  <cols>
    <col min="1" max="4" width="9" style="3" customWidth="1"/>
    <col min="5" max="5" width="24.375" style="3" customWidth="1"/>
    <col min="6" max="6" width="22.375" style="3" customWidth="1"/>
    <col min="7" max="7" width="17.375" style="3" customWidth="1"/>
    <col min="8" max="8" width="17" style="3" customWidth="1"/>
    <col min="9" max="9" width="13" style="3" customWidth="1"/>
    <col min="10" max="11" width="17.25" style="3" customWidth="1"/>
    <col min="12" max="13" width="9" style="3" customWidth="1"/>
    <col min="14" max="14" width="12" style="3" customWidth="1"/>
    <col min="15" max="15" width="13.125" style="3" customWidth="1"/>
    <col min="16" max="16384" width="9" style="3" customWidth="1"/>
  </cols>
  <sheetData>
    <row r="2" spans="2:4">
      <c r="B2" s="3" t="s">
        <v>1647</v>
      </c>
    </row>
    <row r="4" spans="2:4">
      <c r="B4" s="3" t="s">
        <v>1648</v>
      </c>
    </row>
    <row r="6" spans="2:4">
      <c r="B6" s="3" t="s">
        <v>1649</v>
      </c>
    </row>
    <row r="7" spans="2:4">
      <c r="B7" s="211">
        <v>1</v>
      </c>
      <c r="C7" s="3" t="s">
        <v>1540</v>
      </c>
    </row>
    <row r="8" spans="2:4">
      <c r="B8" s="3">
        <v>2</v>
      </c>
      <c r="C8" s="3" t="s">
        <v>1650</v>
      </c>
    </row>
    <row r="10" spans="2:4">
      <c r="B10" s="211">
        <v>3</v>
      </c>
      <c r="C10" s="3" t="s">
        <v>1441</v>
      </c>
    </row>
    <row r="11" spans="2:4">
      <c r="C11" s="3">
        <v>3.1</v>
      </c>
      <c r="D11" s="3" t="s">
        <v>1651</v>
      </c>
    </row>
    <row r="12" spans="2:4">
      <c r="C12" s="3">
        <v>3.2</v>
      </c>
      <c r="D12" s="3" t="s">
        <v>1652</v>
      </c>
    </row>
    <row r="13" spans="2:4">
      <c r="C13" s="3">
        <v>3.3</v>
      </c>
      <c r="D13" s="3" t="s">
        <v>1653</v>
      </c>
    </row>
    <row r="18" spans="3:7">
      <c r="C18" s="211">
        <v>1</v>
      </c>
      <c r="D18" s="3" t="s">
        <v>1540</v>
      </c>
    </row>
    <row r="19" spans="3:7">
      <c r="D19" s="3" t="s">
        <v>1654</v>
      </c>
    </row>
    <row r="21" spans="3:7">
      <c r="C21" s="211">
        <v>2</v>
      </c>
      <c r="D21" s="3" t="s">
        <v>1650</v>
      </c>
    </row>
    <row r="22" spans="3:7">
      <c r="D22" s="3" t="s">
        <v>1655</v>
      </c>
    </row>
    <row r="23" spans="3:7">
      <c r="D23" s="188" t="s">
        <v>1656</v>
      </c>
      <c r="E23" s="188" t="s">
        <v>1657</v>
      </c>
      <c r="F23" s="188" t="s">
        <v>1658</v>
      </c>
      <c r="G23" s="188" t="s">
        <v>1659</v>
      </c>
    </row>
    <row r="24" spans="3:7">
      <c r="D24" s="16" t="s">
        <v>1660</v>
      </c>
      <c r="E24" s="16">
        <v>300</v>
      </c>
      <c r="F24" s="16">
        <v>700</v>
      </c>
      <c r="G24" s="16">
        <f>E24+F24</f>
        <v>1000</v>
      </c>
    </row>
    <row r="25" spans="3:7">
      <c r="D25" s="16" t="s">
        <v>1661</v>
      </c>
      <c r="E25" s="16">
        <v>400</v>
      </c>
      <c r="F25" s="16">
        <v>600</v>
      </c>
      <c r="G25" s="16">
        <f>E25+F25</f>
        <v>1000</v>
      </c>
    </row>
    <row r="26" spans="3:7">
      <c r="D26" s="16" t="s">
        <v>1662</v>
      </c>
      <c r="E26" s="16">
        <v>500</v>
      </c>
      <c r="F26" s="16">
        <v>500</v>
      </c>
      <c r="G26" s="16">
        <f>E26+F26</f>
        <v>1000</v>
      </c>
    </row>
    <row r="28" spans="3:7">
      <c r="D28" s="188" t="s">
        <v>1663</v>
      </c>
      <c r="E28" s="188" t="s">
        <v>1664</v>
      </c>
    </row>
    <row r="29" spans="3:7">
      <c r="D29" s="16" t="s">
        <v>1665</v>
      </c>
      <c r="E29" s="16">
        <v>1</v>
      </c>
    </row>
    <row r="30" spans="3:7">
      <c r="D30" s="16" t="s">
        <v>1666</v>
      </c>
      <c r="E30" s="16">
        <v>3</v>
      </c>
    </row>
    <row r="32" spans="3:7">
      <c r="D32" s="3" t="s">
        <v>1667</v>
      </c>
      <c r="E32" s="3" t="s">
        <v>1668</v>
      </c>
    </row>
    <row r="33" spans="2:10">
      <c r="D33" s="188" t="s">
        <v>1656</v>
      </c>
      <c r="E33" s="188" t="s">
        <v>1658</v>
      </c>
      <c r="F33" s="188" t="s">
        <v>1669</v>
      </c>
      <c r="G33" s="188" t="s">
        <v>1670</v>
      </c>
      <c r="H33" s="188" t="s">
        <v>1671</v>
      </c>
      <c r="I33" s="188" t="s">
        <v>1672</v>
      </c>
      <c r="J33" s="188" t="s">
        <v>1673</v>
      </c>
    </row>
    <row r="34" spans="2:10">
      <c r="D34" s="16" t="s">
        <v>1660</v>
      </c>
      <c r="E34" s="16">
        <f>VLOOKUP(D34,$D$24:$G$26,3,0)</f>
        <v>700</v>
      </c>
      <c r="F34" s="179">
        <v>10</v>
      </c>
      <c r="G34" s="179">
        <v>2</v>
      </c>
      <c r="H34" s="16">
        <f>E34/(G34*E30+F34*E29)</f>
        <v>43.75</v>
      </c>
      <c r="I34" s="18">
        <f>H34*E29</f>
        <v>43.75</v>
      </c>
      <c r="J34" s="18">
        <f>H34*E30</f>
        <v>131.25</v>
      </c>
    </row>
    <row r="36" spans="2:10">
      <c r="D36" s="3" t="s">
        <v>1674</v>
      </c>
    </row>
    <row r="37" spans="2:10">
      <c r="D37" s="3" t="s">
        <v>1675</v>
      </c>
    </row>
    <row r="39" spans="2:10">
      <c r="D39" s="3" t="s">
        <v>1676</v>
      </c>
    </row>
    <row r="41" spans="2:10">
      <c r="D41" s="188" t="s">
        <v>1677</v>
      </c>
      <c r="E41" s="188" t="s">
        <v>1678</v>
      </c>
    </row>
    <row r="42" spans="2:10">
      <c r="D42" s="16" t="s">
        <v>1679</v>
      </c>
      <c r="E42" s="3">
        <v>90</v>
      </c>
    </row>
    <row r="43" spans="2:10">
      <c r="D43" s="16" t="s">
        <v>1680</v>
      </c>
      <c r="E43" s="3">
        <v>75</v>
      </c>
    </row>
    <row r="44" spans="2:10">
      <c r="D44" s="16" t="s">
        <v>1681</v>
      </c>
      <c r="E44" s="3">
        <v>60</v>
      </c>
    </row>
    <row r="45" spans="2:10">
      <c r="D45" s="16" t="s">
        <v>1682</v>
      </c>
      <c r="E45" s="3">
        <v>30</v>
      </c>
    </row>
    <row r="46" spans="2:10">
      <c r="D46" s="16" t="s">
        <v>1683</v>
      </c>
      <c r="E46" s="3">
        <v>15</v>
      </c>
    </row>
    <row r="48" spans="2:10">
      <c r="B48" s="211">
        <v>3.1</v>
      </c>
      <c r="C48" s="3" t="s">
        <v>1651</v>
      </c>
    </row>
    <row r="50" spans="2:10">
      <c r="C50" s="3" t="s">
        <v>1684</v>
      </c>
      <c r="E50" s="179">
        <v>6</v>
      </c>
    </row>
    <row r="52" spans="2:10">
      <c r="F52" s="188" t="s">
        <v>16</v>
      </c>
      <c r="G52" s="188" t="s">
        <v>1685</v>
      </c>
      <c r="H52" s="188" t="s">
        <v>1441</v>
      </c>
      <c r="I52" s="188" t="s">
        <v>270</v>
      </c>
      <c r="J52" s="188" t="s">
        <v>1062</v>
      </c>
    </row>
    <row r="53" spans="2:10">
      <c r="F53" s="16" t="s">
        <v>1686</v>
      </c>
      <c r="G53" s="16">
        <v>1</v>
      </c>
      <c r="H53" s="3" t="s">
        <v>601</v>
      </c>
      <c r="I53" s="3">
        <v>50000</v>
      </c>
      <c r="J53" s="16">
        <f>VLOOKUP(H53,道具定价!$C:$F,4,0)*I53</f>
        <v>50</v>
      </c>
    </row>
    <row r="54" spans="2:10">
      <c r="F54" s="16" t="s">
        <v>1686</v>
      </c>
      <c r="G54" s="16">
        <v>2</v>
      </c>
      <c r="H54" s="3" t="s">
        <v>5</v>
      </c>
      <c r="I54" s="3">
        <v>50</v>
      </c>
      <c r="J54" s="16">
        <f>VLOOKUP(H54,道具定价!$C:$F,4,0)*I54</f>
        <v>50</v>
      </c>
    </row>
    <row r="55" spans="2:10">
      <c r="F55" s="16" t="s">
        <v>1687</v>
      </c>
      <c r="G55" s="16">
        <v>5</v>
      </c>
      <c r="H55" s="3" t="s">
        <v>614</v>
      </c>
      <c r="I55" s="3">
        <v>5</v>
      </c>
      <c r="J55" s="16">
        <f>VLOOKUP(H55,道具定价!$C:$F,4,0)*I55</f>
        <v>50</v>
      </c>
    </row>
    <row r="56" spans="2:10">
      <c r="F56" s="16" t="s">
        <v>1687</v>
      </c>
      <c r="G56" s="16">
        <v>10</v>
      </c>
      <c r="H56" s="3" t="s">
        <v>5</v>
      </c>
      <c r="I56" s="3">
        <v>50</v>
      </c>
      <c r="J56" s="16">
        <f>VLOOKUP(H56,道具定价!$C:$F,4,0)*I56</f>
        <v>50</v>
      </c>
    </row>
    <row r="57" spans="2:10">
      <c r="F57" s="16" t="s">
        <v>1688</v>
      </c>
      <c r="G57" s="16">
        <v>5000</v>
      </c>
      <c r="H57" s="3" t="s">
        <v>601</v>
      </c>
      <c r="I57" s="3">
        <v>50000</v>
      </c>
      <c r="J57" s="16">
        <f>VLOOKUP(H57,道具定价!$C:$F,4,0)*I57</f>
        <v>50</v>
      </c>
    </row>
    <row r="58" spans="2:10">
      <c r="F58" s="16" t="s">
        <v>1688</v>
      </c>
      <c r="G58" s="16">
        <v>10000</v>
      </c>
      <c r="H58" s="3" t="s">
        <v>5</v>
      </c>
      <c r="I58" s="3">
        <v>50</v>
      </c>
      <c r="J58" s="16">
        <f>VLOOKUP(H58,道具定价!$C:$F,4,0)*I58</f>
        <v>50</v>
      </c>
    </row>
    <row r="61" spans="2:10">
      <c r="B61" s="3">
        <v>3.2</v>
      </c>
      <c r="C61" s="3" t="s">
        <v>1652</v>
      </c>
    </row>
    <row r="62" spans="2:10">
      <c r="C62" s="3" t="s">
        <v>1689</v>
      </c>
      <c r="F62" s="3" t="s">
        <v>1690</v>
      </c>
    </row>
    <row r="63" spans="2:10">
      <c r="F63" s="188" t="s">
        <v>1691</v>
      </c>
      <c r="G63" s="188" t="s">
        <v>1692</v>
      </c>
      <c r="H63" s="188" t="s">
        <v>1123</v>
      </c>
      <c r="I63" s="188" t="s">
        <v>1693</v>
      </c>
      <c r="J63" s="188" t="s">
        <v>1125</v>
      </c>
    </row>
    <row r="69" spans="2:15">
      <c r="G69" s="16" t="s">
        <v>614</v>
      </c>
    </row>
    <row r="70" spans="2:15">
      <c r="G70" s="16" t="s">
        <v>6</v>
      </c>
    </row>
    <row r="74" spans="2:15">
      <c r="H74" s="3">
        <v>2</v>
      </c>
    </row>
    <row r="76" spans="2:15">
      <c r="B76" s="3">
        <v>3.3</v>
      </c>
      <c r="C76" s="3" t="s">
        <v>1653</v>
      </c>
    </row>
    <row r="77" spans="2:15">
      <c r="C77" s="3" t="s">
        <v>1694</v>
      </c>
      <c r="F77" s="188" t="s">
        <v>1695</v>
      </c>
      <c r="G77" s="188" t="s">
        <v>1696</v>
      </c>
      <c r="H77" s="188" t="s">
        <v>1123</v>
      </c>
      <c r="I77" s="188" t="s">
        <v>1697</v>
      </c>
      <c r="J77" s="188" t="s">
        <v>1698</v>
      </c>
      <c r="K77" s="188" t="s">
        <v>1125</v>
      </c>
      <c r="L77" s="188" t="s">
        <v>1699</v>
      </c>
      <c r="M77" s="188" t="s">
        <v>1700</v>
      </c>
    </row>
    <row r="78" spans="2:15">
      <c r="C78" s="3" t="s">
        <v>1701</v>
      </c>
      <c r="F78" s="3">
        <v>1000</v>
      </c>
      <c r="G78" s="16" t="s">
        <v>6</v>
      </c>
      <c r="H78" s="16">
        <v>1</v>
      </c>
      <c r="I78" s="16">
        <f>VLOOKUP(G78,道具定价!$C:$F,4,0)*H78</f>
        <v>150</v>
      </c>
      <c r="J78" s="16"/>
      <c r="K78" s="16"/>
      <c r="L78" s="16">
        <f>_xlfn.IFNA(VLOOKUP(J78,道具定价!$C:$F,4,0)*K78,0)</f>
        <v>0</v>
      </c>
      <c r="M78" s="3">
        <f t="shared" ref="M78:M141" si="0">L78+I78</f>
        <v>150</v>
      </c>
      <c r="N78" s="3">
        <v>23000001</v>
      </c>
    </row>
    <row r="79" spans="2:15">
      <c r="F79" s="3">
        <v>2000</v>
      </c>
      <c r="G79" s="16" t="s">
        <v>731</v>
      </c>
      <c r="H79" s="16">
        <v>2</v>
      </c>
      <c r="I79" s="16">
        <f>VLOOKUP(G79,道具定价!$C:$F,4,0)*H79</f>
        <v>120</v>
      </c>
      <c r="J79" s="16"/>
      <c r="K79" s="16"/>
      <c r="L79" s="16">
        <f>_xlfn.IFNA(VLOOKUP(J79,道具定价!$C:$F,4,0)*K79,0)</f>
        <v>0</v>
      </c>
      <c r="M79" s="3">
        <f t="shared" si="0"/>
        <v>120</v>
      </c>
      <c r="N79" s="3">
        <v>23000002</v>
      </c>
    </row>
    <row r="80" spans="2:15">
      <c r="C80" s="3" t="s">
        <v>1702</v>
      </c>
      <c r="F80" s="2">
        <v>3000</v>
      </c>
      <c r="G80" s="16" t="s">
        <v>5</v>
      </c>
      <c r="H80" s="16">
        <v>150</v>
      </c>
      <c r="I80" s="16">
        <f>VLOOKUP(G80,道具定价!$C:$F,4,0)*H80</f>
        <v>150</v>
      </c>
      <c r="J80" s="16" t="s">
        <v>8</v>
      </c>
      <c r="K80" s="16">
        <v>1</v>
      </c>
      <c r="L80" s="16">
        <f>_xlfn.IFNA(VLOOKUP(J80,道具定价!$C:$F,4,0)*K80,0)</f>
        <v>150</v>
      </c>
      <c r="M80" s="3">
        <f t="shared" si="0"/>
        <v>300</v>
      </c>
      <c r="N80" s="3">
        <v>23000003</v>
      </c>
      <c r="O80" s="3">
        <v>23000003</v>
      </c>
    </row>
    <row r="81" spans="3:15">
      <c r="C81" s="3" t="s">
        <v>1703</v>
      </c>
      <c r="F81" s="3">
        <v>4000</v>
      </c>
      <c r="G81" s="16" t="s">
        <v>6</v>
      </c>
      <c r="H81" s="16">
        <v>1</v>
      </c>
      <c r="I81" s="16">
        <f>VLOOKUP(G81,道具定价!$C:$F,4,0)*H81</f>
        <v>150</v>
      </c>
      <c r="J81" s="16"/>
      <c r="K81" s="16"/>
      <c r="L81" s="16">
        <f>_xlfn.IFNA(VLOOKUP(J81,道具定价!$C:$F,4,0)*K81,0)</f>
        <v>0</v>
      </c>
      <c r="M81" s="3">
        <f t="shared" si="0"/>
        <v>150</v>
      </c>
      <c r="N81" s="3">
        <v>23000004</v>
      </c>
    </row>
    <row r="82" spans="3:15">
      <c r="C82" s="3" t="s">
        <v>1704</v>
      </c>
      <c r="F82" s="3">
        <v>5000</v>
      </c>
      <c r="G82" s="16" t="s">
        <v>731</v>
      </c>
      <c r="H82" s="16">
        <v>2</v>
      </c>
      <c r="I82" s="16">
        <f>VLOOKUP(G82,道具定价!$C:$F,4,0)*H82</f>
        <v>120</v>
      </c>
      <c r="J82" s="16"/>
      <c r="K82" s="16"/>
      <c r="L82" s="16">
        <f>_xlfn.IFNA(VLOOKUP(J82,道具定价!$C:$F,4,0)*K82,0)</f>
        <v>0</v>
      </c>
      <c r="M82" s="3">
        <f t="shared" si="0"/>
        <v>120</v>
      </c>
      <c r="N82" s="3">
        <v>23000005</v>
      </c>
    </row>
    <row r="83" spans="3:15">
      <c r="C83" s="3" t="s">
        <v>1705</v>
      </c>
      <c r="F83" s="2">
        <v>6000</v>
      </c>
      <c r="G83" s="16" t="s">
        <v>5</v>
      </c>
      <c r="H83" s="16">
        <v>150</v>
      </c>
      <c r="I83" s="16">
        <f>VLOOKUP(G83,道具定价!$C:$F,4,0)*H83</f>
        <v>150</v>
      </c>
      <c r="J83" s="16" t="s">
        <v>8</v>
      </c>
      <c r="K83" s="16">
        <v>1</v>
      </c>
      <c r="L83" s="16">
        <f>_xlfn.IFNA(VLOOKUP(J83,道具定价!$C:$F,4,0)*K83,0)</f>
        <v>150</v>
      </c>
      <c r="M83" s="3">
        <f t="shared" si="0"/>
        <v>300</v>
      </c>
      <c r="N83" s="3">
        <v>23000006</v>
      </c>
      <c r="O83" s="3">
        <v>23000006</v>
      </c>
    </row>
    <row r="84" spans="3:15">
      <c r="C84" s="3" t="s">
        <v>1706</v>
      </c>
      <c r="F84" s="3">
        <v>7000</v>
      </c>
      <c r="G84" s="16" t="s">
        <v>6</v>
      </c>
      <c r="H84" s="16">
        <v>1</v>
      </c>
      <c r="I84" s="16">
        <f>VLOOKUP(G84,道具定价!$C:$F,4,0)*H84</f>
        <v>150</v>
      </c>
      <c r="J84" s="16"/>
      <c r="K84" s="16"/>
      <c r="L84" s="16">
        <f>_xlfn.IFNA(VLOOKUP(J84,道具定价!$C:$F,4,0)*K84,0)</f>
        <v>0</v>
      </c>
      <c r="M84" s="3">
        <f t="shared" si="0"/>
        <v>150</v>
      </c>
      <c r="N84" s="3">
        <v>23000007</v>
      </c>
    </row>
    <row r="85" spans="3:15">
      <c r="F85" s="3">
        <v>8000</v>
      </c>
      <c r="G85" s="16" t="s">
        <v>731</v>
      </c>
      <c r="H85" s="16">
        <v>2</v>
      </c>
      <c r="I85" s="16">
        <f>VLOOKUP(G85,道具定价!$C:$F,4,0)*H85</f>
        <v>120</v>
      </c>
      <c r="J85" s="16"/>
      <c r="K85" s="16"/>
      <c r="L85" s="16">
        <f>_xlfn.IFNA(VLOOKUP(J85,道具定价!$C:$F,4,0)*K85,0)</f>
        <v>0</v>
      </c>
      <c r="M85" s="3">
        <f t="shared" si="0"/>
        <v>120</v>
      </c>
      <c r="N85" s="3">
        <v>23000008</v>
      </c>
    </row>
    <row r="86" spans="3:15">
      <c r="F86" s="212">
        <v>9000</v>
      </c>
      <c r="G86" s="16" t="s">
        <v>665</v>
      </c>
      <c r="H86" s="16">
        <v>1</v>
      </c>
      <c r="I86" s="16">
        <f>VLOOKUP(G86,道具定价!$C:$F,4,0)*H86</f>
        <v>500</v>
      </c>
      <c r="J86" s="16" t="s">
        <v>8</v>
      </c>
      <c r="K86" s="16">
        <v>2</v>
      </c>
      <c r="L86" s="16">
        <f>_xlfn.IFNA(VLOOKUP(J86,道具定价!$C:$F,4,0)*K86,0)</f>
        <v>300</v>
      </c>
      <c r="M86" s="3">
        <f t="shared" si="0"/>
        <v>800</v>
      </c>
      <c r="N86" s="3">
        <v>23000009</v>
      </c>
      <c r="O86" s="3">
        <v>23000009</v>
      </c>
    </row>
    <row r="87" spans="3:15">
      <c r="F87" s="3">
        <v>10000</v>
      </c>
      <c r="G87" s="16" t="s">
        <v>6</v>
      </c>
      <c r="H87" s="16">
        <v>2</v>
      </c>
      <c r="I87" s="16">
        <f>VLOOKUP(G87,道具定价!$C:$F,4,0)*H87</f>
        <v>300</v>
      </c>
      <c r="J87" s="16"/>
      <c r="K87" s="16"/>
      <c r="L87" s="16">
        <f>_xlfn.IFNA(VLOOKUP(J87,道具定价!$C:$F,4,0)*K87,0)</f>
        <v>0</v>
      </c>
      <c r="M87" s="3">
        <f t="shared" si="0"/>
        <v>300</v>
      </c>
      <c r="N87" s="3">
        <v>23000010</v>
      </c>
    </row>
    <row r="88" spans="3:15">
      <c r="F88" s="3">
        <v>11000</v>
      </c>
      <c r="G88" s="16" t="s">
        <v>731</v>
      </c>
      <c r="H88" s="16">
        <v>3</v>
      </c>
      <c r="I88" s="16">
        <f>VLOOKUP(G88,道具定价!$C:$F,4,0)*H88</f>
        <v>180</v>
      </c>
      <c r="J88" s="16"/>
      <c r="K88" s="16"/>
      <c r="L88" s="16">
        <f>_xlfn.IFNA(VLOOKUP(J88,道具定价!$C:$F,4,0)*K88,0)</f>
        <v>0</v>
      </c>
      <c r="M88" s="3">
        <f t="shared" si="0"/>
        <v>180</v>
      </c>
      <c r="N88" s="3">
        <v>23000011</v>
      </c>
    </row>
    <row r="89" spans="3:15">
      <c r="F89" s="2">
        <v>12000</v>
      </c>
      <c r="G89" s="16" t="s">
        <v>5</v>
      </c>
      <c r="H89" s="16">
        <v>200</v>
      </c>
      <c r="I89" s="16">
        <f>VLOOKUP(G89,道具定价!$C:$F,4,0)*H89</f>
        <v>200</v>
      </c>
      <c r="J89" s="16" t="s">
        <v>8</v>
      </c>
      <c r="K89" s="16">
        <v>2</v>
      </c>
      <c r="L89" s="16">
        <f>_xlfn.IFNA(VLOOKUP(J89,道具定价!$C:$F,4,0)*K89,0)</f>
        <v>300</v>
      </c>
      <c r="M89" s="3">
        <f t="shared" si="0"/>
        <v>500</v>
      </c>
      <c r="N89" s="3">
        <v>23000012</v>
      </c>
      <c r="O89" s="3">
        <v>23000012</v>
      </c>
    </row>
    <row r="90" spans="3:15">
      <c r="F90" s="3">
        <v>13000</v>
      </c>
      <c r="G90" s="16" t="s">
        <v>6</v>
      </c>
      <c r="H90" s="16">
        <v>2</v>
      </c>
      <c r="I90" s="16">
        <f>VLOOKUP(G90,道具定价!$C:$F,4,0)*H90</f>
        <v>300</v>
      </c>
      <c r="L90" s="16">
        <f>_xlfn.IFNA(VLOOKUP(J90,道具定价!$C:$F,4,0)*K90,0)</f>
        <v>0</v>
      </c>
      <c r="M90" s="3">
        <f t="shared" si="0"/>
        <v>300</v>
      </c>
      <c r="N90" s="3">
        <v>23000013</v>
      </c>
    </row>
    <row r="91" spans="3:15">
      <c r="F91" s="3">
        <v>14000</v>
      </c>
      <c r="G91" s="16" t="s">
        <v>731</v>
      </c>
      <c r="H91" s="16">
        <v>3</v>
      </c>
      <c r="I91" s="16">
        <f>VLOOKUP(G91,道具定价!$C:$F,4,0)*H91</f>
        <v>180</v>
      </c>
      <c r="L91" s="16">
        <f>_xlfn.IFNA(VLOOKUP(J91,道具定价!$C:$F,4,0)*K91,0)</f>
        <v>0</v>
      </c>
      <c r="M91" s="3">
        <f t="shared" si="0"/>
        <v>180</v>
      </c>
      <c r="N91" s="3">
        <v>23000014</v>
      </c>
    </row>
    <row r="92" spans="3:15">
      <c r="F92" s="2">
        <v>15000</v>
      </c>
      <c r="G92" s="16" t="s">
        <v>5</v>
      </c>
      <c r="H92" s="16">
        <v>200</v>
      </c>
      <c r="I92" s="16">
        <f>VLOOKUP(G92,道具定价!$C:$F,4,0)*H92</f>
        <v>200</v>
      </c>
      <c r="J92" s="16" t="s">
        <v>8</v>
      </c>
      <c r="K92" s="16">
        <v>2</v>
      </c>
      <c r="L92" s="16">
        <f>_xlfn.IFNA(VLOOKUP(J92,道具定价!$C:$F,4,0)*K92,0)</f>
        <v>300</v>
      </c>
      <c r="M92" s="3">
        <f t="shared" si="0"/>
        <v>500</v>
      </c>
      <c r="N92" s="3">
        <v>23000015</v>
      </c>
      <c r="O92" s="3">
        <v>23000015</v>
      </c>
    </row>
    <row r="93" spans="3:15">
      <c r="F93" s="3">
        <v>16000</v>
      </c>
      <c r="G93" s="16" t="s">
        <v>6</v>
      </c>
      <c r="H93" s="16">
        <v>2</v>
      </c>
      <c r="I93" s="16">
        <f>VLOOKUP(G93,道具定价!$C:$F,4,0)*H93</f>
        <v>300</v>
      </c>
      <c r="L93" s="16">
        <f>_xlfn.IFNA(VLOOKUP(J93,道具定价!$C:$F,4,0)*K93,0)</f>
        <v>0</v>
      </c>
      <c r="M93" s="3">
        <f t="shared" si="0"/>
        <v>300</v>
      </c>
      <c r="N93" s="3">
        <v>23000016</v>
      </c>
    </row>
    <row r="94" spans="3:15">
      <c r="F94" s="3">
        <v>17000</v>
      </c>
      <c r="G94" s="16" t="s">
        <v>731</v>
      </c>
      <c r="H94" s="16">
        <v>3</v>
      </c>
      <c r="I94" s="16">
        <f>VLOOKUP(G94,道具定价!$C:$F,4,0)*H94</f>
        <v>180</v>
      </c>
      <c r="L94" s="16">
        <f>_xlfn.IFNA(VLOOKUP(J94,道具定价!$C:$F,4,0)*K94,0)</f>
        <v>0</v>
      </c>
      <c r="M94" s="3">
        <f t="shared" si="0"/>
        <v>180</v>
      </c>
      <c r="N94" s="3">
        <v>23000017</v>
      </c>
    </row>
    <row r="95" spans="3:15">
      <c r="F95" s="212">
        <v>18000</v>
      </c>
      <c r="G95" s="16" t="s">
        <v>720</v>
      </c>
      <c r="H95" s="16">
        <v>3</v>
      </c>
      <c r="I95" s="16">
        <f>VLOOKUP(G95,道具定价!$C:$F,4,0)*H95</f>
        <v>270</v>
      </c>
      <c r="J95" s="16" t="s">
        <v>8</v>
      </c>
      <c r="K95" s="16">
        <v>2</v>
      </c>
      <c r="L95" s="16">
        <f>_xlfn.IFNA(VLOOKUP(J95,道具定价!$C:$F,4,0)*K95,0)</f>
        <v>300</v>
      </c>
      <c r="M95" s="3">
        <f t="shared" si="0"/>
        <v>570</v>
      </c>
      <c r="N95" s="3">
        <v>23000018</v>
      </c>
      <c r="O95" s="3">
        <v>23000018</v>
      </c>
    </row>
    <row r="96" spans="3:15">
      <c r="F96" s="3">
        <v>19000</v>
      </c>
      <c r="G96" s="16" t="s">
        <v>6</v>
      </c>
      <c r="H96" s="16">
        <v>2</v>
      </c>
      <c r="I96" s="16">
        <f>VLOOKUP(G96,道具定价!$C:$F,4,0)*H96</f>
        <v>300</v>
      </c>
      <c r="L96" s="16">
        <f>_xlfn.IFNA(VLOOKUP(J96,道具定价!$C:$F,4,0)*K96,0)</f>
        <v>0</v>
      </c>
      <c r="M96" s="3">
        <f t="shared" si="0"/>
        <v>300</v>
      </c>
      <c r="N96" s="3">
        <v>23000019</v>
      </c>
    </row>
    <row r="97" spans="6:15">
      <c r="F97" s="3">
        <v>20000</v>
      </c>
      <c r="G97" s="16" t="s">
        <v>731</v>
      </c>
      <c r="H97" s="16">
        <v>5</v>
      </c>
      <c r="I97" s="16">
        <f>VLOOKUP(G97,道具定价!$C:$F,4,0)*H97</f>
        <v>300</v>
      </c>
      <c r="L97" s="16">
        <f>_xlfn.IFNA(VLOOKUP(J97,道具定价!$C:$F,4,0)*K97,0)</f>
        <v>0</v>
      </c>
      <c r="M97" s="3">
        <f t="shared" si="0"/>
        <v>300</v>
      </c>
      <c r="N97" s="3">
        <v>23000020</v>
      </c>
    </row>
    <row r="98" spans="6:15">
      <c r="F98" s="2">
        <v>21000</v>
      </c>
      <c r="G98" s="16" t="s">
        <v>5</v>
      </c>
      <c r="H98" s="16">
        <v>300</v>
      </c>
      <c r="I98" s="16">
        <f>VLOOKUP(G98,道具定价!$C:$F,4,0)*H98</f>
        <v>300</v>
      </c>
      <c r="J98" s="16" t="s">
        <v>8</v>
      </c>
      <c r="K98" s="16">
        <v>2</v>
      </c>
      <c r="L98" s="16">
        <f>_xlfn.IFNA(VLOOKUP(J98,道具定价!$C:$F,4,0)*K98,0)</f>
        <v>300</v>
      </c>
      <c r="M98" s="3">
        <f t="shared" si="0"/>
        <v>600</v>
      </c>
      <c r="N98" s="3">
        <v>23000021</v>
      </c>
      <c r="O98" s="3">
        <v>23000021</v>
      </c>
    </row>
    <row r="99" spans="6:15">
      <c r="F99" s="3">
        <v>22000</v>
      </c>
      <c r="G99" s="16" t="s">
        <v>6</v>
      </c>
      <c r="H99" s="16">
        <v>2</v>
      </c>
      <c r="I99" s="16">
        <f>VLOOKUP(G99,道具定价!$C:$F,4,0)*H99</f>
        <v>300</v>
      </c>
      <c r="L99" s="16">
        <f>_xlfn.IFNA(VLOOKUP(J99,道具定价!$C:$F,4,0)*K99,0)</f>
        <v>0</v>
      </c>
      <c r="M99" s="3">
        <f t="shared" si="0"/>
        <v>300</v>
      </c>
      <c r="N99" s="3">
        <v>23000022</v>
      </c>
    </row>
    <row r="100" spans="6:15">
      <c r="F100" s="3">
        <v>23000</v>
      </c>
      <c r="G100" s="16" t="s">
        <v>731</v>
      </c>
      <c r="H100" s="16">
        <v>5</v>
      </c>
      <c r="I100" s="16">
        <f>VLOOKUP(G100,道具定价!$C:$F,4,0)*H100</f>
        <v>300</v>
      </c>
      <c r="L100" s="16">
        <f>_xlfn.IFNA(VLOOKUP(J100,道具定价!$C:$F,4,0)*K100,0)</f>
        <v>0</v>
      </c>
      <c r="M100" s="3">
        <f t="shared" si="0"/>
        <v>300</v>
      </c>
      <c r="N100" s="3">
        <v>23000023</v>
      </c>
    </row>
    <row r="101" spans="6:15">
      <c r="F101" s="2">
        <v>24000</v>
      </c>
      <c r="G101" s="16" t="s">
        <v>5</v>
      </c>
      <c r="H101" s="16">
        <v>300</v>
      </c>
      <c r="I101" s="16">
        <f>VLOOKUP(G101,道具定价!$C:$F,4,0)*H101</f>
        <v>300</v>
      </c>
      <c r="J101" s="16" t="s">
        <v>8</v>
      </c>
      <c r="K101" s="16">
        <v>2</v>
      </c>
      <c r="L101" s="16">
        <f>_xlfn.IFNA(VLOOKUP(J101,道具定价!$C:$F,4,0)*K101,0)</f>
        <v>300</v>
      </c>
      <c r="M101" s="3">
        <f t="shared" si="0"/>
        <v>600</v>
      </c>
      <c r="N101" s="3">
        <v>23000024</v>
      </c>
      <c r="O101" s="3">
        <v>23000024</v>
      </c>
    </row>
    <row r="102" spans="6:15">
      <c r="F102" s="3">
        <v>25000</v>
      </c>
      <c r="G102" s="16" t="s">
        <v>6</v>
      </c>
      <c r="H102" s="16">
        <v>2</v>
      </c>
      <c r="I102" s="16">
        <f>VLOOKUP(G102,道具定价!$C:$F,4,0)*H102</f>
        <v>300</v>
      </c>
      <c r="L102" s="16">
        <f>_xlfn.IFNA(VLOOKUP(J102,道具定价!$C:$F,4,0)*K102,0)</f>
        <v>0</v>
      </c>
      <c r="M102" s="3">
        <f t="shared" si="0"/>
        <v>300</v>
      </c>
      <c r="N102" s="3">
        <v>23000025</v>
      </c>
    </row>
    <row r="103" spans="6:15">
      <c r="F103" s="3">
        <v>26000</v>
      </c>
      <c r="G103" s="16" t="s">
        <v>731</v>
      </c>
      <c r="H103" s="16">
        <v>5</v>
      </c>
      <c r="I103" s="16">
        <f>VLOOKUP(G103,道具定价!$C:$F,4,0)*H103</f>
        <v>300</v>
      </c>
      <c r="L103" s="16">
        <f>_xlfn.IFNA(VLOOKUP(J103,道具定价!$C:$F,4,0)*K103,0)</f>
        <v>0</v>
      </c>
      <c r="M103" s="3">
        <f t="shared" si="0"/>
        <v>300</v>
      </c>
      <c r="N103" s="3">
        <v>23000026</v>
      </c>
    </row>
    <row r="104" spans="6:15">
      <c r="F104" s="212">
        <v>27000</v>
      </c>
      <c r="G104" s="16" t="s">
        <v>665</v>
      </c>
      <c r="H104" s="16">
        <v>1</v>
      </c>
      <c r="I104" s="16">
        <f>VLOOKUP(G104,道具定价!$C:$F,4,0)*H104</f>
        <v>500</v>
      </c>
      <c r="J104" s="16" t="s">
        <v>8</v>
      </c>
      <c r="K104" s="16">
        <v>2</v>
      </c>
      <c r="L104" s="16">
        <f>_xlfn.IFNA(VLOOKUP(J104,道具定价!$C:$F,4,0)*K104,0)</f>
        <v>300</v>
      </c>
      <c r="M104" s="3">
        <f t="shared" si="0"/>
        <v>800</v>
      </c>
      <c r="N104" s="3">
        <v>23000027</v>
      </c>
      <c r="O104" s="3">
        <v>23000027</v>
      </c>
    </row>
    <row r="105" spans="6:15">
      <c r="F105" s="3">
        <v>28000</v>
      </c>
      <c r="G105" s="16" t="s">
        <v>6</v>
      </c>
      <c r="H105" s="16">
        <v>2</v>
      </c>
      <c r="I105" s="16">
        <f>VLOOKUP(G105,道具定价!$C:$F,4,0)*H105</f>
        <v>300</v>
      </c>
      <c r="L105" s="16">
        <f>_xlfn.IFNA(VLOOKUP(J105,道具定价!$C:$F,4,0)*K105,0)</f>
        <v>0</v>
      </c>
      <c r="M105" s="3">
        <f t="shared" si="0"/>
        <v>300</v>
      </c>
      <c r="N105" s="3">
        <v>23000028</v>
      </c>
    </row>
    <row r="106" spans="6:15">
      <c r="F106" s="3">
        <v>29000</v>
      </c>
      <c r="G106" s="16" t="s">
        <v>6</v>
      </c>
      <c r="H106" s="16">
        <v>2</v>
      </c>
      <c r="I106" s="16">
        <f>VLOOKUP(G106,道具定价!$C:$F,4,0)*H106</f>
        <v>300</v>
      </c>
      <c r="L106" s="16">
        <f>_xlfn.IFNA(VLOOKUP(J106,道具定价!$C:$F,4,0)*K106,0)</f>
        <v>0</v>
      </c>
      <c r="M106" s="3">
        <f t="shared" si="0"/>
        <v>300</v>
      </c>
      <c r="N106" s="3">
        <v>23000029</v>
      </c>
    </row>
    <row r="107" spans="6:15">
      <c r="F107" s="2">
        <v>30000</v>
      </c>
      <c r="G107" s="16" t="s">
        <v>5</v>
      </c>
      <c r="H107" s="16">
        <v>300</v>
      </c>
      <c r="I107" s="16">
        <f>VLOOKUP(G107,道具定价!$C:$F,4,0)*H107</f>
        <v>300</v>
      </c>
      <c r="J107" s="16" t="s">
        <v>9</v>
      </c>
      <c r="K107" s="16">
        <v>2</v>
      </c>
      <c r="L107" s="16">
        <f>_xlfn.IFNA(VLOOKUP(J107,道具定价!$C:$F,4,0)*K107,0)</f>
        <v>300</v>
      </c>
      <c r="M107" s="3">
        <f t="shared" si="0"/>
        <v>600</v>
      </c>
      <c r="N107" s="3">
        <v>23000030</v>
      </c>
      <c r="O107" s="3">
        <v>23000030</v>
      </c>
    </row>
    <row r="108" spans="6:15">
      <c r="F108" s="3">
        <v>31000</v>
      </c>
      <c r="G108" s="16" t="s">
        <v>6</v>
      </c>
      <c r="H108" s="16">
        <v>2</v>
      </c>
      <c r="I108" s="16">
        <f>VLOOKUP(G108,道具定价!$C:$F,4,0)*H108</f>
        <v>300</v>
      </c>
      <c r="L108" s="16">
        <f>_xlfn.IFNA(VLOOKUP(J108,道具定价!$C:$F,4,0)*K108,0)</f>
        <v>0</v>
      </c>
      <c r="M108" s="3">
        <f t="shared" si="0"/>
        <v>300</v>
      </c>
      <c r="N108" s="3">
        <v>23000031</v>
      </c>
    </row>
    <row r="109" spans="6:15">
      <c r="F109" s="3">
        <v>32000</v>
      </c>
      <c r="G109" s="16" t="s">
        <v>6</v>
      </c>
      <c r="H109" s="16">
        <v>2</v>
      </c>
      <c r="I109" s="16">
        <f>VLOOKUP(G109,道具定价!$C:$F,4,0)*H109</f>
        <v>300</v>
      </c>
      <c r="L109" s="16">
        <f>_xlfn.IFNA(VLOOKUP(J109,道具定价!$C:$F,4,0)*K109,0)</f>
        <v>0</v>
      </c>
      <c r="M109" s="3">
        <f t="shared" si="0"/>
        <v>300</v>
      </c>
      <c r="N109" s="3">
        <v>23000032</v>
      </c>
    </row>
    <row r="110" spans="6:15">
      <c r="F110" s="2">
        <v>33000</v>
      </c>
      <c r="G110" s="16" t="s">
        <v>5</v>
      </c>
      <c r="H110" s="16">
        <v>300</v>
      </c>
      <c r="I110" s="16">
        <f>VLOOKUP(G110,道具定价!$C:$F,4,0)*H110</f>
        <v>300</v>
      </c>
      <c r="J110" s="16" t="s">
        <v>9</v>
      </c>
      <c r="K110" s="16">
        <v>2</v>
      </c>
      <c r="L110" s="16">
        <f>_xlfn.IFNA(VLOOKUP(J110,道具定价!$C:$F,4,0)*K110,0)</f>
        <v>300</v>
      </c>
      <c r="M110" s="3">
        <f t="shared" si="0"/>
        <v>600</v>
      </c>
      <c r="N110" s="3">
        <v>23000033</v>
      </c>
      <c r="O110" s="3">
        <v>23000033</v>
      </c>
    </row>
    <row r="111" spans="6:15">
      <c r="F111" s="3">
        <v>34000</v>
      </c>
      <c r="G111" s="16" t="s">
        <v>6</v>
      </c>
      <c r="H111" s="16">
        <v>2</v>
      </c>
      <c r="I111" s="16">
        <f>VLOOKUP(G111,道具定价!$C:$F,4,0)*H111</f>
        <v>300</v>
      </c>
      <c r="L111" s="16">
        <f>_xlfn.IFNA(VLOOKUP(J111,道具定价!$C:$F,4,0)*K111,0)</f>
        <v>0</v>
      </c>
      <c r="M111" s="3">
        <f t="shared" si="0"/>
        <v>300</v>
      </c>
      <c r="N111" s="3">
        <v>23000034</v>
      </c>
    </row>
    <row r="112" spans="6:15">
      <c r="F112" s="3">
        <v>35000</v>
      </c>
      <c r="G112" s="16" t="s">
        <v>6</v>
      </c>
      <c r="H112" s="16">
        <v>2</v>
      </c>
      <c r="I112" s="16">
        <f>VLOOKUP(G112,道具定价!$C:$F,4,0)*H112</f>
        <v>300</v>
      </c>
      <c r="L112" s="16">
        <f>_xlfn.IFNA(VLOOKUP(J112,道具定价!$C:$F,4,0)*K112,0)</f>
        <v>0</v>
      </c>
      <c r="M112" s="3">
        <f t="shared" si="0"/>
        <v>300</v>
      </c>
      <c r="N112" s="3">
        <v>23000035</v>
      </c>
    </row>
    <row r="113" spans="6:15">
      <c r="F113" s="212">
        <v>36000</v>
      </c>
      <c r="G113" s="16" t="s">
        <v>721</v>
      </c>
      <c r="H113" s="16">
        <v>2</v>
      </c>
      <c r="I113" s="16">
        <f>VLOOKUP(G113,道具定价!$C:$F,4,0)*H113</f>
        <v>540</v>
      </c>
      <c r="J113" s="16" t="s">
        <v>9</v>
      </c>
      <c r="K113" s="16">
        <v>2</v>
      </c>
      <c r="L113" s="16">
        <f>_xlfn.IFNA(VLOOKUP(J113,道具定价!$C:$F,4,0)*K113,0)</f>
        <v>300</v>
      </c>
      <c r="M113" s="3">
        <f t="shared" si="0"/>
        <v>840</v>
      </c>
      <c r="N113" s="3">
        <v>23000036</v>
      </c>
      <c r="O113" s="3">
        <v>23000036</v>
      </c>
    </row>
    <row r="114" spans="6:15">
      <c r="F114" s="3">
        <v>37000</v>
      </c>
      <c r="G114" s="16" t="s">
        <v>6</v>
      </c>
      <c r="H114" s="16">
        <v>3</v>
      </c>
      <c r="I114" s="16">
        <f>VLOOKUP(G114,道具定价!$C:$F,4,0)*H114</f>
        <v>450</v>
      </c>
      <c r="L114" s="16">
        <f>_xlfn.IFNA(VLOOKUP(J114,道具定价!$C:$F,4,0)*K114,0)</f>
        <v>0</v>
      </c>
      <c r="M114" s="3">
        <f t="shared" si="0"/>
        <v>450</v>
      </c>
      <c r="N114" s="3">
        <v>23000037</v>
      </c>
    </row>
    <row r="115" spans="6:15">
      <c r="F115" s="3">
        <v>38000</v>
      </c>
      <c r="G115" s="16" t="s">
        <v>6</v>
      </c>
      <c r="H115" s="16">
        <v>3</v>
      </c>
      <c r="I115" s="16">
        <f>VLOOKUP(G115,道具定价!$C:$F,4,0)*H115</f>
        <v>450</v>
      </c>
      <c r="L115" s="16">
        <f>_xlfn.IFNA(VLOOKUP(J115,道具定价!$C:$F,4,0)*K115,0)</f>
        <v>0</v>
      </c>
      <c r="M115" s="3">
        <f t="shared" si="0"/>
        <v>450</v>
      </c>
      <c r="N115" s="3">
        <v>23000038</v>
      </c>
    </row>
    <row r="116" spans="6:15">
      <c r="F116" s="2">
        <v>39000</v>
      </c>
      <c r="G116" s="16" t="s">
        <v>5</v>
      </c>
      <c r="H116" s="16">
        <v>400</v>
      </c>
      <c r="I116" s="16">
        <f>VLOOKUP(G116,道具定价!$C:$F,4,0)*H116</f>
        <v>400</v>
      </c>
      <c r="J116" s="16" t="s">
        <v>8</v>
      </c>
      <c r="K116" s="16">
        <v>3</v>
      </c>
      <c r="L116" s="16">
        <f>_xlfn.IFNA(VLOOKUP(J116,道具定价!$C:$F,4,0)*K116,0)</f>
        <v>450</v>
      </c>
      <c r="M116" s="3">
        <f t="shared" si="0"/>
        <v>850</v>
      </c>
      <c r="N116" s="3">
        <v>23000039</v>
      </c>
      <c r="O116" s="3">
        <v>23000039</v>
      </c>
    </row>
    <row r="117" spans="6:15">
      <c r="F117" s="3">
        <v>40000</v>
      </c>
      <c r="G117" s="16" t="s">
        <v>6</v>
      </c>
      <c r="H117" s="16">
        <v>3</v>
      </c>
      <c r="I117" s="16">
        <f>VLOOKUP(G117,道具定价!$C:$F,4,0)*H117</f>
        <v>450</v>
      </c>
      <c r="L117" s="16">
        <f>_xlfn.IFNA(VLOOKUP(J117,道具定价!$C:$F,4,0)*K117,0)</f>
        <v>0</v>
      </c>
      <c r="M117" s="3">
        <f t="shared" si="0"/>
        <v>450</v>
      </c>
      <c r="N117" s="3">
        <v>23000040</v>
      </c>
    </row>
    <row r="118" spans="6:15">
      <c r="F118" s="3">
        <v>41000</v>
      </c>
      <c r="G118" s="16" t="s">
        <v>6</v>
      </c>
      <c r="H118" s="16">
        <v>3</v>
      </c>
      <c r="I118" s="16">
        <f>VLOOKUP(G118,道具定价!$C:$F,4,0)*H118</f>
        <v>450</v>
      </c>
      <c r="L118" s="16">
        <f>_xlfn.IFNA(VLOOKUP(J118,道具定价!$C:$F,4,0)*K118,0)</f>
        <v>0</v>
      </c>
      <c r="M118" s="3">
        <f t="shared" si="0"/>
        <v>450</v>
      </c>
      <c r="N118" s="3">
        <v>23000041</v>
      </c>
    </row>
    <row r="119" spans="6:15">
      <c r="F119" s="2">
        <v>42000</v>
      </c>
      <c r="G119" s="16" t="s">
        <v>5</v>
      </c>
      <c r="H119" s="16">
        <v>400</v>
      </c>
      <c r="I119" s="16">
        <f>VLOOKUP(G119,道具定价!$C:$F,4,0)*H119</f>
        <v>400</v>
      </c>
      <c r="J119" s="16" t="s">
        <v>8</v>
      </c>
      <c r="K119" s="16">
        <v>3</v>
      </c>
      <c r="L119" s="16">
        <f>_xlfn.IFNA(VLOOKUP(J119,道具定价!$C:$F,4,0)*K119,0)</f>
        <v>450</v>
      </c>
      <c r="M119" s="3">
        <f t="shared" si="0"/>
        <v>850</v>
      </c>
      <c r="N119" s="3">
        <v>23000042</v>
      </c>
      <c r="O119" s="3">
        <v>23000042</v>
      </c>
    </row>
    <row r="120" spans="6:15">
      <c r="F120" s="3">
        <v>43000</v>
      </c>
      <c r="G120" s="16" t="s">
        <v>6</v>
      </c>
      <c r="H120" s="16">
        <v>3</v>
      </c>
      <c r="I120" s="16">
        <f>VLOOKUP(G120,道具定价!$C:$F,4,0)*H120</f>
        <v>450</v>
      </c>
      <c r="L120" s="16">
        <f>_xlfn.IFNA(VLOOKUP(J120,道具定价!$C:$F,4,0)*K120,0)</f>
        <v>0</v>
      </c>
      <c r="M120" s="3">
        <f t="shared" si="0"/>
        <v>450</v>
      </c>
      <c r="N120" s="3">
        <v>23000043</v>
      </c>
    </row>
    <row r="121" spans="6:15">
      <c r="F121" s="3">
        <v>44000</v>
      </c>
      <c r="G121" s="16" t="s">
        <v>6</v>
      </c>
      <c r="H121" s="16">
        <v>3</v>
      </c>
      <c r="I121" s="16">
        <f>VLOOKUP(G121,道具定价!$C:$F,4,0)*H121</f>
        <v>450</v>
      </c>
      <c r="L121" s="16">
        <f>_xlfn.IFNA(VLOOKUP(J121,道具定价!$C:$F,4,0)*K121,0)</f>
        <v>0</v>
      </c>
      <c r="M121" s="3">
        <f t="shared" si="0"/>
        <v>450</v>
      </c>
      <c r="N121" s="3">
        <v>23000044</v>
      </c>
    </row>
    <row r="122" spans="6:15">
      <c r="F122" s="212">
        <v>45000</v>
      </c>
      <c r="G122" s="16" t="s">
        <v>709</v>
      </c>
      <c r="H122" s="16">
        <v>1</v>
      </c>
      <c r="I122" s="16">
        <f>VLOOKUP(G122,道具定价!$C:$F,4,0)*H122</f>
        <v>1000</v>
      </c>
      <c r="J122" s="16" t="s">
        <v>8</v>
      </c>
      <c r="K122" s="16">
        <v>3</v>
      </c>
      <c r="L122" s="16">
        <f>_xlfn.IFNA(VLOOKUP(J122,道具定价!$C:$F,4,0)*K122,0)</f>
        <v>450</v>
      </c>
      <c r="M122" s="3">
        <f t="shared" si="0"/>
        <v>1450</v>
      </c>
      <c r="N122" s="3">
        <v>23000045</v>
      </c>
      <c r="O122" s="3">
        <v>23000045</v>
      </c>
    </row>
    <row r="123" spans="6:15">
      <c r="F123" s="3">
        <v>46000</v>
      </c>
      <c r="G123" s="16" t="s">
        <v>6</v>
      </c>
      <c r="H123" s="16">
        <v>3</v>
      </c>
      <c r="I123" s="16">
        <f>VLOOKUP(G123,道具定价!$C:$F,4,0)*H123</f>
        <v>450</v>
      </c>
      <c r="L123" s="16">
        <f>_xlfn.IFNA(VLOOKUP(J123,道具定价!$C:$F,4,0)*K123,0)</f>
        <v>0</v>
      </c>
      <c r="M123" s="3">
        <f t="shared" si="0"/>
        <v>450</v>
      </c>
      <c r="N123" s="3">
        <v>23000046</v>
      </c>
    </row>
    <row r="124" spans="6:15">
      <c r="F124" s="3">
        <v>47000</v>
      </c>
      <c r="G124" s="16" t="s">
        <v>6</v>
      </c>
      <c r="H124" s="16">
        <v>3</v>
      </c>
      <c r="I124" s="16">
        <f>VLOOKUP(G124,道具定价!$C:$F,4,0)*H124</f>
        <v>450</v>
      </c>
      <c r="L124" s="16">
        <f>_xlfn.IFNA(VLOOKUP(J124,道具定价!$C:$F,4,0)*K124,0)</f>
        <v>0</v>
      </c>
      <c r="M124" s="3">
        <f t="shared" si="0"/>
        <v>450</v>
      </c>
      <c r="N124" s="3">
        <v>23000047</v>
      </c>
    </row>
    <row r="125" spans="6:15">
      <c r="F125" s="2">
        <v>48000</v>
      </c>
      <c r="G125" s="16" t="s">
        <v>5</v>
      </c>
      <c r="H125" s="16">
        <v>500</v>
      </c>
      <c r="I125" s="16">
        <f>VLOOKUP(G125,道具定价!$C:$F,4,0)*H125</f>
        <v>500</v>
      </c>
      <c r="J125" s="16" t="s">
        <v>9</v>
      </c>
      <c r="K125" s="16">
        <v>3</v>
      </c>
      <c r="L125" s="16">
        <f>_xlfn.IFNA(VLOOKUP(J125,道具定价!$C:$F,4,0)*K125,0)</f>
        <v>450</v>
      </c>
      <c r="M125" s="3">
        <f t="shared" si="0"/>
        <v>950</v>
      </c>
      <c r="N125" s="3">
        <v>23000048</v>
      </c>
      <c r="O125" s="3">
        <v>23000048</v>
      </c>
    </row>
    <row r="126" spans="6:15">
      <c r="F126" s="3">
        <v>49000</v>
      </c>
      <c r="G126" s="16" t="s">
        <v>6</v>
      </c>
      <c r="H126" s="16">
        <v>3</v>
      </c>
      <c r="I126" s="16">
        <f>VLOOKUP(G126,道具定价!$C:$F,4,0)*H126</f>
        <v>450</v>
      </c>
      <c r="L126" s="16">
        <f>_xlfn.IFNA(VLOOKUP(J126,道具定价!$C:$F,4,0)*K126,0)</f>
        <v>0</v>
      </c>
      <c r="M126" s="3">
        <f t="shared" si="0"/>
        <v>450</v>
      </c>
      <c r="N126" s="3">
        <v>23000049</v>
      </c>
    </row>
    <row r="127" spans="6:15">
      <c r="F127" s="3">
        <v>50000</v>
      </c>
      <c r="G127" s="16" t="s">
        <v>6</v>
      </c>
      <c r="H127" s="16">
        <v>3</v>
      </c>
      <c r="I127" s="16">
        <f>VLOOKUP(G127,道具定价!$C:$F,4,0)*H127</f>
        <v>450</v>
      </c>
      <c r="L127" s="16">
        <f>_xlfn.IFNA(VLOOKUP(J127,道具定价!$C:$F,4,0)*K127,0)</f>
        <v>0</v>
      </c>
      <c r="M127" s="3">
        <f t="shared" si="0"/>
        <v>450</v>
      </c>
      <c r="N127" s="3">
        <v>23000050</v>
      </c>
    </row>
    <row r="128" spans="6:15">
      <c r="F128" s="2">
        <v>51000</v>
      </c>
      <c r="G128" s="16" t="s">
        <v>5</v>
      </c>
      <c r="H128" s="16">
        <v>500</v>
      </c>
      <c r="I128" s="16">
        <f>VLOOKUP(G128,道具定价!$C:$F,4,0)*H128</f>
        <v>500</v>
      </c>
      <c r="J128" s="16" t="s">
        <v>9</v>
      </c>
      <c r="K128" s="16">
        <v>3</v>
      </c>
      <c r="L128" s="16">
        <f>_xlfn.IFNA(VLOOKUP(J128,道具定价!$C:$F,4,0)*K128,0)</f>
        <v>450</v>
      </c>
      <c r="M128" s="3">
        <f t="shared" si="0"/>
        <v>950</v>
      </c>
      <c r="N128" s="3">
        <v>23000051</v>
      </c>
      <c r="O128" s="3">
        <v>23000051</v>
      </c>
    </row>
    <row r="129" spans="6:15">
      <c r="F129" s="3">
        <v>52000</v>
      </c>
      <c r="G129" s="16" t="s">
        <v>6</v>
      </c>
      <c r="H129" s="16">
        <v>3</v>
      </c>
      <c r="I129" s="16">
        <f>VLOOKUP(G129,道具定价!$C:$F,4,0)*H129</f>
        <v>450</v>
      </c>
      <c r="L129" s="16">
        <f>_xlfn.IFNA(VLOOKUP(J129,道具定价!$C:$F,4,0)*K129,0)</f>
        <v>0</v>
      </c>
      <c r="M129" s="3">
        <f t="shared" si="0"/>
        <v>450</v>
      </c>
      <c r="N129" s="3">
        <v>23000052</v>
      </c>
    </row>
    <row r="130" spans="6:15">
      <c r="F130" s="3">
        <v>53000</v>
      </c>
      <c r="G130" s="16" t="s">
        <v>6</v>
      </c>
      <c r="H130" s="16">
        <v>3</v>
      </c>
      <c r="I130" s="16">
        <f>VLOOKUP(G130,道具定价!$C:$F,4,0)*H130</f>
        <v>450</v>
      </c>
      <c r="L130" s="16">
        <f>_xlfn.IFNA(VLOOKUP(J130,道具定价!$C:$F,4,0)*K130,0)</f>
        <v>0</v>
      </c>
      <c r="M130" s="3">
        <f t="shared" si="0"/>
        <v>450</v>
      </c>
      <c r="N130" s="3">
        <v>23000053</v>
      </c>
    </row>
    <row r="131" spans="6:15">
      <c r="F131" s="212">
        <v>54000</v>
      </c>
      <c r="G131" s="16" t="s">
        <v>713</v>
      </c>
      <c r="H131" s="16">
        <v>1</v>
      </c>
      <c r="I131" s="16">
        <f>VLOOKUP(G131,道具定价!$C:$F,4,0)*H131</f>
        <v>3000</v>
      </c>
      <c r="J131" s="16" t="s">
        <v>9</v>
      </c>
      <c r="K131" s="16">
        <v>3</v>
      </c>
      <c r="L131" s="16">
        <f>_xlfn.IFNA(VLOOKUP(J131,道具定价!$C:$F,4,0)*K131,0)</f>
        <v>450</v>
      </c>
      <c r="M131" s="3">
        <f t="shared" si="0"/>
        <v>3450</v>
      </c>
      <c r="N131" s="3">
        <v>23000054</v>
      </c>
      <c r="O131" s="3">
        <v>23000054</v>
      </c>
    </row>
    <row r="132" spans="6:15">
      <c r="F132" s="3">
        <v>55000</v>
      </c>
      <c r="G132" s="16" t="s">
        <v>6</v>
      </c>
      <c r="H132" s="16">
        <v>3</v>
      </c>
      <c r="I132" s="16">
        <f>VLOOKUP(G132,道具定价!$C:$F,4,0)*H132</f>
        <v>450</v>
      </c>
      <c r="L132" s="16">
        <f>_xlfn.IFNA(VLOOKUP(J132,道具定价!$C:$F,4,0)*K132,0)</f>
        <v>0</v>
      </c>
      <c r="M132" s="3">
        <f t="shared" si="0"/>
        <v>450</v>
      </c>
      <c r="N132" s="3">
        <v>23000055</v>
      </c>
    </row>
    <row r="133" spans="6:15">
      <c r="F133" s="3">
        <v>56000</v>
      </c>
      <c r="G133" s="16" t="s">
        <v>6</v>
      </c>
      <c r="H133" s="16">
        <v>3</v>
      </c>
      <c r="I133" s="16">
        <f>VLOOKUP(G133,道具定价!$C:$F,4,0)*H133</f>
        <v>450</v>
      </c>
      <c r="L133" s="16">
        <f>_xlfn.IFNA(VLOOKUP(J133,道具定价!$C:$F,4,0)*K133,0)</f>
        <v>0</v>
      </c>
      <c r="M133" s="3">
        <f t="shared" si="0"/>
        <v>450</v>
      </c>
      <c r="N133" s="3">
        <v>23000056</v>
      </c>
    </row>
    <row r="134" spans="6:15">
      <c r="F134" s="2">
        <v>57000</v>
      </c>
      <c r="G134" s="16" t="s">
        <v>5</v>
      </c>
      <c r="H134" s="16">
        <v>500</v>
      </c>
      <c r="I134" s="16">
        <f>VLOOKUP(G134,道具定价!$C:$F,4,0)*H134</f>
        <v>500</v>
      </c>
      <c r="J134" s="16" t="s">
        <v>8</v>
      </c>
      <c r="K134" s="16">
        <v>3</v>
      </c>
      <c r="L134" s="16">
        <f>_xlfn.IFNA(VLOOKUP(J134,道具定价!$C:$F,4,0)*K134,0)</f>
        <v>450</v>
      </c>
      <c r="M134" s="3">
        <f t="shared" si="0"/>
        <v>950</v>
      </c>
      <c r="N134" s="3">
        <v>23000057</v>
      </c>
      <c r="O134" s="3">
        <v>23000057</v>
      </c>
    </row>
    <row r="135" spans="6:15">
      <c r="F135" s="3">
        <v>58000</v>
      </c>
      <c r="G135" s="16" t="s">
        <v>6</v>
      </c>
      <c r="H135" s="16">
        <v>3</v>
      </c>
      <c r="I135" s="16">
        <f>VLOOKUP(G135,道具定价!$C:$F,4,0)*H135</f>
        <v>450</v>
      </c>
      <c r="L135" s="16">
        <f>_xlfn.IFNA(VLOOKUP(J135,道具定价!$C:$F,4,0)*K135,0)</f>
        <v>0</v>
      </c>
      <c r="M135" s="3">
        <f t="shared" si="0"/>
        <v>450</v>
      </c>
      <c r="N135" s="3">
        <v>23000058</v>
      </c>
    </row>
    <row r="136" spans="6:15">
      <c r="F136" s="3">
        <v>59000</v>
      </c>
      <c r="G136" s="16" t="s">
        <v>6</v>
      </c>
      <c r="H136" s="16">
        <v>3</v>
      </c>
      <c r="I136" s="16">
        <f>VLOOKUP(G136,道具定价!$C:$F,4,0)*H136</f>
        <v>450</v>
      </c>
      <c r="L136" s="16">
        <f>_xlfn.IFNA(VLOOKUP(J136,道具定价!$C:$F,4,0)*K136,0)</f>
        <v>0</v>
      </c>
      <c r="M136" s="3">
        <f t="shared" si="0"/>
        <v>450</v>
      </c>
      <c r="N136" s="3">
        <v>23000059</v>
      </c>
    </row>
    <row r="137" spans="6:15">
      <c r="F137" s="2">
        <v>60000</v>
      </c>
      <c r="G137" s="16" t="s">
        <v>5</v>
      </c>
      <c r="H137" s="16">
        <v>500</v>
      </c>
      <c r="I137" s="16">
        <f>VLOOKUP(G137,道具定价!$C:$F,4,0)*H137</f>
        <v>500</v>
      </c>
      <c r="J137" s="16" t="s">
        <v>8</v>
      </c>
      <c r="K137" s="16">
        <v>3</v>
      </c>
      <c r="L137" s="16">
        <f>_xlfn.IFNA(VLOOKUP(J137,道具定价!$C:$F,4,0)*K137,0)</f>
        <v>450</v>
      </c>
      <c r="M137" s="3">
        <f t="shared" si="0"/>
        <v>950</v>
      </c>
      <c r="N137" s="3">
        <v>23000060</v>
      </c>
      <c r="O137" s="3">
        <v>23000060</v>
      </c>
    </row>
    <row r="138" spans="6:15">
      <c r="F138" s="3">
        <v>61000</v>
      </c>
      <c r="G138" s="16" t="s">
        <v>6</v>
      </c>
      <c r="H138" s="16">
        <v>3</v>
      </c>
      <c r="I138" s="16">
        <f>VLOOKUP(G138,道具定价!$C:$F,4,0)*H138</f>
        <v>450</v>
      </c>
      <c r="L138" s="16">
        <f>_xlfn.IFNA(VLOOKUP(J138,道具定价!$C:$F,4,0)*K138,0)</f>
        <v>0</v>
      </c>
      <c r="M138" s="3">
        <f t="shared" si="0"/>
        <v>450</v>
      </c>
      <c r="N138" s="3">
        <v>23000061</v>
      </c>
    </row>
    <row r="139" spans="6:15">
      <c r="F139" s="3">
        <v>62000</v>
      </c>
      <c r="G139" s="16" t="s">
        <v>6</v>
      </c>
      <c r="H139" s="16">
        <v>3</v>
      </c>
      <c r="I139" s="16">
        <f>VLOOKUP(G139,道具定价!$C:$F,4,0)*H139</f>
        <v>450</v>
      </c>
      <c r="L139" s="16">
        <f>_xlfn.IFNA(VLOOKUP(J139,道具定价!$C:$F,4,0)*K139,0)</f>
        <v>0</v>
      </c>
      <c r="M139" s="3">
        <f t="shared" si="0"/>
        <v>450</v>
      </c>
      <c r="N139" s="3">
        <v>23000062</v>
      </c>
    </row>
    <row r="140" spans="6:15">
      <c r="F140" s="212">
        <v>63000</v>
      </c>
      <c r="G140" s="16" t="s">
        <v>722</v>
      </c>
      <c r="H140" s="16">
        <v>1</v>
      </c>
      <c r="I140" s="16">
        <f>VLOOKUP(G140,道具定价!$C:$F,4,0)*H140</f>
        <v>810</v>
      </c>
      <c r="J140" s="16" t="s">
        <v>8</v>
      </c>
      <c r="K140" s="16">
        <v>3</v>
      </c>
      <c r="L140" s="16">
        <f>_xlfn.IFNA(VLOOKUP(J140,道具定价!$C:$F,4,0)*K140,0)</f>
        <v>450</v>
      </c>
      <c r="M140" s="3">
        <f t="shared" si="0"/>
        <v>1260</v>
      </c>
      <c r="N140" s="3">
        <v>23000063</v>
      </c>
      <c r="O140" s="3">
        <v>23000063</v>
      </c>
    </row>
    <row r="141" spans="6:15">
      <c r="F141" s="3">
        <v>64000</v>
      </c>
      <c r="G141" s="16" t="s">
        <v>6</v>
      </c>
      <c r="H141" s="16">
        <v>3</v>
      </c>
      <c r="I141" s="16">
        <f>VLOOKUP(G141,道具定价!$C:$F,4,0)*H141</f>
        <v>450</v>
      </c>
      <c r="L141" s="16">
        <f>_xlfn.IFNA(VLOOKUP(J141,道具定价!$C:$F,4,0)*K141,0)</f>
        <v>0</v>
      </c>
      <c r="M141" s="3">
        <f t="shared" si="0"/>
        <v>450</v>
      </c>
      <c r="N141" s="3">
        <v>23000064</v>
      </c>
    </row>
    <row r="142" spans="6:15">
      <c r="F142" s="3">
        <v>65000</v>
      </c>
      <c r="G142" s="16" t="s">
        <v>6</v>
      </c>
      <c r="H142" s="16">
        <v>3</v>
      </c>
      <c r="I142" s="16">
        <f>VLOOKUP(G142,道具定价!$C:$F,4,0)*H142</f>
        <v>450</v>
      </c>
      <c r="L142" s="16">
        <f>_xlfn.IFNA(VLOOKUP(J142,道具定价!$C:$F,4,0)*K142,0)</f>
        <v>0</v>
      </c>
      <c r="M142" s="3">
        <f t="shared" ref="M142:M205" si="1">L142+I142</f>
        <v>450</v>
      </c>
      <c r="N142" s="3">
        <v>23000065</v>
      </c>
    </row>
    <row r="143" spans="6:15">
      <c r="F143" s="2">
        <v>66000</v>
      </c>
      <c r="G143" s="16" t="s">
        <v>5</v>
      </c>
      <c r="H143" s="16">
        <v>500</v>
      </c>
      <c r="I143" s="16">
        <f>VLOOKUP(G143,道具定价!$C:$F,4,0)*H143</f>
        <v>500</v>
      </c>
      <c r="J143" s="16" t="s">
        <v>9</v>
      </c>
      <c r="K143" s="16">
        <v>3</v>
      </c>
      <c r="L143" s="16">
        <f>_xlfn.IFNA(VLOOKUP(J143,道具定价!$C:$F,4,0)*K143,0)</f>
        <v>450</v>
      </c>
      <c r="M143" s="3">
        <f t="shared" si="1"/>
        <v>950</v>
      </c>
      <c r="N143" s="3">
        <v>23000066</v>
      </c>
      <c r="O143" s="3">
        <v>23000066</v>
      </c>
    </row>
    <row r="144" spans="6:15">
      <c r="F144" s="3">
        <v>67000</v>
      </c>
      <c r="G144" s="16" t="s">
        <v>6</v>
      </c>
      <c r="H144" s="16">
        <v>3</v>
      </c>
      <c r="I144" s="16">
        <f>VLOOKUP(G144,道具定价!$C:$F,4,0)*H144</f>
        <v>450</v>
      </c>
      <c r="L144" s="16">
        <f>_xlfn.IFNA(VLOOKUP(J144,道具定价!$C:$F,4,0)*K144,0)</f>
        <v>0</v>
      </c>
      <c r="M144" s="3">
        <f t="shared" si="1"/>
        <v>450</v>
      </c>
      <c r="N144" s="3">
        <v>23000067</v>
      </c>
    </row>
    <row r="145" spans="6:15">
      <c r="F145" s="3">
        <v>68000</v>
      </c>
      <c r="G145" s="16" t="s">
        <v>6</v>
      </c>
      <c r="H145" s="16">
        <v>3</v>
      </c>
      <c r="I145" s="16">
        <f>VLOOKUP(G145,道具定价!$C:$F,4,0)*H145</f>
        <v>450</v>
      </c>
      <c r="L145" s="16">
        <f>_xlfn.IFNA(VLOOKUP(J145,道具定价!$C:$F,4,0)*K145,0)</f>
        <v>0</v>
      </c>
      <c r="M145" s="3">
        <f t="shared" si="1"/>
        <v>450</v>
      </c>
      <c r="N145" s="3">
        <v>23000068</v>
      </c>
    </row>
    <row r="146" spans="6:15">
      <c r="F146" s="2">
        <v>69000</v>
      </c>
      <c r="G146" s="16" t="s">
        <v>5</v>
      </c>
      <c r="H146" s="16">
        <v>500</v>
      </c>
      <c r="I146" s="16">
        <f>VLOOKUP(G146,道具定价!$C:$F,4,0)*H146</f>
        <v>500</v>
      </c>
      <c r="J146" s="16" t="s">
        <v>9</v>
      </c>
      <c r="K146" s="16">
        <v>3</v>
      </c>
      <c r="L146" s="16">
        <f>_xlfn.IFNA(VLOOKUP(J146,道具定价!$C:$F,4,0)*K146,0)</f>
        <v>450</v>
      </c>
      <c r="M146" s="3">
        <f t="shared" si="1"/>
        <v>950</v>
      </c>
      <c r="N146" s="3">
        <v>23000069</v>
      </c>
      <c r="O146" s="3">
        <v>23000069</v>
      </c>
    </row>
    <row r="147" spans="6:15">
      <c r="F147" s="3">
        <v>70000</v>
      </c>
      <c r="G147" s="16" t="s">
        <v>6</v>
      </c>
      <c r="H147" s="16">
        <v>3</v>
      </c>
      <c r="I147" s="16">
        <f>VLOOKUP(G147,道具定价!$C:$F,4,0)*H147</f>
        <v>450</v>
      </c>
      <c r="L147" s="16">
        <f>_xlfn.IFNA(VLOOKUP(J147,道具定价!$C:$F,4,0)*K147,0)</f>
        <v>0</v>
      </c>
      <c r="M147" s="3">
        <f t="shared" si="1"/>
        <v>450</v>
      </c>
      <c r="N147" s="3">
        <v>23000070</v>
      </c>
    </row>
    <row r="148" spans="6:15">
      <c r="F148" s="3">
        <v>71000</v>
      </c>
      <c r="G148" s="16" t="s">
        <v>6</v>
      </c>
      <c r="H148" s="16">
        <v>3</v>
      </c>
      <c r="I148" s="16">
        <f>VLOOKUP(G148,道具定价!$C:$F,4,0)*H148</f>
        <v>450</v>
      </c>
      <c r="L148" s="16">
        <f>_xlfn.IFNA(VLOOKUP(J148,道具定价!$C:$F,4,0)*K148,0)</f>
        <v>0</v>
      </c>
      <c r="M148" s="3">
        <f t="shared" si="1"/>
        <v>450</v>
      </c>
      <c r="N148" s="3">
        <v>23000071</v>
      </c>
    </row>
    <row r="149" spans="6:15">
      <c r="F149" s="212">
        <v>72000</v>
      </c>
      <c r="G149" s="16" t="s">
        <v>709</v>
      </c>
      <c r="H149" s="16">
        <v>1</v>
      </c>
      <c r="I149" s="16">
        <f>VLOOKUP(G149,道具定价!$C:$F,4,0)*H149</f>
        <v>1000</v>
      </c>
      <c r="J149" s="16" t="s">
        <v>9</v>
      </c>
      <c r="K149" s="16">
        <v>3</v>
      </c>
      <c r="L149" s="16">
        <f>_xlfn.IFNA(VLOOKUP(J149,道具定价!$C:$F,4,0)*K149,0)</f>
        <v>450</v>
      </c>
      <c r="M149" s="3">
        <f t="shared" si="1"/>
        <v>1450</v>
      </c>
      <c r="N149" s="3">
        <v>23000072</v>
      </c>
      <c r="O149" s="3">
        <v>23000072</v>
      </c>
    </row>
    <row r="150" spans="6:15">
      <c r="F150" s="3">
        <v>73000</v>
      </c>
      <c r="G150" s="16" t="s">
        <v>6</v>
      </c>
      <c r="H150" s="16">
        <v>3</v>
      </c>
      <c r="I150" s="16">
        <f>VLOOKUP(G150,道具定价!$C:$F,4,0)*H150</f>
        <v>450</v>
      </c>
      <c r="L150" s="16">
        <f>_xlfn.IFNA(VLOOKUP(J150,道具定价!$C:$F,4,0)*K150,0)</f>
        <v>0</v>
      </c>
      <c r="M150" s="3">
        <f t="shared" si="1"/>
        <v>450</v>
      </c>
      <c r="N150" s="3">
        <v>23000073</v>
      </c>
    </row>
    <row r="151" spans="6:15">
      <c r="F151" s="3">
        <v>74000</v>
      </c>
      <c r="G151" s="16" t="s">
        <v>6</v>
      </c>
      <c r="H151" s="16">
        <v>3</v>
      </c>
      <c r="I151" s="16">
        <f>VLOOKUP(G151,道具定价!$C:$F,4,0)*H151</f>
        <v>450</v>
      </c>
      <c r="L151" s="16">
        <f>_xlfn.IFNA(VLOOKUP(J151,道具定价!$C:$F,4,0)*K151,0)</f>
        <v>0</v>
      </c>
      <c r="M151" s="3">
        <f t="shared" si="1"/>
        <v>450</v>
      </c>
      <c r="N151" s="3">
        <v>23000074</v>
      </c>
    </row>
    <row r="152" spans="6:15">
      <c r="F152" s="2">
        <v>75000</v>
      </c>
      <c r="G152" s="16" t="s">
        <v>5</v>
      </c>
      <c r="H152" s="16">
        <v>500</v>
      </c>
      <c r="I152" s="16">
        <f>VLOOKUP(G152,道具定价!$C:$F,4,0)*H152</f>
        <v>500</v>
      </c>
      <c r="J152" s="16" t="s">
        <v>8</v>
      </c>
      <c r="K152" s="16">
        <v>3</v>
      </c>
      <c r="L152" s="16">
        <f>_xlfn.IFNA(VLOOKUP(J152,道具定价!$C:$F,4,0)*K152,0)</f>
        <v>450</v>
      </c>
      <c r="M152" s="3">
        <f t="shared" si="1"/>
        <v>950</v>
      </c>
      <c r="N152" s="3">
        <v>23000075</v>
      </c>
      <c r="O152" s="3">
        <v>23000075</v>
      </c>
    </row>
    <row r="153" spans="6:15">
      <c r="F153" s="3">
        <v>76000</v>
      </c>
      <c r="G153" s="16" t="s">
        <v>6</v>
      </c>
      <c r="H153" s="16">
        <v>3</v>
      </c>
      <c r="I153" s="16">
        <f>VLOOKUP(G153,道具定价!$C:$F,4,0)*H153</f>
        <v>450</v>
      </c>
      <c r="L153" s="16">
        <f>_xlfn.IFNA(VLOOKUP(J153,道具定价!$C:$F,4,0)*K153,0)</f>
        <v>0</v>
      </c>
      <c r="M153" s="3">
        <f t="shared" si="1"/>
        <v>450</v>
      </c>
      <c r="N153" s="3">
        <v>23000076</v>
      </c>
    </row>
    <row r="154" spans="6:15">
      <c r="F154" s="3">
        <v>77000</v>
      </c>
      <c r="G154" s="16" t="s">
        <v>6</v>
      </c>
      <c r="H154" s="16">
        <v>3</v>
      </c>
      <c r="I154" s="16">
        <f>VLOOKUP(G154,道具定价!$C:$F,4,0)*H154</f>
        <v>450</v>
      </c>
      <c r="L154" s="16">
        <f>_xlfn.IFNA(VLOOKUP(J154,道具定价!$C:$F,4,0)*K154,0)</f>
        <v>0</v>
      </c>
      <c r="M154" s="3">
        <f t="shared" si="1"/>
        <v>450</v>
      </c>
      <c r="N154" s="3">
        <v>23000077</v>
      </c>
    </row>
    <row r="155" spans="6:15">
      <c r="F155" s="2">
        <v>78000</v>
      </c>
      <c r="G155" s="16" t="s">
        <v>5</v>
      </c>
      <c r="H155" s="16">
        <v>500</v>
      </c>
      <c r="I155" s="16">
        <f>VLOOKUP(G155,道具定价!$C:$F,4,0)*H155</f>
        <v>500</v>
      </c>
      <c r="J155" s="16" t="s">
        <v>8</v>
      </c>
      <c r="K155" s="16">
        <v>3</v>
      </c>
      <c r="L155" s="16">
        <f>_xlfn.IFNA(VLOOKUP(J155,道具定价!$C:$F,4,0)*K155,0)</f>
        <v>450</v>
      </c>
      <c r="M155" s="3">
        <f t="shared" si="1"/>
        <v>950</v>
      </c>
      <c r="N155" s="3">
        <v>23000078</v>
      </c>
      <c r="O155" s="3">
        <v>23000078</v>
      </c>
    </row>
    <row r="156" spans="6:15">
      <c r="F156" s="3">
        <v>79000</v>
      </c>
      <c r="G156" s="16" t="s">
        <v>6</v>
      </c>
      <c r="H156" s="16">
        <v>3</v>
      </c>
      <c r="I156" s="16">
        <f>VLOOKUP(G156,道具定价!$C:$F,4,0)*H156</f>
        <v>450</v>
      </c>
      <c r="L156" s="16">
        <f>_xlfn.IFNA(VLOOKUP(J156,道具定价!$C:$F,4,0)*K156,0)</f>
        <v>0</v>
      </c>
      <c r="M156" s="3">
        <f t="shared" si="1"/>
        <v>450</v>
      </c>
      <c r="N156" s="3">
        <v>23000079</v>
      </c>
    </row>
    <row r="157" spans="6:15">
      <c r="F157" s="3">
        <v>80000</v>
      </c>
      <c r="G157" s="16" t="s">
        <v>6</v>
      </c>
      <c r="H157" s="16">
        <v>3</v>
      </c>
      <c r="I157" s="16">
        <f>VLOOKUP(G157,道具定价!$C:$F,4,0)*H157</f>
        <v>450</v>
      </c>
      <c r="L157" s="16">
        <f>_xlfn.IFNA(VLOOKUP(J157,道具定价!$C:$F,4,0)*K157,0)</f>
        <v>0</v>
      </c>
      <c r="M157" s="3">
        <f t="shared" si="1"/>
        <v>450</v>
      </c>
      <c r="N157" s="3">
        <v>23000080</v>
      </c>
    </row>
    <row r="158" spans="6:15">
      <c r="F158" s="212">
        <v>81000</v>
      </c>
      <c r="G158" s="16" t="s">
        <v>713</v>
      </c>
      <c r="H158" s="16">
        <v>2</v>
      </c>
      <c r="I158" s="16">
        <f>VLOOKUP(G158,道具定价!$C:$F,4,0)*H158</f>
        <v>6000</v>
      </c>
      <c r="J158" s="16" t="s">
        <v>8</v>
      </c>
      <c r="K158" s="16">
        <v>3</v>
      </c>
      <c r="L158" s="16">
        <f>_xlfn.IFNA(VLOOKUP(J158,道具定价!$C:$F,4,0)*K158,0)</f>
        <v>450</v>
      </c>
      <c r="M158" s="3">
        <f t="shared" si="1"/>
        <v>6450</v>
      </c>
      <c r="N158" s="3">
        <v>23000081</v>
      </c>
      <c r="O158" s="3">
        <v>23000081</v>
      </c>
    </row>
    <row r="159" spans="6:15">
      <c r="F159" s="3">
        <v>82000</v>
      </c>
      <c r="G159" s="16" t="s">
        <v>6</v>
      </c>
      <c r="H159" s="16">
        <v>3</v>
      </c>
      <c r="I159" s="16">
        <f>VLOOKUP(G159,道具定价!$C:$F,4,0)*H159</f>
        <v>450</v>
      </c>
      <c r="L159" s="16">
        <f>_xlfn.IFNA(VLOOKUP(J159,道具定价!$C:$F,4,0)*K159,0)</f>
        <v>0</v>
      </c>
      <c r="M159" s="3">
        <f t="shared" si="1"/>
        <v>450</v>
      </c>
      <c r="N159" s="3">
        <v>23000082</v>
      </c>
    </row>
    <row r="160" spans="6:15">
      <c r="F160" s="3">
        <v>83000</v>
      </c>
      <c r="G160" s="16" t="s">
        <v>6</v>
      </c>
      <c r="H160" s="16">
        <v>3</v>
      </c>
      <c r="I160" s="16">
        <f>VLOOKUP(G160,道具定价!$C:$F,4,0)*H160</f>
        <v>450</v>
      </c>
      <c r="L160" s="16">
        <f>_xlfn.IFNA(VLOOKUP(J160,道具定价!$C:$F,4,0)*K160,0)</f>
        <v>0</v>
      </c>
      <c r="M160" s="3">
        <f t="shared" si="1"/>
        <v>450</v>
      </c>
      <c r="N160" s="3">
        <v>23000083</v>
      </c>
    </row>
    <row r="161" spans="6:15">
      <c r="F161" s="2">
        <v>84000</v>
      </c>
      <c r="G161" s="16" t="s">
        <v>5</v>
      </c>
      <c r="H161" s="16">
        <v>500</v>
      </c>
      <c r="I161" s="16">
        <f>VLOOKUP(G161,道具定价!$C:$F,4,0)*H161</f>
        <v>500</v>
      </c>
      <c r="J161" s="16" t="s">
        <v>9</v>
      </c>
      <c r="K161" s="16">
        <v>3</v>
      </c>
      <c r="L161" s="16">
        <f>_xlfn.IFNA(VLOOKUP(J161,道具定价!$C:$F,4,0)*K161,0)</f>
        <v>450</v>
      </c>
      <c r="M161" s="3">
        <f t="shared" si="1"/>
        <v>950</v>
      </c>
      <c r="N161" s="3">
        <v>23000084</v>
      </c>
      <c r="O161" s="3">
        <v>23000084</v>
      </c>
    </row>
    <row r="162" spans="6:15">
      <c r="F162" s="3">
        <v>85000</v>
      </c>
      <c r="G162" s="16" t="s">
        <v>6</v>
      </c>
      <c r="H162" s="16">
        <v>3</v>
      </c>
      <c r="I162" s="16">
        <f>VLOOKUP(G162,道具定价!$C:$F,4,0)*H162</f>
        <v>450</v>
      </c>
      <c r="L162" s="16">
        <f>_xlfn.IFNA(VLOOKUP(J162,道具定价!$C:$F,4,0)*K162,0)</f>
        <v>0</v>
      </c>
      <c r="M162" s="3">
        <f t="shared" si="1"/>
        <v>450</v>
      </c>
      <c r="N162" s="3">
        <v>23000085</v>
      </c>
    </row>
    <row r="163" spans="6:15">
      <c r="F163" s="3">
        <v>86000</v>
      </c>
      <c r="G163" s="16" t="s">
        <v>6</v>
      </c>
      <c r="H163" s="16">
        <v>3</v>
      </c>
      <c r="I163" s="16">
        <f>VLOOKUP(G163,道具定价!$C:$F,4,0)*H163</f>
        <v>450</v>
      </c>
      <c r="L163" s="16">
        <f>_xlfn.IFNA(VLOOKUP(J163,道具定价!$C:$F,4,0)*K163,0)</f>
        <v>0</v>
      </c>
      <c r="M163" s="3">
        <f t="shared" si="1"/>
        <v>450</v>
      </c>
      <c r="N163" s="3">
        <v>23000086</v>
      </c>
    </row>
    <row r="164" spans="6:15">
      <c r="F164" s="2">
        <v>87000</v>
      </c>
      <c r="G164" s="16" t="s">
        <v>5</v>
      </c>
      <c r="H164" s="16">
        <v>500</v>
      </c>
      <c r="I164" s="16">
        <f>VLOOKUP(G164,道具定价!$C:$F,4,0)*H164</f>
        <v>500</v>
      </c>
      <c r="J164" s="16" t="s">
        <v>9</v>
      </c>
      <c r="K164" s="16">
        <v>3</v>
      </c>
      <c r="L164" s="16">
        <f>_xlfn.IFNA(VLOOKUP(J164,道具定价!$C:$F,4,0)*K164,0)</f>
        <v>450</v>
      </c>
      <c r="M164" s="3">
        <f t="shared" si="1"/>
        <v>950</v>
      </c>
      <c r="N164" s="3">
        <v>23000087</v>
      </c>
      <c r="O164" s="3">
        <v>23000087</v>
      </c>
    </row>
    <row r="165" spans="6:15">
      <c r="F165" s="3">
        <v>88000</v>
      </c>
      <c r="G165" s="16" t="s">
        <v>6</v>
      </c>
      <c r="H165" s="16">
        <v>3</v>
      </c>
      <c r="I165" s="16">
        <f>VLOOKUP(G165,道具定价!$C:$F,4,0)*H165</f>
        <v>450</v>
      </c>
      <c r="L165" s="16">
        <f>_xlfn.IFNA(VLOOKUP(J165,道具定价!$C:$F,4,0)*K165,0)</f>
        <v>0</v>
      </c>
      <c r="M165" s="3">
        <f t="shared" si="1"/>
        <v>450</v>
      </c>
      <c r="N165" s="3">
        <v>23000088</v>
      </c>
    </row>
    <row r="166" spans="6:15">
      <c r="F166" s="3">
        <v>89000</v>
      </c>
      <c r="G166" s="16" t="s">
        <v>6</v>
      </c>
      <c r="H166" s="16">
        <v>3</v>
      </c>
      <c r="I166" s="16">
        <f>VLOOKUP(G166,道具定价!$C:$F,4,0)*H166</f>
        <v>450</v>
      </c>
      <c r="L166" s="16">
        <f>_xlfn.IFNA(VLOOKUP(J166,道具定价!$C:$F,4,0)*K166,0)</f>
        <v>0</v>
      </c>
      <c r="M166" s="3">
        <f t="shared" si="1"/>
        <v>450</v>
      </c>
      <c r="N166" s="3">
        <v>23000089</v>
      </c>
    </row>
    <row r="167" spans="6:15">
      <c r="F167" s="212">
        <v>90000</v>
      </c>
      <c r="G167" s="16" t="s">
        <v>709</v>
      </c>
      <c r="H167" s="16">
        <v>1</v>
      </c>
      <c r="I167" s="16">
        <f>VLOOKUP(G167,道具定价!$C:$F,4,0)*H167</f>
        <v>1000</v>
      </c>
      <c r="J167" s="16" t="s">
        <v>9</v>
      </c>
      <c r="K167" s="16">
        <v>3</v>
      </c>
      <c r="L167" s="16">
        <f>_xlfn.IFNA(VLOOKUP(J167,道具定价!$C:$F,4,0)*K167,0)</f>
        <v>450</v>
      </c>
      <c r="M167" s="3">
        <f t="shared" si="1"/>
        <v>1450</v>
      </c>
      <c r="N167" s="3">
        <v>23000090</v>
      </c>
      <c r="O167" s="3">
        <v>23000090</v>
      </c>
    </row>
    <row r="168" spans="6:15">
      <c r="F168" s="3">
        <v>91000</v>
      </c>
      <c r="G168" s="16" t="s">
        <v>6</v>
      </c>
      <c r="H168" s="16">
        <v>3</v>
      </c>
      <c r="I168" s="16">
        <f>VLOOKUP(G168,道具定价!$C:$F,4,0)*H168</f>
        <v>450</v>
      </c>
      <c r="L168" s="16">
        <f>_xlfn.IFNA(VLOOKUP(J168,道具定价!$C:$F,4,0)*K168,0)</f>
        <v>0</v>
      </c>
      <c r="M168" s="3">
        <f t="shared" si="1"/>
        <v>450</v>
      </c>
      <c r="N168" s="3">
        <v>23000091</v>
      </c>
    </row>
    <row r="169" spans="6:15">
      <c r="F169" s="3">
        <v>92000</v>
      </c>
      <c r="G169" s="16" t="s">
        <v>6</v>
      </c>
      <c r="H169" s="16">
        <v>3</v>
      </c>
      <c r="I169" s="16">
        <f>VLOOKUP(G169,道具定价!$C:$F,4,0)*H169</f>
        <v>450</v>
      </c>
      <c r="L169" s="16">
        <f>_xlfn.IFNA(VLOOKUP(J169,道具定价!$C:$F,4,0)*K169,0)</f>
        <v>0</v>
      </c>
      <c r="M169" s="3">
        <f t="shared" si="1"/>
        <v>450</v>
      </c>
      <c r="N169" s="3">
        <v>23000092</v>
      </c>
    </row>
    <row r="170" spans="6:15">
      <c r="F170" s="2">
        <v>93000</v>
      </c>
      <c r="G170" s="16" t="s">
        <v>5</v>
      </c>
      <c r="H170" s="16">
        <v>500</v>
      </c>
      <c r="I170" s="16">
        <f>VLOOKUP(G170,道具定价!$C:$F,4,0)*H170</f>
        <v>500</v>
      </c>
      <c r="J170" s="16" t="s">
        <v>8</v>
      </c>
      <c r="K170" s="16">
        <v>3</v>
      </c>
      <c r="L170" s="16">
        <f>_xlfn.IFNA(VLOOKUP(J170,道具定价!$C:$F,4,0)*K170,0)</f>
        <v>450</v>
      </c>
      <c r="M170" s="3">
        <f t="shared" si="1"/>
        <v>950</v>
      </c>
      <c r="N170" s="3">
        <v>23000093</v>
      </c>
      <c r="O170" s="3">
        <v>23000093</v>
      </c>
    </row>
    <row r="171" spans="6:15">
      <c r="F171" s="3">
        <v>94000</v>
      </c>
      <c r="G171" s="16" t="s">
        <v>6</v>
      </c>
      <c r="H171" s="16">
        <v>3</v>
      </c>
      <c r="I171" s="16">
        <f>VLOOKUP(G171,道具定价!$C:$F,4,0)*H171</f>
        <v>450</v>
      </c>
      <c r="L171" s="16">
        <f>_xlfn.IFNA(VLOOKUP(J171,道具定价!$C:$F,4,0)*K171,0)</f>
        <v>0</v>
      </c>
      <c r="M171" s="3">
        <f t="shared" si="1"/>
        <v>450</v>
      </c>
      <c r="N171" s="3">
        <v>23000094</v>
      </c>
    </row>
    <row r="172" spans="6:15">
      <c r="F172" s="3">
        <v>95000</v>
      </c>
      <c r="G172" s="16" t="s">
        <v>6</v>
      </c>
      <c r="H172" s="16">
        <v>3</v>
      </c>
      <c r="I172" s="16">
        <f>VLOOKUP(G172,道具定价!$C:$F,4,0)*H172</f>
        <v>450</v>
      </c>
      <c r="L172" s="16">
        <f>_xlfn.IFNA(VLOOKUP(J172,道具定价!$C:$F,4,0)*K172,0)</f>
        <v>0</v>
      </c>
      <c r="M172" s="3">
        <f t="shared" si="1"/>
        <v>450</v>
      </c>
      <c r="N172" s="3">
        <v>23000095</v>
      </c>
    </row>
    <row r="173" spans="6:15">
      <c r="F173" s="2">
        <v>96000</v>
      </c>
      <c r="G173" s="16" t="s">
        <v>5</v>
      </c>
      <c r="H173" s="16">
        <v>500</v>
      </c>
      <c r="I173" s="16">
        <f>VLOOKUP(G173,道具定价!$C:$F,4,0)*H173</f>
        <v>500</v>
      </c>
      <c r="J173" s="16" t="s">
        <v>8</v>
      </c>
      <c r="K173" s="16">
        <v>3</v>
      </c>
      <c r="L173" s="16">
        <f>_xlfn.IFNA(VLOOKUP(J173,道具定价!$C:$F,4,0)*K173,0)</f>
        <v>450</v>
      </c>
      <c r="M173" s="3">
        <f t="shared" si="1"/>
        <v>950</v>
      </c>
      <c r="N173" s="3">
        <v>23000096</v>
      </c>
      <c r="O173" s="3">
        <v>23000096</v>
      </c>
    </row>
    <row r="174" spans="6:15">
      <c r="F174" s="3">
        <v>97000</v>
      </c>
      <c r="G174" s="16" t="s">
        <v>6</v>
      </c>
      <c r="H174" s="16">
        <v>3</v>
      </c>
      <c r="I174" s="16">
        <f>VLOOKUP(G174,道具定价!$C:$F,4,0)*H174</f>
        <v>450</v>
      </c>
      <c r="L174" s="16">
        <f>_xlfn.IFNA(VLOOKUP(J174,道具定价!$C:$F,4,0)*K174,0)</f>
        <v>0</v>
      </c>
      <c r="M174" s="3">
        <f t="shared" si="1"/>
        <v>450</v>
      </c>
      <c r="N174" s="3">
        <v>23000097</v>
      </c>
    </row>
    <row r="175" spans="6:15">
      <c r="F175" s="3">
        <v>98000</v>
      </c>
      <c r="G175" s="16" t="s">
        <v>6</v>
      </c>
      <c r="H175" s="16">
        <v>3</v>
      </c>
      <c r="I175" s="16">
        <f>VLOOKUP(G175,道具定价!$C:$F,4,0)*H175</f>
        <v>450</v>
      </c>
      <c r="L175" s="16">
        <f>_xlfn.IFNA(VLOOKUP(J175,道具定价!$C:$F,4,0)*K175,0)</f>
        <v>0</v>
      </c>
      <c r="M175" s="3">
        <f t="shared" si="1"/>
        <v>450</v>
      </c>
      <c r="N175" s="3">
        <v>23000098</v>
      </c>
    </row>
    <row r="176" spans="6:15">
      <c r="F176" s="212">
        <v>99000</v>
      </c>
      <c r="G176" s="16" t="s">
        <v>723</v>
      </c>
      <c r="H176" s="16">
        <v>1</v>
      </c>
      <c r="I176" s="16">
        <f>VLOOKUP(G176,道具定价!$C:$F,4,0)*H176</f>
        <v>2430</v>
      </c>
      <c r="J176" s="16" t="s">
        <v>8</v>
      </c>
      <c r="K176" s="16">
        <v>3</v>
      </c>
      <c r="L176" s="16">
        <f>_xlfn.IFNA(VLOOKUP(J176,道具定价!$C:$F,4,0)*K176,0)</f>
        <v>450</v>
      </c>
      <c r="M176" s="3">
        <f t="shared" si="1"/>
        <v>2880</v>
      </c>
      <c r="N176" s="3">
        <v>23000099</v>
      </c>
      <c r="O176" s="3">
        <v>23000099</v>
      </c>
    </row>
    <row r="177" spans="6:14">
      <c r="F177" s="3">
        <v>100000</v>
      </c>
      <c r="G177" s="16" t="s">
        <v>6</v>
      </c>
      <c r="H177" s="16">
        <v>1</v>
      </c>
      <c r="I177" s="16">
        <f>VLOOKUP(G177,道具定价!$C:$F,4,0)*H177</f>
        <v>150</v>
      </c>
      <c r="L177" s="16">
        <f>_xlfn.IFNA(VLOOKUP(J177,道具定价!$C:$F,4,0)*K177,0)</f>
        <v>0</v>
      </c>
      <c r="M177" s="3">
        <f t="shared" si="1"/>
        <v>150</v>
      </c>
      <c r="N177" s="3">
        <v>23000100</v>
      </c>
    </row>
    <row r="178" spans="6:14">
      <c r="F178" s="3">
        <v>101000</v>
      </c>
      <c r="G178" s="16" t="s">
        <v>6</v>
      </c>
      <c r="H178" s="16">
        <v>1</v>
      </c>
      <c r="I178" s="16">
        <f>VLOOKUP(G178,道具定价!$C:$F,4,0)*H178</f>
        <v>150</v>
      </c>
      <c r="L178" s="16">
        <f>_xlfn.IFNA(VLOOKUP(J178,道具定价!$C:$F,4,0)*K178,0)</f>
        <v>0</v>
      </c>
      <c r="M178" s="3">
        <f t="shared" si="1"/>
        <v>150</v>
      </c>
      <c r="N178" s="3">
        <v>23000101</v>
      </c>
    </row>
    <row r="179" spans="6:14">
      <c r="F179" s="3">
        <v>102000</v>
      </c>
      <c r="G179" s="16" t="s">
        <v>5</v>
      </c>
      <c r="H179" s="16">
        <v>100</v>
      </c>
      <c r="I179" s="16">
        <f>VLOOKUP(G179,道具定价!$C:$F,4,0)*H179</f>
        <v>100</v>
      </c>
      <c r="L179" s="16">
        <f>_xlfn.IFNA(VLOOKUP(J179,道具定价!$C:$F,4,0)*K179,0)</f>
        <v>0</v>
      </c>
      <c r="M179" s="3">
        <f t="shared" si="1"/>
        <v>100</v>
      </c>
      <c r="N179" s="3">
        <v>23000102</v>
      </c>
    </row>
    <row r="180" spans="6:14">
      <c r="F180" s="3">
        <v>103000</v>
      </c>
      <c r="G180" s="16" t="s">
        <v>6</v>
      </c>
      <c r="H180" s="16">
        <v>1</v>
      </c>
      <c r="I180" s="16">
        <f>VLOOKUP(G180,道具定价!$C:$F,4,0)*H180</f>
        <v>150</v>
      </c>
      <c r="L180" s="16">
        <f>_xlfn.IFNA(VLOOKUP(J180,道具定价!$C:$F,4,0)*K180,0)</f>
        <v>0</v>
      </c>
      <c r="M180" s="3">
        <f t="shared" si="1"/>
        <v>150</v>
      </c>
      <c r="N180" s="3">
        <v>23000103</v>
      </c>
    </row>
    <row r="181" spans="6:14">
      <c r="F181" s="3">
        <v>104000</v>
      </c>
      <c r="G181" s="16" t="s">
        <v>6</v>
      </c>
      <c r="H181" s="16">
        <v>1</v>
      </c>
      <c r="I181" s="16">
        <f>VLOOKUP(G181,道具定价!$C:$F,4,0)*H181</f>
        <v>150</v>
      </c>
      <c r="L181" s="16">
        <f>_xlfn.IFNA(VLOOKUP(J181,道具定价!$C:$F,4,0)*K181,0)</f>
        <v>0</v>
      </c>
      <c r="M181" s="3">
        <f t="shared" si="1"/>
        <v>150</v>
      </c>
      <c r="N181" s="3">
        <v>23000104</v>
      </c>
    </row>
    <row r="182" spans="6:14">
      <c r="F182" s="3">
        <v>105000</v>
      </c>
      <c r="G182" s="16" t="s">
        <v>5</v>
      </c>
      <c r="H182" s="16">
        <v>100</v>
      </c>
      <c r="I182" s="16">
        <f>VLOOKUP(G182,道具定价!$C:$F,4,0)*H182</f>
        <v>100</v>
      </c>
      <c r="L182" s="16">
        <f>_xlfn.IFNA(VLOOKUP(J182,道具定价!$C:$F,4,0)*K182,0)</f>
        <v>0</v>
      </c>
      <c r="M182" s="3">
        <f t="shared" si="1"/>
        <v>100</v>
      </c>
      <c r="N182" s="3">
        <v>23000105</v>
      </c>
    </row>
    <row r="183" spans="6:14">
      <c r="F183" s="3">
        <v>106000</v>
      </c>
      <c r="G183" s="16" t="s">
        <v>6</v>
      </c>
      <c r="H183" s="16">
        <v>1</v>
      </c>
      <c r="I183" s="16">
        <f>VLOOKUP(G183,道具定价!$C:$F,4,0)*H183</f>
        <v>150</v>
      </c>
      <c r="L183" s="16">
        <f>_xlfn.IFNA(VLOOKUP(J183,道具定价!$C:$F,4,0)*K183,0)</f>
        <v>0</v>
      </c>
      <c r="M183" s="3">
        <f t="shared" si="1"/>
        <v>150</v>
      </c>
      <c r="N183" s="3">
        <v>23000106</v>
      </c>
    </row>
    <row r="184" spans="6:14">
      <c r="F184" s="3">
        <v>107000</v>
      </c>
      <c r="G184" s="16" t="s">
        <v>6</v>
      </c>
      <c r="H184" s="16">
        <v>1</v>
      </c>
      <c r="I184" s="16">
        <f>VLOOKUP(G184,道具定价!$C:$F,4,0)*H184</f>
        <v>150</v>
      </c>
      <c r="L184" s="16">
        <f>_xlfn.IFNA(VLOOKUP(J184,道具定价!$C:$F,4,0)*K184,0)</f>
        <v>0</v>
      </c>
      <c r="M184" s="3">
        <f t="shared" si="1"/>
        <v>150</v>
      </c>
      <c r="N184" s="3">
        <v>23000107</v>
      </c>
    </row>
    <row r="185" spans="6:14">
      <c r="F185" s="3">
        <v>108000</v>
      </c>
      <c r="G185" s="16" t="s">
        <v>5</v>
      </c>
      <c r="H185" s="16">
        <v>100</v>
      </c>
      <c r="I185" s="16">
        <f>VLOOKUP(G185,道具定价!$C:$F,4,0)*H185</f>
        <v>100</v>
      </c>
      <c r="L185" s="16">
        <f>_xlfn.IFNA(VLOOKUP(J185,道具定价!$C:$F,4,0)*K185,0)</f>
        <v>0</v>
      </c>
      <c r="M185" s="3">
        <f t="shared" si="1"/>
        <v>100</v>
      </c>
      <c r="N185" s="3">
        <v>23000108</v>
      </c>
    </row>
    <row r="186" spans="6:14">
      <c r="F186" s="3">
        <v>109000</v>
      </c>
      <c r="G186" s="16" t="s">
        <v>6</v>
      </c>
      <c r="H186" s="16">
        <v>1</v>
      </c>
      <c r="I186" s="16">
        <f>VLOOKUP(G186,道具定价!$C:$F,4,0)*H186</f>
        <v>150</v>
      </c>
      <c r="L186" s="16">
        <f>_xlfn.IFNA(VLOOKUP(J186,道具定价!$C:$F,4,0)*K186,0)</f>
        <v>0</v>
      </c>
      <c r="M186" s="3">
        <f t="shared" si="1"/>
        <v>150</v>
      </c>
      <c r="N186" s="3">
        <v>23000109</v>
      </c>
    </row>
    <row r="187" spans="6:14">
      <c r="F187" s="3">
        <v>110000</v>
      </c>
      <c r="G187" s="16" t="s">
        <v>6</v>
      </c>
      <c r="H187" s="16">
        <v>1</v>
      </c>
      <c r="I187" s="16">
        <f>VLOOKUP(G187,道具定价!$C:$F,4,0)*H187</f>
        <v>150</v>
      </c>
      <c r="L187" s="16">
        <f>_xlfn.IFNA(VLOOKUP(J187,道具定价!$C:$F,4,0)*K187,0)</f>
        <v>0</v>
      </c>
      <c r="M187" s="3">
        <f t="shared" si="1"/>
        <v>150</v>
      </c>
      <c r="N187" s="3">
        <v>23000110</v>
      </c>
    </row>
    <row r="188" spans="6:14">
      <c r="F188" s="3">
        <v>111000</v>
      </c>
      <c r="G188" s="16" t="s">
        <v>5</v>
      </c>
      <c r="H188" s="16">
        <v>100</v>
      </c>
      <c r="I188" s="16">
        <f>VLOOKUP(G188,道具定价!$C:$F,4,0)*H188</f>
        <v>100</v>
      </c>
      <c r="L188" s="16">
        <f>_xlfn.IFNA(VLOOKUP(J188,道具定价!$C:$F,4,0)*K188,0)</f>
        <v>0</v>
      </c>
      <c r="M188" s="3">
        <f t="shared" si="1"/>
        <v>100</v>
      </c>
      <c r="N188" s="3">
        <v>23000111</v>
      </c>
    </row>
    <row r="189" spans="6:14">
      <c r="F189" s="3">
        <v>112000</v>
      </c>
      <c r="G189" s="16" t="s">
        <v>6</v>
      </c>
      <c r="H189" s="16">
        <v>1</v>
      </c>
      <c r="I189" s="16">
        <f>VLOOKUP(G189,道具定价!$C:$F,4,0)*H189</f>
        <v>150</v>
      </c>
      <c r="L189" s="16">
        <f>_xlfn.IFNA(VLOOKUP(J189,道具定价!$C:$F,4,0)*K189,0)</f>
        <v>0</v>
      </c>
      <c r="M189" s="3">
        <f t="shared" si="1"/>
        <v>150</v>
      </c>
      <c r="N189" s="3">
        <v>23000112</v>
      </c>
    </row>
    <row r="190" spans="6:14">
      <c r="F190" s="3">
        <v>113000</v>
      </c>
      <c r="G190" s="16" t="s">
        <v>6</v>
      </c>
      <c r="H190" s="16">
        <v>1</v>
      </c>
      <c r="I190" s="16">
        <f>VLOOKUP(G190,道具定价!$C:$F,4,0)*H190</f>
        <v>150</v>
      </c>
      <c r="L190" s="16">
        <f>_xlfn.IFNA(VLOOKUP(J190,道具定价!$C:$F,4,0)*K190,0)</f>
        <v>0</v>
      </c>
      <c r="M190" s="3">
        <f t="shared" si="1"/>
        <v>150</v>
      </c>
      <c r="N190" s="3">
        <v>23000113</v>
      </c>
    </row>
    <row r="191" spans="6:14">
      <c r="F191" s="3">
        <v>114000</v>
      </c>
      <c r="G191" s="16" t="s">
        <v>5</v>
      </c>
      <c r="H191" s="16">
        <v>100</v>
      </c>
      <c r="I191" s="16">
        <f>VLOOKUP(G191,道具定价!$C:$F,4,0)*H191</f>
        <v>100</v>
      </c>
      <c r="L191" s="16">
        <f>_xlfn.IFNA(VLOOKUP(J191,道具定价!$C:$F,4,0)*K191,0)</f>
        <v>0</v>
      </c>
      <c r="M191" s="3">
        <f t="shared" si="1"/>
        <v>100</v>
      </c>
      <c r="N191" s="3">
        <v>23000114</v>
      </c>
    </row>
    <row r="192" spans="6:14">
      <c r="F192" s="3">
        <v>115000</v>
      </c>
      <c r="G192" s="16" t="s">
        <v>6</v>
      </c>
      <c r="H192" s="16">
        <v>1</v>
      </c>
      <c r="I192" s="16">
        <f>VLOOKUP(G192,道具定价!$C:$F,4,0)*H192</f>
        <v>150</v>
      </c>
      <c r="L192" s="16">
        <f>_xlfn.IFNA(VLOOKUP(J192,道具定价!$C:$F,4,0)*K192,0)</f>
        <v>0</v>
      </c>
      <c r="M192" s="3">
        <f t="shared" si="1"/>
        <v>150</v>
      </c>
      <c r="N192" s="3">
        <v>23000115</v>
      </c>
    </row>
    <row r="193" spans="6:14">
      <c r="F193" s="3">
        <v>116000</v>
      </c>
      <c r="G193" s="16" t="s">
        <v>6</v>
      </c>
      <c r="H193" s="16">
        <v>1</v>
      </c>
      <c r="I193" s="16">
        <f>VLOOKUP(G193,道具定价!$C:$F,4,0)*H193</f>
        <v>150</v>
      </c>
      <c r="L193" s="16">
        <f>_xlfn.IFNA(VLOOKUP(J193,道具定价!$C:$F,4,0)*K193,0)</f>
        <v>0</v>
      </c>
      <c r="M193" s="3">
        <f t="shared" si="1"/>
        <v>150</v>
      </c>
      <c r="N193" s="3">
        <v>23000116</v>
      </c>
    </row>
    <row r="194" spans="6:14">
      <c r="F194" s="3">
        <v>117000</v>
      </c>
      <c r="G194" s="16" t="s">
        <v>5</v>
      </c>
      <c r="H194" s="16">
        <v>100</v>
      </c>
      <c r="I194" s="16">
        <f>VLOOKUP(G194,道具定价!$C:$F,4,0)*H194</f>
        <v>100</v>
      </c>
      <c r="L194" s="16">
        <f>_xlfn.IFNA(VLOOKUP(J194,道具定价!$C:$F,4,0)*K194,0)</f>
        <v>0</v>
      </c>
      <c r="M194" s="3">
        <f t="shared" si="1"/>
        <v>100</v>
      </c>
      <c r="N194" s="3">
        <v>23000117</v>
      </c>
    </row>
    <row r="195" spans="6:14">
      <c r="F195" s="3">
        <v>118000</v>
      </c>
      <c r="G195" s="16" t="s">
        <v>6</v>
      </c>
      <c r="H195" s="16">
        <v>1</v>
      </c>
      <c r="I195" s="16">
        <f>VLOOKUP(G195,道具定价!$C:$F,4,0)*H195</f>
        <v>150</v>
      </c>
      <c r="L195" s="16">
        <f>_xlfn.IFNA(VLOOKUP(J195,道具定价!$C:$F,4,0)*K195,0)</f>
        <v>0</v>
      </c>
      <c r="M195" s="3">
        <f t="shared" si="1"/>
        <v>150</v>
      </c>
      <c r="N195" s="3">
        <v>23000118</v>
      </c>
    </row>
    <row r="196" spans="6:14">
      <c r="F196" s="3">
        <v>119000</v>
      </c>
      <c r="G196" s="16" t="s">
        <v>6</v>
      </c>
      <c r="H196" s="16">
        <v>1</v>
      </c>
      <c r="I196" s="16">
        <f>VLOOKUP(G196,道具定价!$C:$F,4,0)*H196</f>
        <v>150</v>
      </c>
      <c r="L196" s="16">
        <f>_xlfn.IFNA(VLOOKUP(J196,道具定价!$C:$F,4,0)*K196,0)</f>
        <v>0</v>
      </c>
      <c r="M196" s="3">
        <f t="shared" si="1"/>
        <v>150</v>
      </c>
      <c r="N196" s="3">
        <v>23000119</v>
      </c>
    </row>
    <row r="197" spans="6:14">
      <c r="F197" s="3">
        <v>120000</v>
      </c>
      <c r="G197" s="16" t="s">
        <v>5</v>
      </c>
      <c r="H197" s="16">
        <v>100</v>
      </c>
      <c r="I197" s="16">
        <f>VLOOKUP(G197,道具定价!$C:$F,4,0)*H197</f>
        <v>100</v>
      </c>
      <c r="L197" s="16">
        <f>_xlfn.IFNA(VLOOKUP(J197,道具定价!$C:$F,4,0)*K197,0)</f>
        <v>0</v>
      </c>
      <c r="M197" s="3">
        <f t="shared" si="1"/>
        <v>100</v>
      </c>
      <c r="N197" s="3">
        <v>23000120</v>
      </c>
    </row>
    <row r="198" spans="6:14">
      <c r="F198" s="3">
        <v>121000</v>
      </c>
      <c r="G198" s="16" t="s">
        <v>6</v>
      </c>
      <c r="H198" s="16">
        <v>1</v>
      </c>
      <c r="I198" s="16">
        <f>VLOOKUP(G198,道具定价!$C:$F,4,0)*H198</f>
        <v>150</v>
      </c>
      <c r="L198" s="16">
        <f>_xlfn.IFNA(VLOOKUP(J198,道具定价!$C:$F,4,0)*K198,0)</f>
        <v>0</v>
      </c>
      <c r="M198" s="3">
        <f t="shared" si="1"/>
        <v>150</v>
      </c>
      <c r="N198" s="3">
        <v>23000121</v>
      </c>
    </row>
    <row r="199" spans="6:14">
      <c r="F199" s="3">
        <v>122000</v>
      </c>
      <c r="G199" s="16" t="s">
        <v>6</v>
      </c>
      <c r="H199" s="16">
        <v>1</v>
      </c>
      <c r="I199" s="16">
        <f>VLOOKUP(G199,道具定价!$C:$F,4,0)*H199</f>
        <v>150</v>
      </c>
      <c r="L199" s="16">
        <f>_xlfn.IFNA(VLOOKUP(J199,道具定价!$C:$F,4,0)*K199,0)</f>
        <v>0</v>
      </c>
      <c r="M199" s="3">
        <f t="shared" si="1"/>
        <v>150</v>
      </c>
      <c r="N199" s="3">
        <v>23000122</v>
      </c>
    </row>
    <row r="200" spans="6:14">
      <c r="F200" s="3">
        <v>123000</v>
      </c>
      <c r="G200" s="16" t="s">
        <v>5</v>
      </c>
      <c r="H200" s="16">
        <v>100</v>
      </c>
      <c r="I200" s="16">
        <f>VLOOKUP(G200,道具定价!$C:$F,4,0)*H200</f>
        <v>100</v>
      </c>
      <c r="L200" s="16">
        <f>_xlfn.IFNA(VLOOKUP(J200,道具定价!$C:$F,4,0)*K200,0)</f>
        <v>0</v>
      </c>
      <c r="M200" s="3">
        <f t="shared" si="1"/>
        <v>100</v>
      </c>
      <c r="N200" s="3">
        <v>23000123</v>
      </c>
    </row>
    <row r="201" spans="6:14">
      <c r="F201" s="3">
        <v>124000</v>
      </c>
      <c r="G201" s="16" t="s">
        <v>6</v>
      </c>
      <c r="H201" s="16">
        <v>1</v>
      </c>
      <c r="I201" s="16">
        <f>VLOOKUP(G201,道具定价!$C:$F,4,0)*H201</f>
        <v>150</v>
      </c>
      <c r="L201" s="16">
        <f>_xlfn.IFNA(VLOOKUP(J201,道具定价!$C:$F,4,0)*K201,0)</f>
        <v>0</v>
      </c>
      <c r="M201" s="3">
        <f t="shared" si="1"/>
        <v>150</v>
      </c>
      <c r="N201" s="3">
        <v>23000124</v>
      </c>
    </row>
    <row r="202" spans="6:14">
      <c r="F202" s="3">
        <v>125000</v>
      </c>
      <c r="G202" s="16" t="s">
        <v>6</v>
      </c>
      <c r="H202" s="16">
        <v>1</v>
      </c>
      <c r="I202" s="16">
        <f>VLOOKUP(G202,道具定价!$C:$F,4,0)*H202</f>
        <v>150</v>
      </c>
      <c r="L202" s="16">
        <f>_xlfn.IFNA(VLOOKUP(J202,道具定价!$C:$F,4,0)*K202,0)</f>
        <v>0</v>
      </c>
      <c r="M202" s="3">
        <f t="shared" si="1"/>
        <v>150</v>
      </c>
      <c r="N202" s="3">
        <v>23000125</v>
      </c>
    </row>
    <row r="203" spans="6:14">
      <c r="F203" s="3">
        <v>126000</v>
      </c>
      <c r="G203" s="16" t="s">
        <v>5</v>
      </c>
      <c r="H203" s="16">
        <v>100</v>
      </c>
      <c r="I203" s="16">
        <f>VLOOKUP(G203,道具定价!$C:$F,4,0)*H203</f>
        <v>100</v>
      </c>
      <c r="L203" s="16">
        <f>_xlfn.IFNA(VLOOKUP(J203,道具定价!$C:$F,4,0)*K203,0)</f>
        <v>0</v>
      </c>
      <c r="M203" s="3">
        <f t="shared" si="1"/>
        <v>100</v>
      </c>
      <c r="N203" s="3">
        <v>23000126</v>
      </c>
    </row>
    <row r="204" spans="6:14">
      <c r="F204" s="3">
        <v>127000</v>
      </c>
      <c r="G204" s="16" t="s">
        <v>6</v>
      </c>
      <c r="H204" s="16">
        <v>1</v>
      </c>
      <c r="I204" s="16">
        <f>VLOOKUP(G204,道具定价!$C:$F,4,0)*H204</f>
        <v>150</v>
      </c>
      <c r="L204" s="16">
        <f>_xlfn.IFNA(VLOOKUP(J204,道具定价!$C:$F,4,0)*K204,0)</f>
        <v>0</v>
      </c>
      <c r="M204" s="3">
        <f t="shared" si="1"/>
        <v>150</v>
      </c>
      <c r="N204" s="3">
        <v>23000127</v>
      </c>
    </row>
    <row r="205" spans="6:14">
      <c r="F205" s="3">
        <v>128000</v>
      </c>
      <c r="G205" s="16" t="s">
        <v>6</v>
      </c>
      <c r="H205" s="16">
        <v>1</v>
      </c>
      <c r="I205" s="16">
        <f>VLOOKUP(G205,道具定价!$C:$F,4,0)*H205</f>
        <v>150</v>
      </c>
      <c r="L205" s="16">
        <f>_xlfn.IFNA(VLOOKUP(J205,道具定价!$C:$F,4,0)*K205,0)</f>
        <v>0</v>
      </c>
      <c r="M205" s="3">
        <f t="shared" si="1"/>
        <v>150</v>
      </c>
      <c r="N205" s="3">
        <v>23000128</v>
      </c>
    </row>
    <row r="206" spans="6:14">
      <c r="F206" s="3">
        <v>129000</v>
      </c>
      <c r="G206" s="16" t="s">
        <v>5</v>
      </c>
      <c r="H206" s="16">
        <v>100</v>
      </c>
      <c r="I206" s="16">
        <f>VLOOKUP(G206,道具定价!$C:$F,4,0)*H206</f>
        <v>100</v>
      </c>
      <c r="L206" s="16">
        <f>_xlfn.IFNA(VLOOKUP(J206,道具定价!$C:$F,4,0)*K206,0)</f>
        <v>0</v>
      </c>
      <c r="M206" s="3">
        <f t="shared" ref="M206:M269" si="2">L206+I206</f>
        <v>100</v>
      </c>
      <c r="N206" s="3">
        <v>23000129</v>
      </c>
    </row>
    <row r="207" spans="6:14">
      <c r="F207" s="3">
        <v>130000</v>
      </c>
      <c r="G207" s="16" t="s">
        <v>6</v>
      </c>
      <c r="H207" s="16">
        <v>1</v>
      </c>
      <c r="I207" s="16">
        <f>VLOOKUP(G207,道具定价!$C:$F,4,0)*H207</f>
        <v>150</v>
      </c>
      <c r="L207" s="16">
        <f>_xlfn.IFNA(VLOOKUP(J207,道具定价!$C:$F,4,0)*K207,0)</f>
        <v>0</v>
      </c>
      <c r="M207" s="3">
        <f t="shared" si="2"/>
        <v>150</v>
      </c>
      <c r="N207" s="3">
        <v>23000130</v>
      </c>
    </row>
    <row r="208" spans="6:14">
      <c r="F208" s="3">
        <v>131000</v>
      </c>
      <c r="G208" s="16" t="s">
        <v>6</v>
      </c>
      <c r="H208" s="16">
        <v>1</v>
      </c>
      <c r="I208" s="16">
        <f>VLOOKUP(G208,道具定价!$C:$F,4,0)*H208</f>
        <v>150</v>
      </c>
      <c r="L208" s="16">
        <f>_xlfn.IFNA(VLOOKUP(J208,道具定价!$C:$F,4,0)*K208,0)</f>
        <v>0</v>
      </c>
      <c r="M208" s="3">
        <f t="shared" si="2"/>
        <v>150</v>
      </c>
      <c r="N208" s="3">
        <v>23000131</v>
      </c>
    </row>
    <row r="209" spans="6:14">
      <c r="F209" s="3">
        <v>132000</v>
      </c>
      <c r="G209" s="16" t="s">
        <v>5</v>
      </c>
      <c r="H209" s="16">
        <v>100</v>
      </c>
      <c r="I209" s="16">
        <f>VLOOKUP(G209,道具定价!$C:$F,4,0)*H209</f>
        <v>100</v>
      </c>
      <c r="L209" s="16">
        <f>_xlfn.IFNA(VLOOKUP(J209,道具定价!$C:$F,4,0)*K209,0)</f>
        <v>0</v>
      </c>
      <c r="M209" s="3">
        <f t="shared" si="2"/>
        <v>100</v>
      </c>
      <c r="N209" s="3">
        <v>23000132</v>
      </c>
    </row>
    <row r="210" spans="6:14">
      <c r="F210" s="3">
        <v>133000</v>
      </c>
      <c r="G210" s="16" t="s">
        <v>6</v>
      </c>
      <c r="H210" s="16">
        <v>1</v>
      </c>
      <c r="I210" s="16">
        <f>VLOOKUP(G210,道具定价!$C:$F,4,0)*H210</f>
        <v>150</v>
      </c>
      <c r="L210" s="16">
        <f>_xlfn.IFNA(VLOOKUP(J210,道具定价!$C:$F,4,0)*K210,0)</f>
        <v>0</v>
      </c>
      <c r="M210" s="3">
        <f t="shared" si="2"/>
        <v>150</v>
      </c>
      <c r="N210" s="3">
        <v>23000133</v>
      </c>
    </row>
    <row r="211" spans="6:14">
      <c r="F211" s="3">
        <v>134000</v>
      </c>
      <c r="G211" s="16" t="s">
        <v>6</v>
      </c>
      <c r="H211" s="16">
        <v>1</v>
      </c>
      <c r="I211" s="16">
        <f>VLOOKUP(G211,道具定价!$C:$F,4,0)*H211</f>
        <v>150</v>
      </c>
      <c r="L211" s="16">
        <f>_xlfn.IFNA(VLOOKUP(J211,道具定价!$C:$F,4,0)*K211,0)</f>
        <v>0</v>
      </c>
      <c r="M211" s="3">
        <f t="shared" si="2"/>
        <v>150</v>
      </c>
      <c r="N211" s="3">
        <v>23000134</v>
      </c>
    </row>
    <row r="212" spans="6:14">
      <c r="F212" s="3">
        <v>135000</v>
      </c>
      <c r="G212" s="16" t="s">
        <v>5</v>
      </c>
      <c r="H212" s="16">
        <v>100</v>
      </c>
      <c r="I212" s="16">
        <f>VLOOKUP(G212,道具定价!$C:$F,4,0)*H212</f>
        <v>100</v>
      </c>
      <c r="L212" s="16">
        <f>_xlfn.IFNA(VLOOKUP(J212,道具定价!$C:$F,4,0)*K212,0)</f>
        <v>0</v>
      </c>
      <c r="M212" s="3">
        <f t="shared" si="2"/>
        <v>100</v>
      </c>
      <c r="N212" s="3">
        <v>23000135</v>
      </c>
    </row>
    <row r="213" spans="6:14">
      <c r="F213" s="3">
        <v>136000</v>
      </c>
      <c r="G213" s="16" t="s">
        <v>6</v>
      </c>
      <c r="H213" s="16">
        <v>1</v>
      </c>
      <c r="I213" s="16">
        <f>VLOOKUP(G213,道具定价!$C:$F,4,0)*H213</f>
        <v>150</v>
      </c>
      <c r="L213" s="16">
        <f>_xlfn.IFNA(VLOOKUP(J213,道具定价!$C:$F,4,0)*K213,0)</f>
        <v>0</v>
      </c>
      <c r="M213" s="3">
        <f t="shared" si="2"/>
        <v>150</v>
      </c>
      <c r="N213" s="3">
        <v>23000136</v>
      </c>
    </row>
    <row r="214" spans="6:14">
      <c r="F214" s="3">
        <v>137000</v>
      </c>
      <c r="G214" s="16" t="s">
        <v>6</v>
      </c>
      <c r="H214" s="16">
        <v>1</v>
      </c>
      <c r="I214" s="16">
        <f>VLOOKUP(G214,道具定价!$C:$F,4,0)*H214</f>
        <v>150</v>
      </c>
      <c r="L214" s="16">
        <f>_xlfn.IFNA(VLOOKUP(J214,道具定价!$C:$F,4,0)*K214,0)</f>
        <v>0</v>
      </c>
      <c r="M214" s="3">
        <f t="shared" si="2"/>
        <v>150</v>
      </c>
      <c r="N214" s="3">
        <v>23000137</v>
      </c>
    </row>
    <row r="215" spans="6:14">
      <c r="F215" s="3">
        <v>138000</v>
      </c>
      <c r="G215" s="16" t="s">
        <v>5</v>
      </c>
      <c r="H215" s="16">
        <v>100</v>
      </c>
      <c r="I215" s="16">
        <f>VLOOKUP(G215,道具定价!$C:$F,4,0)*H215</f>
        <v>100</v>
      </c>
      <c r="L215" s="16">
        <f>_xlfn.IFNA(VLOOKUP(J215,道具定价!$C:$F,4,0)*K215,0)</f>
        <v>0</v>
      </c>
      <c r="M215" s="3">
        <f t="shared" si="2"/>
        <v>100</v>
      </c>
      <c r="N215" s="3">
        <v>23000138</v>
      </c>
    </row>
    <row r="216" spans="6:14">
      <c r="F216" s="3">
        <v>139000</v>
      </c>
      <c r="G216" s="16" t="s">
        <v>6</v>
      </c>
      <c r="H216" s="16">
        <v>1</v>
      </c>
      <c r="I216" s="16">
        <f>VLOOKUP(G216,道具定价!$C:$F,4,0)*H216</f>
        <v>150</v>
      </c>
      <c r="L216" s="16">
        <f>_xlfn.IFNA(VLOOKUP(J216,道具定价!$C:$F,4,0)*K216,0)</f>
        <v>0</v>
      </c>
      <c r="M216" s="3">
        <f t="shared" si="2"/>
        <v>150</v>
      </c>
      <c r="N216" s="3">
        <v>23000139</v>
      </c>
    </row>
    <row r="217" spans="6:14">
      <c r="F217" s="3">
        <v>140000</v>
      </c>
      <c r="G217" s="16" t="s">
        <v>6</v>
      </c>
      <c r="H217" s="16">
        <v>1</v>
      </c>
      <c r="I217" s="16">
        <f>VLOOKUP(G217,道具定价!$C:$F,4,0)*H217</f>
        <v>150</v>
      </c>
      <c r="L217" s="16">
        <f>_xlfn.IFNA(VLOOKUP(J217,道具定价!$C:$F,4,0)*K217,0)</f>
        <v>0</v>
      </c>
      <c r="M217" s="3">
        <f t="shared" si="2"/>
        <v>150</v>
      </c>
      <c r="N217" s="3">
        <v>23000140</v>
      </c>
    </row>
    <row r="218" spans="6:14">
      <c r="F218" s="3">
        <v>141000</v>
      </c>
      <c r="G218" s="16" t="s">
        <v>5</v>
      </c>
      <c r="H218" s="16">
        <v>100</v>
      </c>
      <c r="I218" s="16">
        <f>VLOOKUP(G218,道具定价!$C:$F,4,0)*H218</f>
        <v>100</v>
      </c>
      <c r="L218" s="16">
        <f>_xlfn.IFNA(VLOOKUP(J218,道具定价!$C:$F,4,0)*K218,0)</f>
        <v>0</v>
      </c>
      <c r="M218" s="3">
        <f t="shared" si="2"/>
        <v>100</v>
      </c>
      <c r="N218" s="3">
        <v>23000141</v>
      </c>
    </row>
    <row r="219" spans="6:14">
      <c r="F219" s="3">
        <v>142000</v>
      </c>
      <c r="G219" s="16" t="s">
        <v>6</v>
      </c>
      <c r="H219" s="16">
        <v>1</v>
      </c>
      <c r="I219" s="16">
        <f>VLOOKUP(G219,道具定价!$C:$F,4,0)*H219</f>
        <v>150</v>
      </c>
      <c r="L219" s="16">
        <f>_xlfn.IFNA(VLOOKUP(J219,道具定价!$C:$F,4,0)*K219,0)</f>
        <v>0</v>
      </c>
      <c r="M219" s="3">
        <f t="shared" si="2"/>
        <v>150</v>
      </c>
      <c r="N219" s="3">
        <v>23000142</v>
      </c>
    </row>
    <row r="220" spans="6:14">
      <c r="F220" s="3">
        <v>143000</v>
      </c>
      <c r="G220" s="16" t="s">
        <v>6</v>
      </c>
      <c r="H220" s="16">
        <v>1</v>
      </c>
      <c r="I220" s="16">
        <f>VLOOKUP(G220,道具定价!$C:$F,4,0)*H220</f>
        <v>150</v>
      </c>
      <c r="L220" s="16">
        <f>_xlfn.IFNA(VLOOKUP(J220,道具定价!$C:$F,4,0)*K220,0)</f>
        <v>0</v>
      </c>
      <c r="M220" s="3">
        <f t="shared" si="2"/>
        <v>150</v>
      </c>
      <c r="N220" s="3">
        <v>23000143</v>
      </c>
    </row>
    <row r="221" spans="6:14">
      <c r="F221" s="3">
        <v>144000</v>
      </c>
      <c r="G221" s="16" t="s">
        <v>5</v>
      </c>
      <c r="H221" s="16">
        <v>100</v>
      </c>
      <c r="I221" s="16">
        <f>VLOOKUP(G221,道具定价!$C:$F,4,0)*H221</f>
        <v>100</v>
      </c>
      <c r="L221" s="16">
        <f>_xlfn.IFNA(VLOOKUP(J221,道具定价!$C:$F,4,0)*K221,0)</f>
        <v>0</v>
      </c>
      <c r="M221" s="3">
        <f t="shared" si="2"/>
        <v>100</v>
      </c>
      <c r="N221" s="3">
        <v>23000144</v>
      </c>
    </row>
    <row r="222" spans="6:14">
      <c r="F222" s="3">
        <v>145000</v>
      </c>
      <c r="G222" s="16" t="s">
        <v>6</v>
      </c>
      <c r="H222" s="16">
        <v>1</v>
      </c>
      <c r="I222" s="16">
        <f>VLOOKUP(G222,道具定价!$C:$F,4,0)*H222</f>
        <v>150</v>
      </c>
      <c r="L222" s="16">
        <f>_xlfn.IFNA(VLOOKUP(J222,道具定价!$C:$F,4,0)*K222,0)</f>
        <v>0</v>
      </c>
      <c r="M222" s="3">
        <f t="shared" si="2"/>
        <v>150</v>
      </c>
      <c r="N222" s="3">
        <v>23000145</v>
      </c>
    </row>
    <row r="223" spans="6:14">
      <c r="F223" s="3">
        <v>146000</v>
      </c>
      <c r="G223" s="16" t="s">
        <v>6</v>
      </c>
      <c r="H223" s="16">
        <v>1</v>
      </c>
      <c r="I223" s="16">
        <f>VLOOKUP(G223,道具定价!$C:$F,4,0)*H223</f>
        <v>150</v>
      </c>
      <c r="L223" s="16">
        <f>_xlfn.IFNA(VLOOKUP(J223,道具定价!$C:$F,4,0)*K223,0)</f>
        <v>0</v>
      </c>
      <c r="M223" s="3">
        <f t="shared" si="2"/>
        <v>150</v>
      </c>
      <c r="N223" s="3">
        <v>23000146</v>
      </c>
    </row>
    <row r="224" spans="6:14">
      <c r="F224" s="3">
        <v>147000</v>
      </c>
      <c r="G224" s="16" t="s">
        <v>5</v>
      </c>
      <c r="H224" s="16">
        <v>100</v>
      </c>
      <c r="I224" s="16">
        <f>VLOOKUP(G224,道具定价!$C:$F,4,0)*H224</f>
        <v>100</v>
      </c>
      <c r="L224" s="16">
        <f>_xlfn.IFNA(VLOOKUP(J224,道具定价!$C:$F,4,0)*K224,0)</f>
        <v>0</v>
      </c>
      <c r="M224" s="3">
        <f t="shared" si="2"/>
        <v>100</v>
      </c>
      <c r="N224" s="3">
        <v>23000147</v>
      </c>
    </row>
    <row r="225" spans="6:14">
      <c r="F225" s="3">
        <v>148000</v>
      </c>
      <c r="G225" s="16" t="s">
        <v>6</v>
      </c>
      <c r="H225" s="16">
        <v>1</v>
      </c>
      <c r="I225" s="16">
        <f>VLOOKUP(G225,道具定价!$C:$F,4,0)*H225</f>
        <v>150</v>
      </c>
      <c r="L225" s="16">
        <f>_xlfn.IFNA(VLOOKUP(J225,道具定价!$C:$F,4,0)*K225,0)</f>
        <v>0</v>
      </c>
      <c r="M225" s="3">
        <f t="shared" si="2"/>
        <v>150</v>
      </c>
      <c r="N225" s="3">
        <v>23000148</v>
      </c>
    </row>
    <row r="226" spans="6:14">
      <c r="F226" s="3">
        <v>149000</v>
      </c>
      <c r="G226" s="16" t="s">
        <v>6</v>
      </c>
      <c r="H226" s="16">
        <v>1</v>
      </c>
      <c r="I226" s="16">
        <f>VLOOKUP(G226,道具定价!$C:$F,4,0)*H226</f>
        <v>150</v>
      </c>
      <c r="L226" s="16">
        <f>_xlfn.IFNA(VLOOKUP(J226,道具定价!$C:$F,4,0)*K226,0)</f>
        <v>0</v>
      </c>
      <c r="M226" s="3">
        <f t="shared" si="2"/>
        <v>150</v>
      </c>
      <c r="N226" s="3">
        <v>23000149</v>
      </c>
    </row>
    <row r="227" spans="6:14">
      <c r="F227" s="3">
        <v>150000</v>
      </c>
      <c r="G227" s="16" t="s">
        <v>5</v>
      </c>
      <c r="H227" s="16">
        <v>100</v>
      </c>
      <c r="I227" s="16">
        <f>VLOOKUP(G227,道具定价!$C:$F,4,0)*H227</f>
        <v>100</v>
      </c>
      <c r="L227" s="16">
        <f>_xlfn.IFNA(VLOOKUP(J227,道具定价!$C:$F,4,0)*K227,0)</f>
        <v>0</v>
      </c>
      <c r="M227" s="3">
        <f t="shared" si="2"/>
        <v>100</v>
      </c>
      <c r="N227" s="3">
        <v>23000150</v>
      </c>
    </row>
    <row r="228" spans="6:14">
      <c r="F228" s="3">
        <v>151000</v>
      </c>
      <c r="G228" s="16" t="s">
        <v>6</v>
      </c>
      <c r="H228" s="16">
        <v>1</v>
      </c>
      <c r="I228" s="16">
        <f>VLOOKUP(G228,道具定价!$C:$F,4,0)*H228</f>
        <v>150</v>
      </c>
      <c r="L228" s="16">
        <f>_xlfn.IFNA(VLOOKUP(J228,道具定价!$C:$F,4,0)*K228,0)</f>
        <v>0</v>
      </c>
      <c r="M228" s="3">
        <f t="shared" si="2"/>
        <v>150</v>
      </c>
      <c r="N228" s="3">
        <v>23000151</v>
      </c>
    </row>
    <row r="229" spans="6:14">
      <c r="F229" s="3">
        <v>152000</v>
      </c>
      <c r="G229" s="16" t="s">
        <v>6</v>
      </c>
      <c r="H229" s="16">
        <v>1</v>
      </c>
      <c r="I229" s="16">
        <f>VLOOKUP(G229,道具定价!$C:$F,4,0)*H229</f>
        <v>150</v>
      </c>
      <c r="L229" s="16">
        <f>_xlfn.IFNA(VLOOKUP(J229,道具定价!$C:$F,4,0)*K229,0)</f>
        <v>0</v>
      </c>
      <c r="M229" s="3">
        <f t="shared" si="2"/>
        <v>150</v>
      </c>
      <c r="N229" s="3">
        <v>23000152</v>
      </c>
    </row>
    <row r="230" spans="6:14">
      <c r="F230" s="3">
        <v>153000</v>
      </c>
      <c r="G230" s="16" t="s">
        <v>5</v>
      </c>
      <c r="H230" s="16">
        <v>100</v>
      </c>
      <c r="I230" s="16">
        <f>VLOOKUP(G230,道具定价!$C:$F,4,0)*H230</f>
        <v>100</v>
      </c>
      <c r="L230" s="16">
        <f>_xlfn.IFNA(VLOOKUP(J230,道具定价!$C:$F,4,0)*K230,0)</f>
        <v>0</v>
      </c>
      <c r="M230" s="3">
        <f t="shared" si="2"/>
        <v>100</v>
      </c>
      <c r="N230" s="3">
        <v>23000153</v>
      </c>
    </row>
    <row r="231" spans="6:14">
      <c r="F231" s="3">
        <v>154000</v>
      </c>
      <c r="G231" s="16" t="s">
        <v>6</v>
      </c>
      <c r="H231" s="16">
        <v>1</v>
      </c>
      <c r="I231" s="16">
        <f>VLOOKUP(G231,道具定价!$C:$F,4,0)*H231</f>
        <v>150</v>
      </c>
      <c r="L231" s="16">
        <f>_xlfn.IFNA(VLOOKUP(J231,道具定价!$C:$F,4,0)*K231,0)</f>
        <v>0</v>
      </c>
      <c r="M231" s="3">
        <f t="shared" si="2"/>
        <v>150</v>
      </c>
      <c r="N231" s="3">
        <v>23000154</v>
      </c>
    </row>
    <row r="232" spans="6:14">
      <c r="F232" s="3">
        <v>155000</v>
      </c>
      <c r="G232" s="16" t="s">
        <v>6</v>
      </c>
      <c r="H232" s="16">
        <v>1</v>
      </c>
      <c r="I232" s="16">
        <f>VLOOKUP(G232,道具定价!$C:$F,4,0)*H232</f>
        <v>150</v>
      </c>
      <c r="L232" s="16">
        <f>_xlfn.IFNA(VLOOKUP(J232,道具定价!$C:$F,4,0)*K232,0)</f>
        <v>0</v>
      </c>
      <c r="M232" s="3">
        <f t="shared" si="2"/>
        <v>150</v>
      </c>
      <c r="N232" s="3">
        <v>23000155</v>
      </c>
    </row>
    <row r="233" spans="6:14">
      <c r="F233" s="3">
        <v>156000</v>
      </c>
      <c r="G233" s="16" t="s">
        <v>5</v>
      </c>
      <c r="H233" s="16">
        <v>100</v>
      </c>
      <c r="I233" s="16">
        <f>VLOOKUP(G233,道具定价!$C:$F,4,0)*H233</f>
        <v>100</v>
      </c>
      <c r="L233" s="16">
        <f>_xlfn.IFNA(VLOOKUP(J233,道具定价!$C:$F,4,0)*K233,0)</f>
        <v>0</v>
      </c>
      <c r="M233" s="3">
        <f t="shared" si="2"/>
        <v>100</v>
      </c>
      <c r="N233" s="3">
        <v>23000156</v>
      </c>
    </row>
    <row r="234" spans="6:14">
      <c r="F234" s="3">
        <v>157000</v>
      </c>
      <c r="G234" s="16" t="s">
        <v>6</v>
      </c>
      <c r="H234" s="16">
        <v>1</v>
      </c>
      <c r="I234" s="16">
        <f>VLOOKUP(G234,道具定价!$C:$F,4,0)*H234</f>
        <v>150</v>
      </c>
      <c r="L234" s="16">
        <f>_xlfn.IFNA(VLOOKUP(J234,道具定价!$C:$F,4,0)*K234,0)</f>
        <v>0</v>
      </c>
      <c r="M234" s="3">
        <f t="shared" si="2"/>
        <v>150</v>
      </c>
      <c r="N234" s="3">
        <v>23000157</v>
      </c>
    </row>
    <row r="235" spans="6:14">
      <c r="F235" s="3">
        <v>158000</v>
      </c>
      <c r="G235" s="16" t="s">
        <v>6</v>
      </c>
      <c r="H235" s="16">
        <v>1</v>
      </c>
      <c r="I235" s="16">
        <f>VLOOKUP(G235,道具定价!$C:$F,4,0)*H235</f>
        <v>150</v>
      </c>
      <c r="L235" s="16">
        <f>_xlfn.IFNA(VLOOKUP(J235,道具定价!$C:$F,4,0)*K235,0)</f>
        <v>0</v>
      </c>
      <c r="M235" s="3">
        <f t="shared" si="2"/>
        <v>150</v>
      </c>
      <c r="N235" s="3">
        <v>23000158</v>
      </c>
    </row>
    <row r="236" spans="6:14">
      <c r="F236" s="3">
        <v>159000</v>
      </c>
      <c r="G236" s="16" t="s">
        <v>5</v>
      </c>
      <c r="H236" s="16">
        <v>100</v>
      </c>
      <c r="I236" s="16">
        <f>VLOOKUP(G236,道具定价!$C:$F,4,0)*H236</f>
        <v>100</v>
      </c>
      <c r="L236" s="16">
        <f>_xlfn.IFNA(VLOOKUP(J236,道具定价!$C:$F,4,0)*K236,0)</f>
        <v>0</v>
      </c>
      <c r="M236" s="3">
        <f t="shared" si="2"/>
        <v>100</v>
      </c>
      <c r="N236" s="3">
        <v>23000159</v>
      </c>
    </row>
    <row r="237" spans="6:14">
      <c r="F237" s="3">
        <v>160000</v>
      </c>
      <c r="G237" s="16" t="s">
        <v>6</v>
      </c>
      <c r="H237" s="16">
        <v>1</v>
      </c>
      <c r="I237" s="16">
        <f>VLOOKUP(G237,道具定价!$C:$F,4,0)*H237</f>
        <v>150</v>
      </c>
      <c r="L237" s="16">
        <f>_xlfn.IFNA(VLOOKUP(J237,道具定价!$C:$F,4,0)*K237,0)</f>
        <v>0</v>
      </c>
      <c r="M237" s="3">
        <f t="shared" si="2"/>
        <v>150</v>
      </c>
      <c r="N237" s="3">
        <v>23000160</v>
      </c>
    </row>
    <row r="238" spans="6:14">
      <c r="F238" s="3">
        <v>161000</v>
      </c>
      <c r="G238" s="16" t="s">
        <v>6</v>
      </c>
      <c r="H238" s="16">
        <v>1</v>
      </c>
      <c r="I238" s="16">
        <f>VLOOKUP(G238,道具定价!$C:$F,4,0)*H238</f>
        <v>150</v>
      </c>
      <c r="L238" s="16">
        <f>_xlfn.IFNA(VLOOKUP(J238,道具定价!$C:$F,4,0)*K238,0)</f>
        <v>0</v>
      </c>
      <c r="M238" s="3">
        <f t="shared" si="2"/>
        <v>150</v>
      </c>
      <c r="N238" s="3">
        <v>23000161</v>
      </c>
    </row>
    <row r="239" spans="6:14">
      <c r="F239" s="3">
        <v>162000</v>
      </c>
      <c r="G239" s="16" t="s">
        <v>5</v>
      </c>
      <c r="H239" s="16">
        <v>100</v>
      </c>
      <c r="I239" s="16">
        <f>VLOOKUP(G239,道具定价!$C:$F,4,0)*H239</f>
        <v>100</v>
      </c>
      <c r="L239" s="16">
        <f>_xlfn.IFNA(VLOOKUP(J239,道具定价!$C:$F,4,0)*K239,0)</f>
        <v>0</v>
      </c>
      <c r="M239" s="3">
        <f t="shared" si="2"/>
        <v>100</v>
      </c>
      <c r="N239" s="3">
        <v>23000162</v>
      </c>
    </row>
    <row r="240" spans="6:14">
      <c r="F240" s="3">
        <v>163000</v>
      </c>
      <c r="G240" s="16" t="s">
        <v>6</v>
      </c>
      <c r="H240" s="16">
        <v>1</v>
      </c>
      <c r="I240" s="16">
        <f>VLOOKUP(G240,道具定价!$C:$F,4,0)*H240</f>
        <v>150</v>
      </c>
      <c r="L240" s="16">
        <f>_xlfn.IFNA(VLOOKUP(J240,道具定价!$C:$F,4,0)*K240,0)</f>
        <v>0</v>
      </c>
      <c r="M240" s="3">
        <f t="shared" si="2"/>
        <v>150</v>
      </c>
      <c r="N240" s="3">
        <v>23000163</v>
      </c>
    </row>
    <row r="241" spans="6:14">
      <c r="F241" s="3">
        <v>164000</v>
      </c>
      <c r="G241" s="16" t="s">
        <v>6</v>
      </c>
      <c r="H241" s="16">
        <v>1</v>
      </c>
      <c r="I241" s="16">
        <f>VLOOKUP(G241,道具定价!$C:$F,4,0)*H241</f>
        <v>150</v>
      </c>
      <c r="L241" s="16">
        <f>_xlfn.IFNA(VLOOKUP(J241,道具定价!$C:$F,4,0)*K241,0)</f>
        <v>0</v>
      </c>
      <c r="M241" s="3">
        <f t="shared" si="2"/>
        <v>150</v>
      </c>
      <c r="N241" s="3">
        <v>23000164</v>
      </c>
    </row>
    <row r="242" spans="6:14">
      <c r="F242" s="3">
        <v>165000</v>
      </c>
      <c r="G242" s="16" t="s">
        <v>5</v>
      </c>
      <c r="H242" s="16">
        <v>100</v>
      </c>
      <c r="I242" s="16">
        <f>VLOOKUP(G242,道具定价!$C:$F,4,0)*H242</f>
        <v>100</v>
      </c>
      <c r="L242" s="16">
        <f>_xlfn.IFNA(VLOOKUP(J242,道具定价!$C:$F,4,0)*K242,0)</f>
        <v>0</v>
      </c>
      <c r="M242" s="3">
        <f t="shared" si="2"/>
        <v>100</v>
      </c>
      <c r="N242" s="3">
        <v>23000165</v>
      </c>
    </row>
    <row r="243" spans="6:14">
      <c r="F243" s="3">
        <v>166000</v>
      </c>
      <c r="G243" s="16" t="s">
        <v>6</v>
      </c>
      <c r="H243" s="16">
        <v>1</v>
      </c>
      <c r="I243" s="16">
        <f>VLOOKUP(G243,道具定价!$C:$F,4,0)*H243</f>
        <v>150</v>
      </c>
      <c r="L243" s="16">
        <f>_xlfn.IFNA(VLOOKUP(J243,道具定价!$C:$F,4,0)*K243,0)</f>
        <v>0</v>
      </c>
      <c r="M243" s="3">
        <f t="shared" si="2"/>
        <v>150</v>
      </c>
      <c r="N243" s="3">
        <v>23000166</v>
      </c>
    </row>
    <row r="244" spans="6:14">
      <c r="F244" s="3">
        <v>167000</v>
      </c>
      <c r="G244" s="16" t="s">
        <v>6</v>
      </c>
      <c r="H244" s="16">
        <v>1</v>
      </c>
      <c r="I244" s="16">
        <f>VLOOKUP(G244,道具定价!$C:$F,4,0)*H244</f>
        <v>150</v>
      </c>
      <c r="L244" s="16">
        <f>_xlfn.IFNA(VLOOKUP(J244,道具定价!$C:$F,4,0)*K244,0)</f>
        <v>0</v>
      </c>
      <c r="M244" s="3">
        <f t="shared" si="2"/>
        <v>150</v>
      </c>
      <c r="N244" s="3">
        <v>23000167</v>
      </c>
    </row>
    <row r="245" spans="6:14">
      <c r="F245" s="3">
        <v>168000</v>
      </c>
      <c r="G245" s="16" t="s">
        <v>5</v>
      </c>
      <c r="H245" s="16">
        <v>100</v>
      </c>
      <c r="I245" s="16">
        <f>VLOOKUP(G245,道具定价!$C:$F,4,0)*H245</f>
        <v>100</v>
      </c>
      <c r="L245" s="16">
        <f>_xlfn.IFNA(VLOOKUP(J245,道具定价!$C:$F,4,0)*K245,0)</f>
        <v>0</v>
      </c>
      <c r="M245" s="3">
        <f t="shared" si="2"/>
        <v>100</v>
      </c>
      <c r="N245" s="3">
        <v>23000168</v>
      </c>
    </row>
    <row r="246" spans="6:14">
      <c r="F246" s="3">
        <v>169000</v>
      </c>
      <c r="G246" s="16" t="s">
        <v>6</v>
      </c>
      <c r="H246" s="16">
        <v>1</v>
      </c>
      <c r="I246" s="16">
        <f>VLOOKUP(G246,道具定价!$C:$F,4,0)*H246</f>
        <v>150</v>
      </c>
      <c r="L246" s="16">
        <f>_xlfn.IFNA(VLOOKUP(J246,道具定价!$C:$F,4,0)*K246,0)</f>
        <v>0</v>
      </c>
      <c r="M246" s="3">
        <f t="shared" si="2"/>
        <v>150</v>
      </c>
      <c r="N246" s="3">
        <v>23000169</v>
      </c>
    </row>
    <row r="247" spans="6:14">
      <c r="F247" s="3">
        <v>170000</v>
      </c>
      <c r="G247" s="16" t="s">
        <v>6</v>
      </c>
      <c r="H247" s="16">
        <v>1</v>
      </c>
      <c r="I247" s="16">
        <f>VLOOKUP(G247,道具定价!$C:$F,4,0)*H247</f>
        <v>150</v>
      </c>
      <c r="L247" s="16">
        <f>_xlfn.IFNA(VLOOKUP(J247,道具定价!$C:$F,4,0)*K247,0)</f>
        <v>0</v>
      </c>
      <c r="M247" s="3">
        <f t="shared" si="2"/>
        <v>150</v>
      </c>
      <c r="N247" s="3">
        <v>23000170</v>
      </c>
    </row>
    <row r="248" spans="6:14">
      <c r="F248" s="3">
        <v>171000</v>
      </c>
      <c r="G248" s="16" t="s">
        <v>5</v>
      </c>
      <c r="H248" s="16">
        <v>100</v>
      </c>
      <c r="I248" s="16">
        <f>VLOOKUP(G248,道具定价!$C:$F,4,0)*H248</f>
        <v>100</v>
      </c>
      <c r="L248" s="16">
        <f>_xlfn.IFNA(VLOOKUP(J248,道具定价!$C:$F,4,0)*K248,0)</f>
        <v>0</v>
      </c>
      <c r="M248" s="3">
        <f t="shared" si="2"/>
        <v>100</v>
      </c>
      <c r="N248" s="3">
        <v>23000171</v>
      </c>
    </row>
    <row r="249" spans="6:14">
      <c r="F249" s="3">
        <v>172000</v>
      </c>
      <c r="G249" s="16" t="s">
        <v>6</v>
      </c>
      <c r="H249" s="16">
        <v>1</v>
      </c>
      <c r="I249" s="16">
        <f>VLOOKUP(G249,道具定价!$C:$F,4,0)*H249</f>
        <v>150</v>
      </c>
      <c r="L249" s="16">
        <f>_xlfn.IFNA(VLOOKUP(J249,道具定价!$C:$F,4,0)*K249,0)</f>
        <v>0</v>
      </c>
      <c r="M249" s="3">
        <f t="shared" si="2"/>
        <v>150</v>
      </c>
      <c r="N249" s="3">
        <v>23000172</v>
      </c>
    </row>
    <row r="250" spans="6:14">
      <c r="F250" s="3">
        <v>173000</v>
      </c>
      <c r="G250" s="16" t="s">
        <v>6</v>
      </c>
      <c r="H250" s="16">
        <v>1</v>
      </c>
      <c r="I250" s="16">
        <f>VLOOKUP(G250,道具定价!$C:$F,4,0)*H250</f>
        <v>150</v>
      </c>
      <c r="L250" s="16">
        <f>_xlfn.IFNA(VLOOKUP(J250,道具定价!$C:$F,4,0)*K250,0)</f>
        <v>0</v>
      </c>
      <c r="M250" s="3">
        <f t="shared" si="2"/>
        <v>150</v>
      </c>
      <c r="N250" s="3">
        <v>23000173</v>
      </c>
    </row>
    <row r="251" spans="6:14">
      <c r="F251" s="3">
        <v>174000</v>
      </c>
      <c r="G251" s="16" t="s">
        <v>5</v>
      </c>
      <c r="H251" s="16">
        <v>100</v>
      </c>
      <c r="I251" s="16">
        <f>VLOOKUP(G251,道具定价!$C:$F,4,0)*H251</f>
        <v>100</v>
      </c>
      <c r="L251" s="16">
        <f>_xlfn.IFNA(VLOOKUP(J251,道具定价!$C:$F,4,0)*K251,0)</f>
        <v>0</v>
      </c>
      <c r="M251" s="3">
        <f t="shared" si="2"/>
        <v>100</v>
      </c>
      <c r="N251" s="3">
        <v>23000174</v>
      </c>
    </row>
    <row r="252" spans="6:14">
      <c r="F252" s="3">
        <v>175000</v>
      </c>
      <c r="G252" s="16" t="s">
        <v>6</v>
      </c>
      <c r="H252" s="16">
        <v>1</v>
      </c>
      <c r="I252" s="16">
        <f>VLOOKUP(G252,道具定价!$C:$F,4,0)*H252</f>
        <v>150</v>
      </c>
      <c r="L252" s="16">
        <f>_xlfn.IFNA(VLOOKUP(J252,道具定价!$C:$F,4,0)*K252,0)</f>
        <v>0</v>
      </c>
      <c r="M252" s="3">
        <f t="shared" si="2"/>
        <v>150</v>
      </c>
      <c r="N252" s="3">
        <v>23000175</v>
      </c>
    </row>
    <row r="253" spans="6:14">
      <c r="F253" s="3">
        <v>176000</v>
      </c>
      <c r="G253" s="16" t="s">
        <v>6</v>
      </c>
      <c r="H253" s="16">
        <v>1</v>
      </c>
      <c r="I253" s="16">
        <f>VLOOKUP(G253,道具定价!$C:$F,4,0)*H253</f>
        <v>150</v>
      </c>
      <c r="L253" s="16">
        <f>_xlfn.IFNA(VLOOKUP(J253,道具定价!$C:$F,4,0)*K253,0)</f>
        <v>0</v>
      </c>
      <c r="M253" s="3">
        <f t="shared" si="2"/>
        <v>150</v>
      </c>
      <c r="N253" s="3">
        <v>23000176</v>
      </c>
    </row>
    <row r="254" spans="6:14">
      <c r="F254" s="3">
        <v>177000</v>
      </c>
      <c r="G254" s="16" t="s">
        <v>5</v>
      </c>
      <c r="H254" s="16">
        <v>100</v>
      </c>
      <c r="I254" s="16">
        <f>VLOOKUP(G254,道具定价!$C:$F,4,0)*H254</f>
        <v>100</v>
      </c>
      <c r="L254" s="16">
        <f>_xlfn.IFNA(VLOOKUP(J254,道具定价!$C:$F,4,0)*K254,0)</f>
        <v>0</v>
      </c>
      <c r="M254" s="3">
        <f t="shared" si="2"/>
        <v>100</v>
      </c>
      <c r="N254" s="3">
        <v>23000177</v>
      </c>
    </row>
    <row r="255" spans="6:14">
      <c r="F255" s="3">
        <v>178000</v>
      </c>
      <c r="G255" s="16" t="s">
        <v>6</v>
      </c>
      <c r="H255" s="16">
        <v>1</v>
      </c>
      <c r="I255" s="16">
        <f>VLOOKUP(G255,道具定价!$C:$F,4,0)*H255</f>
        <v>150</v>
      </c>
      <c r="L255" s="16">
        <f>_xlfn.IFNA(VLOOKUP(J255,道具定价!$C:$F,4,0)*K255,0)</f>
        <v>0</v>
      </c>
      <c r="M255" s="3">
        <f t="shared" si="2"/>
        <v>150</v>
      </c>
      <c r="N255" s="3">
        <v>23000178</v>
      </c>
    </row>
    <row r="256" spans="6:14">
      <c r="F256" s="3">
        <v>179000</v>
      </c>
      <c r="G256" s="16" t="s">
        <v>6</v>
      </c>
      <c r="H256" s="16">
        <v>1</v>
      </c>
      <c r="I256" s="16">
        <f>VLOOKUP(G256,道具定价!$C:$F,4,0)*H256</f>
        <v>150</v>
      </c>
      <c r="L256" s="16">
        <f>_xlfn.IFNA(VLOOKUP(J256,道具定价!$C:$F,4,0)*K256,0)</f>
        <v>0</v>
      </c>
      <c r="M256" s="3">
        <f t="shared" si="2"/>
        <v>150</v>
      </c>
      <c r="N256" s="3">
        <v>23000179</v>
      </c>
    </row>
    <row r="257" spans="6:14">
      <c r="F257" s="3">
        <v>180000</v>
      </c>
      <c r="G257" s="16" t="s">
        <v>5</v>
      </c>
      <c r="H257" s="16">
        <v>100</v>
      </c>
      <c r="I257" s="16">
        <f>VLOOKUP(G257,道具定价!$C:$F,4,0)*H257</f>
        <v>100</v>
      </c>
      <c r="L257" s="16">
        <f>_xlfn.IFNA(VLOOKUP(J257,道具定价!$C:$F,4,0)*K257,0)</f>
        <v>0</v>
      </c>
      <c r="M257" s="3">
        <f t="shared" si="2"/>
        <v>100</v>
      </c>
      <c r="N257" s="3">
        <v>23000180</v>
      </c>
    </row>
    <row r="258" spans="6:14">
      <c r="F258" s="3">
        <v>181000</v>
      </c>
      <c r="G258" s="16" t="s">
        <v>6</v>
      </c>
      <c r="H258" s="16">
        <v>1</v>
      </c>
      <c r="I258" s="16">
        <f>VLOOKUP(G258,道具定价!$C:$F,4,0)*H258</f>
        <v>150</v>
      </c>
      <c r="L258" s="16">
        <f>_xlfn.IFNA(VLOOKUP(J258,道具定价!$C:$F,4,0)*K258,0)</f>
        <v>0</v>
      </c>
      <c r="M258" s="3">
        <f t="shared" si="2"/>
        <v>150</v>
      </c>
      <c r="N258" s="3">
        <v>23000181</v>
      </c>
    </row>
    <row r="259" spans="6:14">
      <c r="F259" s="3">
        <v>182000</v>
      </c>
      <c r="G259" s="16" t="s">
        <v>6</v>
      </c>
      <c r="H259" s="16">
        <v>1</v>
      </c>
      <c r="I259" s="16">
        <f>VLOOKUP(G259,道具定价!$C:$F,4,0)*H259</f>
        <v>150</v>
      </c>
      <c r="L259" s="16">
        <f>_xlfn.IFNA(VLOOKUP(J259,道具定价!$C:$F,4,0)*K259,0)</f>
        <v>0</v>
      </c>
      <c r="M259" s="3">
        <f t="shared" si="2"/>
        <v>150</v>
      </c>
      <c r="N259" s="3">
        <v>23000182</v>
      </c>
    </row>
    <row r="260" spans="6:14">
      <c r="F260" s="3">
        <v>183000</v>
      </c>
      <c r="G260" s="16" t="s">
        <v>5</v>
      </c>
      <c r="H260" s="16">
        <v>100</v>
      </c>
      <c r="I260" s="16">
        <f>VLOOKUP(G260,道具定价!$C:$F,4,0)*H260</f>
        <v>100</v>
      </c>
      <c r="L260" s="16">
        <f>_xlfn.IFNA(VLOOKUP(J260,道具定价!$C:$F,4,0)*K260,0)</f>
        <v>0</v>
      </c>
      <c r="M260" s="3">
        <f t="shared" si="2"/>
        <v>100</v>
      </c>
      <c r="N260" s="3">
        <v>23000183</v>
      </c>
    </row>
    <row r="261" spans="6:14">
      <c r="F261" s="3">
        <v>184000</v>
      </c>
      <c r="G261" s="16" t="s">
        <v>6</v>
      </c>
      <c r="H261" s="16">
        <v>1</v>
      </c>
      <c r="I261" s="16">
        <f>VLOOKUP(G261,道具定价!$C:$F,4,0)*H261</f>
        <v>150</v>
      </c>
      <c r="L261" s="16">
        <f>_xlfn.IFNA(VLOOKUP(J261,道具定价!$C:$F,4,0)*K261,0)</f>
        <v>0</v>
      </c>
      <c r="M261" s="3">
        <f t="shared" si="2"/>
        <v>150</v>
      </c>
      <c r="N261" s="3">
        <v>23000184</v>
      </c>
    </row>
    <row r="262" spans="6:14">
      <c r="F262" s="3">
        <v>185000</v>
      </c>
      <c r="G262" s="16" t="s">
        <v>6</v>
      </c>
      <c r="H262" s="16">
        <v>1</v>
      </c>
      <c r="I262" s="16">
        <f>VLOOKUP(G262,道具定价!$C:$F,4,0)*H262</f>
        <v>150</v>
      </c>
      <c r="L262" s="16">
        <f>_xlfn.IFNA(VLOOKUP(J262,道具定价!$C:$F,4,0)*K262,0)</f>
        <v>0</v>
      </c>
      <c r="M262" s="3">
        <f t="shared" si="2"/>
        <v>150</v>
      </c>
      <c r="N262" s="3">
        <v>23000185</v>
      </c>
    </row>
    <row r="263" spans="6:14">
      <c r="F263" s="3">
        <v>186000</v>
      </c>
      <c r="G263" s="16" t="s">
        <v>5</v>
      </c>
      <c r="H263" s="16">
        <v>100</v>
      </c>
      <c r="I263" s="16">
        <f>VLOOKUP(G263,道具定价!$C:$F,4,0)*H263</f>
        <v>100</v>
      </c>
      <c r="L263" s="16">
        <f>_xlfn.IFNA(VLOOKUP(J263,道具定价!$C:$F,4,0)*K263,0)</f>
        <v>0</v>
      </c>
      <c r="M263" s="3">
        <f t="shared" si="2"/>
        <v>100</v>
      </c>
      <c r="N263" s="3">
        <v>23000186</v>
      </c>
    </row>
    <row r="264" spans="6:14">
      <c r="F264" s="3">
        <v>187000</v>
      </c>
      <c r="G264" s="16" t="s">
        <v>6</v>
      </c>
      <c r="H264" s="16">
        <v>1</v>
      </c>
      <c r="I264" s="16">
        <f>VLOOKUP(G264,道具定价!$C:$F,4,0)*H264</f>
        <v>150</v>
      </c>
      <c r="L264" s="16">
        <f>_xlfn.IFNA(VLOOKUP(J264,道具定价!$C:$F,4,0)*K264,0)</f>
        <v>0</v>
      </c>
      <c r="M264" s="3">
        <f t="shared" si="2"/>
        <v>150</v>
      </c>
      <c r="N264" s="3">
        <v>23000187</v>
      </c>
    </row>
    <row r="265" spans="6:14">
      <c r="F265" s="3">
        <v>188000</v>
      </c>
      <c r="G265" s="16" t="s">
        <v>6</v>
      </c>
      <c r="H265" s="16">
        <v>1</v>
      </c>
      <c r="I265" s="16">
        <f>VLOOKUP(G265,道具定价!$C:$F,4,0)*H265</f>
        <v>150</v>
      </c>
      <c r="L265" s="16">
        <f>_xlfn.IFNA(VLOOKUP(J265,道具定价!$C:$F,4,0)*K265,0)</f>
        <v>0</v>
      </c>
      <c r="M265" s="3">
        <f t="shared" si="2"/>
        <v>150</v>
      </c>
      <c r="N265" s="3">
        <v>23000188</v>
      </c>
    </row>
    <row r="266" spans="6:14">
      <c r="F266" s="3">
        <v>189000</v>
      </c>
      <c r="G266" s="16" t="s">
        <v>5</v>
      </c>
      <c r="H266" s="16">
        <v>100</v>
      </c>
      <c r="I266" s="16">
        <f>VLOOKUP(G266,道具定价!$C:$F,4,0)*H266</f>
        <v>100</v>
      </c>
      <c r="L266" s="16">
        <f>_xlfn.IFNA(VLOOKUP(J266,道具定价!$C:$F,4,0)*K266,0)</f>
        <v>0</v>
      </c>
      <c r="M266" s="3">
        <f t="shared" si="2"/>
        <v>100</v>
      </c>
      <c r="N266" s="3">
        <v>23000189</v>
      </c>
    </row>
    <row r="267" spans="6:14">
      <c r="F267" s="3">
        <v>190000</v>
      </c>
      <c r="G267" s="16" t="s">
        <v>6</v>
      </c>
      <c r="H267" s="16">
        <v>1</v>
      </c>
      <c r="I267" s="16">
        <f>VLOOKUP(G267,道具定价!$C:$F,4,0)*H267</f>
        <v>150</v>
      </c>
      <c r="L267" s="16">
        <f>_xlfn.IFNA(VLOOKUP(J267,道具定价!$C:$F,4,0)*K267,0)</f>
        <v>0</v>
      </c>
      <c r="M267" s="3">
        <f t="shared" si="2"/>
        <v>150</v>
      </c>
      <c r="N267" s="3">
        <v>23000190</v>
      </c>
    </row>
    <row r="268" spans="6:14">
      <c r="F268" s="3">
        <v>191000</v>
      </c>
      <c r="G268" s="16" t="s">
        <v>6</v>
      </c>
      <c r="H268" s="16">
        <v>1</v>
      </c>
      <c r="I268" s="16">
        <f>VLOOKUP(G268,道具定价!$C:$F,4,0)*H268</f>
        <v>150</v>
      </c>
      <c r="L268" s="16">
        <f>_xlfn.IFNA(VLOOKUP(J268,道具定价!$C:$F,4,0)*K268,0)</f>
        <v>0</v>
      </c>
      <c r="M268" s="3">
        <f t="shared" si="2"/>
        <v>150</v>
      </c>
      <c r="N268" s="3">
        <v>23000191</v>
      </c>
    </row>
    <row r="269" spans="6:14">
      <c r="F269" s="3">
        <v>192000</v>
      </c>
      <c r="G269" s="16" t="s">
        <v>5</v>
      </c>
      <c r="H269" s="16">
        <v>100</v>
      </c>
      <c r="I269" s="16">
        <f>VLOOKUP(G269,道具定价!$C:$F,4,0)*H269</f>
        <v>100</v>
      </c>
      <c r="L269" s="16">
        <f>_xlfn.IFNA(VLOOKUP(J269,道具定价!$C:$F,4,0)*K269,0)</f>
        <v>0</v>
      </c>
      <c r="M269" s="3">
        <f t="shared" si="2"/>
        <v>100</v>
      </c>
      <c r="N269" s="3">
        <v>23000192</v>
      </c>
    </row>
    <row r="270" spans="6:14">
      <c r="F270" s="3">
        <v>193000</v>
      </c>
      <c r="G270" s="16" t="s">
        <v>6</v>
      </c>
      <c r="H270" s="16">
        <v>1</v>
      </c>
      <c r="I270" s="16">
        <f>VLOOKUP(G270,道具定价!$C:$F,4,0)*H270</f>
        <v>150</v>
      </c>
      <c r="L270" s="16">
        <f>_xlfn.IFNA(VLOOKUP(J270,道具定价!$C:$F,4,0)*K270,0)</f>
        <v>0</v>
      </c>
      <c r="M270" s="3">
        <f t="shared" ref="M270:M333" si="3">L270+I270</f>
        <v>150</v>
      </c>
      <c r="N270" s="3">
        <v>23000193</v>
      </c>
    </row>
    <row r="271" spans="6:14">
      <c r="F271" s="3">
        <v>194000</v>
      </c>
      <c r="G271" s="16" t="s">
        <v>6</v>
      </c>
      <c r="H271" s="16">
        <v>1</v>
      </c>
      <c r="I271" s="16">
        <f>VLOOKUP(G271,道具定价!$C:$F,4,0)*H271</f>
        <v>150</v>
      </c>
      <c r="L271" s="16">
        <f>_xlfn.IFNA(VLOOKUP(J271,道具定价!$C:$F,4,0)*K271,0)</f>
        <v>0</v>
      </c>
      <c r="M271" s="3">
        <f t="shared" si="3"/>
        <v>150</v>
      </c>
      <c r="N271" s="3">
        <v>23000194</v>
      </c>
    </row>
    <row r="272" spans="6:14">
      <c r="F272" s="3">
        <v>195000</v>
      </c>
      <c r="G272" s="16" t="s">
        <v>5</v>
      </c>
      <c r="H272" s="16">
        <v>100</v>
      </c>
      <c r="I272" s="16">
        <f>VLOOKUP(G272,道具定价!$C:$F,4,0)*H272</f>
        <v>100</v>
      </c>
      <c r="L272" s="16">
        <f>_xlfn.IFNA(VLOOKUP(J272,道具定价!$C:$F,4,0)*K272,0)</f>
        <v>0</v>
      </c>
      <c r="M272" s="3">
        <f t="shared" si="3"/>
        <v>100</v>
      </c>
      <c r="N272" s="3">
        <v>23000195</v>
      </c>
    </row>
    <row r="273" spans="6:14">
      <c r="F273" s="3">
        <v>196000</v>
      </c>
      <c r="G273" s="16" t="s">
        <v>6</v>
      </c>
      <c r="H273" s="16">
        <v>1</v>
      </c>
      <c r="I273" s="16">
        <f>VLOOKUP(G273,道具定价!$C:$F,4,0)*H273</f>
        <v>150</v>
      </c>
      <c r="L273" s="16">
        <f>_xlfn.IFNA(VLOOKUP(J273,道具定价!$C:$F,4,0)*K273,0)</f>
        <v>0</v>
      </c>
      <c r="M273" s="3">
        <f t="shared" si="3"/>
        <v>150</v>
      </c>
      <c r="N273" s="3">
        <v>23000196</v>
      </c>
    </row>
    <row r="274" spans="6:14">
      <c r="F274" s="3">
        <v>197000</v>
      </c>
      <c r="G274" s="16" t="s">
        <v>6</v>
      </c>
      <c r="H274" s="16">
        <v>1</v>
      </c>
      <c r="I274" s="16">
        <f>VLOOKUP(G274,道具定价!$C:$F,4,0)*H274</f>
        <v>150</v>
      </c>
      <c r="L274" s="16">
        <f>_xlfn.IFNA(VLOOKUP(J274,道具定价!$C:$F,4,0)*K274,0)</f>
        <v>0</v>
      </c>
      <c r="M274" s="3">
        <f t="shared" si="3"/>
        <v>150</v>
      </c>
      <c r="N274" s="3">
        <v>23000197</v>
      </c>
    </row>
    <row r="275" spans="6:14">
      <c r="F275" s="3">
        <v>198000</v>
      </c>
      <c r="G275" s="16" t="s">
        <v>5</v>
      </c>
      <c r="H275" s="16">
        <v>100</v>
      </c>
      <c r="I275" s="16">
        <f>VLOOKUP(G275,道具定价!$C:$F,4,0)*H275</f>
        <v>100</v>
      </c>
      <c r="L275" s="16">
        <f>_xlfn.IFNA(VLOOKUP(J275,道具定价!$C:$F,4,0)*K275,0)</f>
        <v>0</v>
      </c>
      <c r="M275" s="3">
        <f t="shared" si="3"/>
        <v>100</v>
      </c>
      <c r="N275" s="3">
        <v>23000198</v>
      </c>
    </row>
    <row r="276" spans="6:14">
      <c r="F276" s="3">
        <v>199000</v>
      </c>
      <c r="G276" s="16" t="s">
        <v>6</v>
      </c>
      <c r="H276" s="16">
        <v>1</v>
      </c>
      <c r="I276" s="16">
        <f>VLOOKUP(G276,道具定价!$C:$F,4,0)*H276</f>
        <v>150</v>
      </c>
      <c r="L276" s="16">
        <f>_xlfn.IFNA(VLOOKUP(J276,道具定价!$C:$F,4,0)*K276,0)</f>
        <v>0</v>
      </c>
      <c r="M276" s="3">
        <f t="shared" si="3"/>
        <v>150</v>
      </c>
      <c r="N276" s="3">
        <v>23000199</v>
      </c>
    </row>
    <row r="277" spans="6:14">
      <c r="F277" s="3">
        <v>200000</v>
      </c>
      <c r="G277" s="16" t="s">
        <v>6</v>
      </c>
      <c r="H277" s="16">
        <v>1</v>
      </c>
      <c r="I277" s="16">
        <f>VLOOKUP(G277,道具定价!$C:$F,4,0)*H277</f>
        <v>150</v>
      </c>
      <c r="L277" s="16">
        <f>_xlfn.IFNA(VLOOKUP(J277,道具定价!$C:$F,4,0)*K277,0)</f>
        <v>0</v>
      </c>
      <c r="M277" s="3">
        <f t="shared" si="3"/>
        <v>150</v>
      </c>
      <c r="N277" s="3">
        <v>23000200</v>
      </c>
    </row>
    <row r="278" spans="6:14">
      <c r="F278" s="3">
        <v>201000</v>
      </c>
      <c r="G278" s="16" t="s">
        <v>5</v>
      </c>
      <c r="H278" s="16">
        <v>100</v>
      </c>
      <c r="I278" s="16">
        <f>VLOOKUP(G278,道具定价!$C:$F,4,0)*H278</f>
        <v>100</v>
      </c>
      <c r="L278" s="16">
        <f>_xlfn.IFNA(VLOOKUP(J278,道具定价!$C:$F,4,0)*K278,0)</f>
        <v>0</v>
      </c>
      <c r="M278" s="3">
        <f t="shared" si="3"/>
        <v>100</v>
      </c>
      <c r="N278" s="3">
        <v>23000201</v>
      </c>
    </row>
    <row r="279" spans="6:14">
      <c r="F279" s="3">
        <v>202000</v>
      </c>
      <c r="G279" s="16" t="s">
        <v>6</v>
      </c>
      <c r="H279" s="16">
        <v>1</v>
      </c>
      <c r="I279" s="16">
        <f>VLOOKUP(G279,道具定价!$C:$F,4,0)*H279</f>
        <v>150</v>
      </c>
      <c r="L279" s="16">
        <f>_xlfn.IFNA(VLOOKUP(J279,道具定价!$C:$F,4,0)*K279,0)</f>
        <v>0</v>
      </c>
      <c r="M279" s="3">
        <f t="shared" si="3"/>
        <v>150</v>
      </c>
      <c r="N279" s="3">
        <v>23000202</v>
      </c>
    </row>
    <row r="280" spans="6:14">
      <c r="F280" s="3">
        <v>203000</v>
      </c>
      <c r="G280" s="16" t="s">
        <v>6</v>
      </c>
      <c r="H280" s="16">
        <v>1</v>
      </c>
      <c r="I280" s="16">
        <f>VLOOKUP(G280,道具定价!$C:$F,4,0)*H280</f>
        <v>150</v>
      </c>
      <c r="L280" s="16">
        <f>_xlfn.IFNA(VLOOKUP(J280,道具定价!$C:$F,4,0)*K280,0)</f>
        <v>0</v>
      </c>
      <c r="M280" s="3">
        <f t="shared" si="3"/>
        <v>150</v>
      </c>
      <c r="N280" s="3">
        <v>23000203</v>
      </c>
    </row>
    <row r="281" spans="6:14">
      <c r="F281" s="3">
        <v>204000</v>
      </c>
      <c r="G281" s="16" t="s">
        <v>5</v>
      </c>
      <c r="H281" s="16">
        <v>100</v>
      </c>
      <c r="I281" s="16">
        <f>VLOOKUP(G281,道具定价!$C:$F,4,0)*H281</f>
        <v>100</v>
      </c>
      <c r="L281" s="16">
        <f>_xlfn.IFNA(VLOOKUP(J281,道具定价!$C:$F,4,0)*K281,0)</f>
        <v>0</v>
      </c>
      <c r="M281" s="3">
        <f t="shared" si="3"/>
        <v>100</v>
      </c>
      <c r="N281" s="3">
        <v>23000204</v>
      </c>
    </row>
    <row r="282" spans="6:14">
      <c r="F282" s="3">
        <v>205000</v>
      </c>
      <c r="G282" s="16" t="s">
        <v>6</v>
      </c>
      <c r="H282" s="16">
        <v>1</v>
      </c>
      <c r="I282" s="16">
        <f>VLOOKUP(G282,道具定价!$C:$F,4,0)*H282</f>
        <v>150</v>
      </c>
      <c r="L282" s="16">
        <f>_xlfn.IFNA(VLOOKUP(J282,道具定价!$C:$F,4,0)*K282,0)</f>
        <v>0</v>
      </c>
      <c r="M282" s="3">
        <f t="shared" si="3"/>
        <v>150</v>
      </c>
      <c r="N282" s="3">
        <v>23000205</v>
      </c>
    </row>
    <row r="283" spans="6:14">
      <c r="F283" s="3">
        <v>206000</v>
      </c>
      <c r="G283" s="16" t="s">
        <v>6</v>
      </c>
      <c r="H283" s="16">
        <v>1</v>
      </c>
      <c r="I283" s="16">
        <f>VLOOKUP(G283,道具定价!$C:$F,4,0)*H283</f>
        <v>150</v>
      </c>
      <c r="L283" s="16">
        <f>_xlfn.IFNA(VLOOKUP(J283,道具定价!$C:$F,4,0)*K283,0)</f>
        <v>0</v>
      </c>
      <c r="M283" s="3">
        <f t="shared" si="3"/>
        <v>150</v>
      </c>
      <c r="N283" s="3">
        <v>23000206</v>
      </c>
    </row>
    <row r="284" spans="6:14">
      <c r="F284" s="3">
        <v>207000</v>
      </c>
      <c r="G284" s="16" t="s">
        <v>5</v>
      </c>
      <c r="H284" s="16">
        <v>100</v>
      </c>
      <c r="I284" s="16">
        <f>VLOOKUP(G284,道具定价!$C:$F,4,0)*H284</f>
        <v>100</v>
      </c>
      <c r="L284" s="16">
        <f>_xlfn.IFNA(VLOOKUP(J284,道具定价!$C:$F,4,0)*K284,0)</f>
        <v>0</v>
      </c>
      <c r="M284" s="3">
        <f t="shared" si="3"/>
        <v>100</v>
      </c>
      <c r="N284" s="3">
        <v>23000207</v>
      </c>
    </row>
    <row r="285" spans="6:14">
      <c r="F285" s="3">
        <v>208000</v>
      </c>
      <c r="G285" s="16" t="s">
        <v>6</v>
      </c>
      <c r="H285" s="16">
        <v>1</v>
      </c>
      <c r="I285" s="16">
        <f>VLOOKUP(G285,道具定价!$C:$F,4,0)*H285</f>
        <v>150</v>
      </c>
      <c r="L285" s="16">
        <f>_xlfn.IFNA(VLOOKUP(J285,道具定价!$C:$F,4,0)*K285,0)</f>
        <v>0</v>
      </c>
      <c r="M285" s="3">
        <f t="shared" si="3"/>
        <v>150</v>
      </c>
      <c r="N285" s="3">
        <v>23000208</v>
      </c>
    </row>
    <row r="286" spans="6:14">
      <c r="F286" s="3">
        <v>209000</v>
      </c>
      <c r="G286" s="16" t="s">
        <v>6</v>
      </c>
      <c r="H286" s="16">
        <v>1</v>
      </c>
      <c r="I286" s="16">
        <f>VLOOKUP(G286,道具定价!$C:$F,4,0)*H286</f>
        <v>150</v>
      </c>
      <c r="L286" s="16">
        <f>_xlfn.IFNA(VLOOKUP(J286,道具定价!$C:$F,4,0)*K286,0)</f>
        <v>0</v>
      </c>
      <c r="M286" s="3">
        <f t="shared" si="3"/>
        <v>150</v>
      </c>
      <c r="N286" s="3">
        <v>23000209</v>
      </c>
    </row>
    <row r="287" spans="6:14">
      <c r="F287" s="3">
        <v>210000</v>
      </c>
      <c r="G287" s="16" t="s">
        <v>5</v>
      </c>
      <c r="H287" s="16">
        <v>100</v>
      </c>
      <c r="I287" s="16">
        <f>VLOOKUP(G287,道具定价!$C:$F,4,0)*H287</f>
        <v>100</v>
      </c>
      <c r="L287" s="16">
        <f>_xlfn.IFNA(VLOOKUP(J287,道具定价!$C:$F,4,0)*K287,0)</f>
        <v>0</v>
      </c>
      <c r="M287" s="3">
        <f t="shared" si="3"/>
        <v>100</v>
      </c>
      <c r="N287" s="3">
        <v>23000210</v>
      </c>
    </row>
    <row r="288" spans="6:14">
      <c r="F288" s="3">
        <v>211000</v>
      </c>
      <c r="G288" s="16" t="s">
        <v>6</v>
      </c>
      <c r="H288" s="16">
        <v>1</v>
      </c>
      <c r="I288" s="16">
        <f>VLOOKUP(G288,道具定价!$C:$F,4,0)*H288</f>
        <v>150</v>
      </c>
      <c r="L288" s="16">
        <f>_xlfn.IFNA(VLOOKUP(J288,道具定价!$C:$F,4,0)*K288,0)</f>
        <v>0</v>
      </c>
      <c r="M288" s="3">
        <f t="shared" si="3"/>
        <v>150</v>
      </c>
      <c r="N288" s="3">
        <v>23000211</v>
      </c>
    </row>
    <row r="289" spans="6:14">
      <c r="F289" s="3">
        <v>212000</v>
      </c>
      <c r="G289" s="16" t="s">
        <v>6</v>
      </c>
      <c r="H289" s="16">
        <v>1</v>
      </c>
      <c r="I289" s="16">
        <f>VLOOKUP(G289,道具定价!$C:$F,4,0)*H289</f>
        <v>150</v>
      </c>
      <c r="L289" s="16">
        <f>_xlfn.IFNA(VLOOKUP(J289,道具定价!$C:$F,4,0)*K289,0)</f>
        <v>0</v>
      </c>
      <c r="M289" s="3">
        <f t="shared" si="3"/>
        <v>150</v>
      </c>
      <c r="N289" s="3">
        <v>23000212</v>
      </c>
    </row>
    <row r="290" spans="6:14">
      <c r="F290" s="3">
        <v>213000</v>
      </c>
      <c r="G290" s="16" t="s">
        <v>5</v>
      </c>
      <c r="H290" s="16">
        <v>100</v>
      </c>
      <c r="I290" s="16">
        <f>VLOOKUP(G290,道具定价!$C:$F,4,0)*H290</f>
        <v>100</v>
      </c>
      <c r="L290" s="16">
        <f>_xlfn.IFNA(VLOOKUP(J290,道具定价!$C:$F,4,0)*K290,0)</f>
        <v>0</v>
      </c>
      <c r="M290" s="3">
        <f t="shared" si="3"/>
        <v>100</v>
      </c>
      <c r="N290" s="3">
        <v>23000213</v>
      </c>
    </row>
    <row r="291" spans="6:14">
      <c r="F291" s="3">
        <v>214000</v>
      </c>
      <c r="G291" s="16" t="s">
        <v>6</v>
      </c>
      <c r="H291" s="16">
        <v>1</v>
      </c>
      <c r="I291" s="16">
        <f>VLOOKUP(G291,道具定价!$C:$F,4,0)*H291</f>
        <v>150</v>
      </c>
      <c r="L291" s="16">
        <f>_xlfn.IFNA(VLOOKUP(J291,道具定价!$C:$F,4,0)*K291,0)</f>
        <v>0</v>
      </c>
      <c r="M291" s="3">
        <f t="shared" si="3"/>
        <v>150</v>
      </c>
      <c r="N291" s="3">
        <v>23000214</v>
      </c>
    </row>
    <row r="292" spans="6:14">
      <c r="F292" s="3">
        <v>215000</v>
      </c>
      <c r="G292" s="16" t="s">
        <v>6</v>
      </c>
      <c r="H292" s="16">
        <v>1</v>
      </c>
      <c r="I292" s="16">
        <f>VLOOKUP(G292,道具定价!$C:$F,4,0)*H292</f>
        <v>150</v>
      </c>
      <c r="L292" s="16">
        <f>_xlfn.IFNA(VLOOKUP(J292,道具定价!$C:$F,4,0)*K292,0)</f>
        <v>0</v>
      </c>
      <c r="M292" s="3">
        <f t="shared" si="3"/>
        <v>150</v>
      </c>
      <c r="N292" s="3">
        <v>23000215</v>
      </c>
    </row>
    <row r="293" spans="6:14">
      <c r="F293" s="3">
        <v>216000</v>
      </c>
      <c r="G293" s="16" t="s">
        <v>5</v>
      </c>
      <c r="H293" s="16">
        <v>100</v>
      </c>
      <c r="I293" s="16">
        <f>VLOOKUP(G293,道具定价!$C:$F,4,0)*H293</f>
        <v>100</v>
      </c>
      <c r="L293" s="16">
        <f>_xlfn.IFNA(VLOOKUP(J293,道具定价!$C:$F,4,0)*K293,0)</f>
        <v>0</v>
      </c>
      <c r="M293" s="3">
        <f t="shared" si="3"/>
        <v>100</v>
      </c>
      <c r="N293" s="3">
        <v>23000216</v>
      </c>
    </row>
    <row r="294" spans="6:14">
      <c r="F294" s="3">
        <v>217000</v>
      </c>
      <c r="G294" s="16" t="s">
        <v>6</v>
      </c>
      <c r="H294" s="16">
        <v>1</v>
      </c>
      <c r="I294" s="16">
        <f>VLOOKUP(G294,道具定价!$C:$F,4,0)*H294</f>
        <v>150</v>
      </c>
      <c r="L294" s="16">
        <f>_xlfn.IFNA(VLOOKUP(J294,道具定价!$C:$F,4,0)*K294,0)</f>
        <v>0</v>
      </c>
      <c r="M294" s="3">
        <f t="shared" si="3"/>
        <v>150</v>
      </c>
      <c r="N294" s="3">
        <v>23000217</v>
      </c>
    </row>
    <row r="295" spans="6:14">
      <c r="F295" s="3">
        <v>218000</v>
      </c>
      <c r="G295" s="16" t="s">
        <v>6</v>
      </c>
      <c r="H295" s="16">
        <v>1</v>
      </c>
      <c r="I295" s="16">
        <f>VLOOKUP(G295,道具定价!$C:$F,4,0)*H295</f>
        <v>150</v>
      </c>
      <c r="L295" s="16">
        <f>_xlfn.IFNA(VLOOKUP(J295,道具定价!$C:$F,4,0)*K295,0)</f>
        <v>0</v>
      </c>
      <c r="M295" s="3">
        <f t="shared" si="3"/>
        <v>150</v>
      </c>
      <c r="N295" s="3">
        <v>23000218</v>
      </c>
    </row>
    <row r="296" spans="6:14">
      <c r="F296" s="3">
        <v>219000</v>
      </c>
      <c r="G296" s="16" t="s">
        <v>5</v>
      </c>
      <c r="H296" s="16">
        <v>100</v>
      </c>
      <c r="I296" s="16">
        <f>VLOOKUP(G296,道具定价!$C:$F,4,0)*H296</f>
        <v>100</v>
      </c>
      <c r="L296" s="16">
        <f>_xlfn.IFNA(VLOOKUP(J296,道具定价!$C:$F,4,0)*K296,0)</f>
        <v>0</v>
      </c>
      <c r="M296" s="3">
        <f t="shared" si="3"/>
        <v>100</v>
      </c>
      <c r="N296" s="3">
        <v>23000219</v>
      </c>
    </row>
    <row r="297" spans="6:14">
      <c r="F297" s="3">
        <v>220000</v>
      </c>
      <c r="G297" s="16" t="s">
        <v>6</v>
      </c>
      <c r="H297" s="16">
        <v>1</v>
      </c>
      <c r="I297" s="16">
        <f>VLOOKUP(G297,道具定价!$C:$F,4,0)*H297</f>
        <v>150</v>
      </c>
      <c r="L297" s="16">
        <f>_xlfn.IFNA(VLOOKUP(J297,道具定价!$C:$F,4,0)*K297,0)</f>
        <v>0</v>
      </c>
      <c r="M297" s="3">
        <f t="shared" si="3"/>
        <v>150</v>
      </c>
      <c r="N297" s="3">
        <v>23000220</v>
      </c>
    </row>
    <row r="298" spans="6:14">
      <c r="F298" s="3">
        <v>221000</v>
      </c>
      <c r="G298" s="16" t="s">
        <v>6</v>
      </c>
      <c r="H298" s="16">
        <v>1</v>
      </c>
      <c r="I298" s="16">
        <f>VLOOKUP(G298,道具定价!$C:$F,4,0)*H298</f>
        <v>150</v>
      </c>
      <c r="L298" s="16">
        <f>_xlfn.IFNA(VLOOKUP(J298,道具定价!$C:$F,4,0)*K298,0)</f>
        <v>0</v>
      </c>
      <c r="M298" s="3">
        <f t="shared" si="3"/>
        <v>150</v>
      </c>
      <c r="N298" s="3">
        <v>23000221</v>
      </c>
    </row>
    <row r="299" spans="6:14">
      <c r="F299" s="3">
        <v>222000</v>
      </c>
      <c r="G299" s="16" t="s">
        <v>5</v>
      </c>
      <c r="H299" s="16">
        <v>100</v>
      </c>
      <c r="I299" s="16">
        <f>VLOOKUP(G299,道具定价!$C:$F,4,0)*H299</f>
        <v>100</v>
      </c>
      <c r="L299" s="16">
        <f>_xlfn.IFNA(VLOOKUP(J299,道具定价!$C:$F,4,0)*K299,0)</f>
        <v>0</v>
      </c>
      <c r="M299" s="3">
        <f t="shared" si="3"/>
        <v>100</v>
      </c>
      <c r="N299" s="3">
        <v>23000222</v>
      </c>
    </row>
    <row r="300" spans="6:14">
      <c r="F300" s="3">
        <v>223000</v>
      </c>
      <c r="G300" s="16" t="s">
        <v>6</v>
      </c>
      <c r="H300" s="16">
        <v>1</v>
      </c>
      <c r="I300" s="16">
        <f>VLOOKUP(G300,道具定价!$C:$F,4,0)*H300</f>
        <v>150</v>
      </c>
      <c r="L300" s="16">
        <f>_xlfn.IFNA(VLOOKUP(J300,道具定价!$C:$F,4,0)*K300,0)</f>
        <v>0</v>
      </c>
      <c r="M300" s="3">
        <f t="shared" si="3"/>
        <v>150</v>
      </c>
      <c r="N300" s="3">
        <v>23000223</v>
      </c>
    </row>
    <row r="301" spans="6:14">
      <c r="F301" s="3">
        <v>224000</v>
      </c>
      <c r="G301" s="16" t="s">
        <v>6</v>
      </c>
      <c r="H301" s="16">
        <v>1</v>
      </c>
      <c r="I301" s="16">
        <f>VLOOKUP(G301,道具定价!$C:$F,4,0)*H301</f>
        <v>150</v>
      </c>
      <c r="L301" s="16">
        <f>_xlfn.IFNA(VLOOKUP(J301,道具定价!$C:$F,4,0)*K301,0)</f>
        <v>0</v>
      </c>
      <c r="M301" s="3">
        <f t="shared" si="3"/>
        <v>150</v>
      </c>
      <c r="N301" s="3">
        <v>23000224</v>
      </c>
    </row>
    <row r="302" spans="6:14">
      <c r="F302" s="3">
        <v>225000</v>
      </c>
      <c r="G302" s="16" t="s">
        <v>5</v>
      </c>
      <c r="H302" s="16">
        <v>100</v>
      </c>
      <c r="I302" s="16">
        <f>VLOOKUP(G302,道具定价!$C:$F,4,0)*H302</f>
        <v>100</v>
      </c>
      <c r="L302" s="16">
        <f>_xlfn.IFNA(VLOOKUP(J302,道具定价!$C:$F,4,0)*K302,0)</f>
        <v>0</v>
      </c>
      <c r="M302" s="3">
        <f t="shared" si="3"/>
        <v>100</v>
      </c>
      <c r="N302" s="3">
        <v>23000225</v>
      </c>
    </row>
    <row r="303" spans="6:14">
      <c r="F303" s="3">
        <v>226000</v>
      </c>
      <c r="G303" s="16" t="s">
        <v>6</v>
      </c>
      <c r="H303" s="16">
        <v>1</v>
      </c>
      <c r="I303" s="16">
        <f>VLOOKUP(G303,道具定价!$C:$F,4,0)*H303</f>
        <v>150</v>
      </c>
      <c r="L303" s="16">
        <f>_xlfn.IFNA(VLOOKUP(J303,道具定价!$C:$F,4,0)*K303,0)</f>
        <v>0</v>
      </c>
      <c r="M303" s="3">
        <f t="shared" si="3"/>
        <v>150</v>
      </c>
      <c r="N303" s="3">
        <v>23000226</v>
      </c>
    </row>
    <row r="304" spans="6:14">
      <c r="F304" s="3">
        <v>227000</v>
      </c>
      <c r="G304" s="16" t="s">
        <v>6</v>
      </c>
      <c r="H304" s="16">
        <v>1</v>
      </c>
      <c r="I304" s="16">
        <f>VLOOKUP(G304,道具定价!$C:$F,4,0)*H304</f>
        <v>150</v>
      </c>
      <c r="L304" s="16">
        <f>_xlfn.IFNA(VLOOKUP(J304,道具定价!$C:$F,4,0)*K304,0)</f>
        <v>0</v>
      </c>
      <c r="M304" s="3">
        <f t="shared" si="3"/>
        <v>150</v>
      </c>
      <c r="N304" s="3">
        <v>23000227</v>
      </c>
    </row>
    <row r="305" spans="6:14">
      <c r="F305" s="3">
        <v>228000</v>
      </c>
      <c r="G305" s="16" t="s">
        <v>5</v>
      </c>
      <c r="H305" s="16">
        <v>100</v>
      </c>
      <c r="I305" s="16">
        <f>VLOOKUP(G305,道具定价!$C:$F,4,0)*H305</f>
        <v>100</v>
      </c>
      <c r="L305" s="16">
        <f>_xlfn.IFNA(VLOOKUP(J305,道具定价!$C:$F,4,0)*K305,0)</f>
        <v>0</v>
      </c>
      <c r="M305" s="3">
        <f t="shared" si="3"/>
        <v>100</v>
      </c>
      <c r="N305" s="3">
        <v>23000228</v>
      </c>
    </row>
    <row r="306" spans="6:14">
      <c r="F306" s="3">
        <v>229000</v>
      </c>
      <c r="G306" s="16" t="s">
        <v>6</v>
      </c>
      <c r="H306" s="16">
        <v>1</v>
      </c>
      <c r="I306" s="16">
        <f>VLOOKUP(G306,道具定价!$C:$F,4,0)*H306</f>
        <v>150</v>
      </c>
      <c r="L306" s="16">
        <f>_xlfn.IFNA(VLOOKUP(J306,道具定价!$C:$F,4,0)*K306,0)</f>
        <v>0</v>
      </c>
      <c r="M306" s="3">
        <f t="shared" si="3"/>
        <v>150</v>
      </c>
      <c r="N306" s="3">
        <v>23000229</v>
      </c>
    </row>
    <row r="307" spans="6:14">
      <c r="F307" s="3">
        <v>230000</v>
      </c>
      <c r="G307" s="16" t="s">
        <v>6</v>
      </c>
      <c r="H307" s="16">
        <v>1</v>
      </c>
      <c r="I307" s="16">
        <f>VLOOKUP(G307,道具定价!$C:$F,4,0)*H307</f>
        <v>150</v>
      </c>
      <c r="L307" s="16">
        <f>_xlfn.IFNA(VLOOKUP(J307,道具定价!$C:$F,4,0)*K307,0)</f>
        <v>0</v>
      </c>
      <c r="M307" s="3">
        <f t="shared" si="3"/>
        <v>150</v>
      </c>
      <c r="N307" s="3">
        <v>23000230</v>
      </c>
    </row>
    <row r="308" spans="6:14">
      <c r="F308" s="3">
        <v>231000</v>
      </c>
      <c r="G308" s="16" t="s">
        <v>5</v>
      </c>
      <c r="H308" s="16">
        <v>100</v>
      </c>
      <c r="I308" s="16">
        <f>VLOOKUP(G308,道具定价!$C:$F,4,0)*H308</f>
        <v>100</v>
      </c>
      <c r="L308" s="16">
        <f>_xlfn.IFNA(VLOOKUP(J308,道具定价!$C:$F,4,0)*K308,0)</f>
        <v>0</v>
      </c>
      <c r="M308" s="3">
        <f t="shared" si="3"/>
        <v>100</v>
      </c>
      <c r="N308" s="3">
        <v>23000231</v>
      </c>
    </row>
    <row r="309" spans="6:14">
      <c r="F309" s="3">
        <v>232000</v>
      </c>
      <c r="G309" s="16" t="s">
        <v>6</v>
      </c>
      <c r="H309" s="16">
        <v>1</v>
      </c>
      <c r="I309" s="16">
        <f>VLOOKUP(G309,道具定价!$C:$F,4,0)*H309</f>
        <v>150</v>
      </c>
      <c r="L309" s="16">
        <f>_xlfn.IFNA(VLOOKUP(J309,道具定价!$C:$F,4,0)*K309,0)</f>
        <v>0</v>
      </c>
      <c r="M309" s="3">
        <f t="shared" si="3"/>
        <v>150</v>
      </c>
      <c r="N309" s="3">
        <v>23000232</v>
      </c>
    </row>
    <row r="310" spans="6:14">
      <c r="F310" s="3">
        <v>233000</v>
      </c>
      <c r="G310" s="16" t="s">
        <v>6</v>
      </c>
      <c r="H310" s="16">
        <v>1</v>
      </c>
      <c r="I310" s="16">
        <f>VLOOKUP(G310,道具定价!$C:$F,4,0)*H310</f>
        <v>150</v>
      </c>
      <c r="L310" s="16">
        <f>_xlfn.IFNA(VLOOKUP(J310,道具定价!$C:$F,4,0)*K310,0)</f>
        <v>0</v>
      </c>
      <c r="M310" s="3">
        <f t="shared" si="3"/>
        <v>150</v>
      </c>
      <c r="N310" s="3">
        <v>23000233</v>
      </c>
    </row>
    <row r="311" spans="6:14">
      <c r="F311" s="3">
        <v>234000</v>
      </c>
      <c r="G311" s="16" t="s">
        <v>5</v>
      </c>
      <c r="H311" s="16">
        <v>100</v>
      </c>
      <c r="I311" s="16">
        <f>VLOOKUP(G311,道具定价!$C:$F,4,0)*H311</f>
        <v>100</v>
      </c>
      <c r="L311" s="16">
        <f>_xlfn.IFNA(VLOOKUP(J311,道具定价!$C:$F,4,0)*K311,0)</f>
        <v>0</v>
      </c>
      <c r="M311" s="3">
        <f t="shared" si="3"/>
        <v>100</v>
      </c>
      <c r="N311" s="3">
        <v>23000234</v>
      </c>
    </row>
    <row r="312" spans="6:14">
      <c r="F312" s="3">
        <v>235000</v>
      </c>
      <c r="G312" s="16" t="s">
        <v>6</v>
      </c>
      <c r="H312" s="16">
        <v>1</v>
      </c>
      <c r="I312" s="16">
        <f>VLOOKUP(G312,道具定价!$C:$F,4,0)*H312</f>
        <v>150</v>
      </c>
      <c r="L312" s="16">
        <f>_xlfn.IFNA(VLOOKUP(J312,道具定价!$C:$F,4,0)*K312,0)</f>
        <v>0</v>
      </c>
      <c r="M312" s="3">
        <f t="shared" si="3"/>
        <v>150</v>
      </c>
      <c r="N312" s="3">
        <v>23000235</v>
      </c>
    </row>
    <row r="313" spans="6:14">
      <c r="F313" s="3">
        <v>236000</v>
      </c>
      <c r="G313" s="16" t="s">
        <v>6</v>
      </c>
      <c r="H313" s="16">
        <v>1</v>
      </c>
      <c r="I313" s="16">
        <f>VLOOKUP(G313,道具定价!$C:$F,4,0)*H313</f>
        <v>150</v>
      </c>
      <c r="L313" s="16">
        <f>_xlfn.IFNA(VLOOKUP(J313,道具定价!$C:$F,4,0)*K313,0)</f>
        <v>0</v>
      </c>
      <c r="M313" s="3">
        <f t="shared" si="3"/>
        <v>150</v>
      </c>
      <c r="N313" s="3">
        <v>23000236</v>
      </c>
    </row>
    <row r="314" spans="6:14">
      <c r="F314" s="3">
        <v>237000</v>
      </c>
      <c r="G314" s="16" t="s">
        <v>5</v>
      </c>
      <c r="H314" s="16">
        <v>100</v>
      </c>
      <c r="I314" s="16">
        <f>VLOOKUP(G314,道具定价!$C:$F,4,0)*H314</f>
        <v>100</v>
      </c>
      <c r="L314" s="16">
        <f>_xlfn.IFNA(VLOOKUP(J314,道具定价!$C:$F,4,0)*K314,0)</f>
        <v>0</v>
      </c>
      <c r="M314" s="3">
        <f t="shared" si="3"/>
        <v>100</v>
      </c>
      <c r="N314" s="3">
        <v>23000237</v>
      </c>
    </row>
    <row r="315" spans="6:14">
      <c r="F315" s="3">
        <v>238000</v>
      </c>
      <c r="G315" s="16" t="s">
        <v>6</v>
      </c>
      <c r="H315" s="16">
        <v>1</v>
      </c>
      <c r="I315" s="16">
        <f>VLOOKUP(G315,道具定价!$C:$F,4,0)*H315</f>
        <v>150</v>
      </c>
      <c r="L315" s="16">
        <f>_xlfn.IFNA(VLOOKUP(J315,道具定价!$C:$F,4,0)*K315,0)</f>
        <v>0</v>
      </c>
      <c r="M315" s="3">
        <f t="shared" si="3"/>
        <v>150</v>
      </c>
      <c r="N315" s="3">
        <v>23000238</v>
      </c>
    </row>
    <row r="316" spans="6:14">
      <c r="F316" s="3">
        <v>239000</v>
      </c>
      <c r="G316" s="16" t="s">
        <v>6</v>
      </c>
      <c r="H316" s="16">
        <v>1</v>
      </c>
      <c r="I316" s="16">
        <f>VLOOKUP(G316,道具定价!$C:$F,4,0)*H316</f>
        <v>150</v>
      </c>
      <c r="L316" s="16">
        <f>_xlfn.IFNA(VLOOKUP(J316,道具定价!$C:$F,4,0)*K316,0)</f>
        <v>0</v>
      </c>
      <c r="M316" s="3">
        <f t="shared" si="3"/>
        <v>150</v>
      </c>
      <c r="N316" s="3">
        <v>23000239</v>
      </c>
    </row>
    <row r="317" spans="6:14">
      <c r="F317" s="3">
        <v>240000</v>
      </c>
      <c r="G317" s="16" t="s">
        <v>5</v>
      </c>
      <c r="H317" s="16">
        <v>100</v>
      </c>
      <c r="I317" s="16">
        <f>VLOOKUP(G317,道具定价!$C:$F,4,0)*H317</f>
        <v>100</v>
      </c>
      <c r="L317" s="16">
        <f>_xlfn.IFNA(VLOOKUP(J317,道具定价!$C:$F,4,0)*K317,0)</f>
        <v>0</v>
      </c>
      <c r="M317" s="3">
        <f t="shared" si="3"/>
        <v>100</v>
      </c>
      <c r="N317" s="3">
        <v>23000240</v>
      </c>
    </row>
    <row r="318" spans="6:14">
      <c r="F318" s="3">
        <v>241000</v>
      </c>
      <c r="G318" s="16" t="s">
        <v>6</v>
      </c>
      <c r="H318" s="16">
        <v>1</v>
      </c>
      <c r="I318" s="16">
        <f>VLOOKUP(G318,道具定价!$C:$F,4,0)*H318</f>
        <v>150</v>
      </c>
      <c r="L318" s="16">
        <f>_xlfn.IFNA(VLOOKUP(J318,道具定价!$C:$F,4,0)*K318,0)</f>
        <v>0</v>
      </c>
      <c r="M318" s="3">
        <f t="shared" si="3"/>
        <v>150</v>
      </c>
      <c r="N318" s="3">
        <v>23000241</v>
      </c>
    </row>
    <row r="319" spans="6:14">
      <c r="F319" s="3">
        <v>242000</v>
      </c>
      <c r="G319" s="16" t="s">
        <v>6</v>
      </c>
      <c r="H319" s="16">
        <v>1</v>
      </c>
      <c r="I319" s="16">
        <f>VLOOKUP(G319,道具定价!$C:$F,4,0)*H319</f>
        <v>150</v>
      </c>
      <c r="L319" s="16">
        <f>_xlfn.IFNA(VLOOKUP(J319,道具定价!$C:$F,4,0)*K319,0)</f>
        <v>0</v>
      </c>
      <c r="M319" s="3">
        <f t="shared" si="3"/>
        <v>150</v>
      </c>
      <c r="N319" s="3">
        <v>23000242</v>
      </c>
    </row>
    <row r="320" spans="6:14">
      <c r="F320" s="3">
        <v>243000</v>
      </c>
      <c r="G320" s="16" t="s">
        <v>5</v>
      </c>
      <c r="H320" s="16">
        <v>100</v>
      </c>
      <c r="I320" s="16">
        <f>VLOOKUP(G320,道具定价!$C:$F,4,0)*H320</f>
        <v>100</v>
      </c>
      <c r="L320" s="16">
        <f>_xlfn.IFNA(VLOOKUP(J320,道具定价!$C:$F,4,0)*K320,0)</f>
        <v>0</v>
      </c>
      <c r="M320" s="3">
        <f t="shared" si="3"/>
        <v>100</v>
      </c>
      <c r="N320" s="3">
        <v>23000243</v>
      </c>
    </row>
    <row r="321" spans="6:14">
      <c r="F321" s="3">
        <v>244000</v>
      </c>
      <c r="G321" s="16" t="s">
        <v>6</v>
      </c>
      <c r="H321" s="16">
        <v>1</v>
      </c>
      <c r="I321" s="16">
        <f>VLOOKUP(G321,道具定价!$C:$F,4,0)*H321</f>
        <v>150</v>
      </c>
      <c r="L321" s="16">
        <f>_xlfn.IFNA(VLOOKUP(J321,道具定价!$C:$F,4,0)*K321,0)</f>
        <v>0</v>
      </c>
      <c r="M321" s="3">
        <f t="shared" si="3"/>
        <v>150</v>
      </c>
      <c r="N321" s="3">
        <v>23000244</v>
      </c>
    </row>
    <row r="322" spans="6:14">
      <c r="F322" s="3">
        <v>245000</v>
      </c>
      <c r="G322" s="16" t="s">
        <v>6</v>
      </c>
      <c r="H322" s="16">
        <v>1</v>
      </c>
      <c r="I322" s="16">
        <f>VLOOKUP(G322,道具定价!$C:$F,4,0)*H322</f>
        <v>150</v>
      </c>
      <c r="L322" s="16">
        <f>_xlfn.IFNA(VLOOKUP(J322,道具定价!$C:$F,4,0)*K322,0)</f>
        <v>0</v>
      </c>
      <c r="M322" s="3">
        <f t="shared" si="3"/>
        <v>150</v>
      </c>
      <c r="N322" s="3">
        <v>23000245</v>
      </c>
    </row>
    <row r="323" spans="6:14">
      <c r="F323" s="3">
        <v>246000</v>
      </c>
      <c r="G323" s="16" t="s">
        <v>5</v>
      </c>
      <c r="H323" s="16">
        <v>100</v>
      </c>
      <c r="I323" s="16">
        <f>VLOOKUP(G323,道具定价!$C:$F,4,0)*H323</f>
        <v>100</v>
      </c>
      <c r="L323" s="16">
        <f>_xlfn.IFNA(VLOOKUP(J323,道具定价!$C:$F,4,0)*K323,0)</f>
        <v>0</v>
      </c>
      <c r="M323" s="3">
        <f t="shared" si="3"/>
        <v>100</v>
      </c>
      <c r="N323" s="3">
        <v>23000246</v>
      </c>
    </row>
    <row r="324" spans="6:14">
      <c r="F324" s="3">
        <v>247000</v>
      </c>
      <c r="G324" s="16" t="s">
        <v>6</v>
      </c>
      <c r="H324" s="16">
        <v>1</v>
      </c>
      <c r="I324" s="16">
        <f>VLOOKUP(G324,道具定价!$C:$F,4,0)*H324</f>
        <v>150</v>
      </c>
      <c r="L324" s="16">
        <f>_xlfn.IFNA(VLOOKUP(J324,道具定价!$C:$F,4,0)*K324,0)</f>
        <v>0</v>
      </c>
      <c r="M324" s="3">
        <f t="shared" si="3"/>
        <v>150</v>
      </c>
      <c r="N324" s="3">
        <v>23000247</v>
      </c>
    </row>
    <row r="325" spans="6:14">
      <c r="F325" s="3">
        <v>248000</v>
      </c>
      <c r="G325" s="16" t="s">
        <v>6</v>
      </c>
      <c r="H325" s="16">
        <v>1</v>
      </c>
      <c r="I325" s="16">
        <f>VLOOKUP(G325,道具定价!$C:$F,4,0)*H325</f>
        <v>150</v>
      </c>
      <c r="L325" s="16">
        <f>_xlfn.IFNA(VLOOKUP(J325,道具定价!$C:$F,4,0)*K325,0)</f>
        <v>0</v>
      </c>
      <c r="M325" s="3">
        <f t="shared" si="3"/>
        <v>150</v>
      </c>
      <c r="N325" s="3">
        <v>23000248</v>
      </c>
    </row>
    <row r="326" spans="6:14">
      <c r="F326" s="3">
        <v>249000</v>
      </c>
      <c r="G326" s="16" t="s">
        <v>5</v>
      </c>
      <c r="H326" s="16">
        <v>100</v>
      </c>
      <c r="I326" s="16">
        <f>VLOOKUP(G326,道具定价!$C:$F,4,0)*H326</f>
        <v>100</v>
      </c>
      <c r="L326" s="16">
        <f>_xlfn.IFNA(VLOOKUP(J326,道具定价!$C:$F,4,0)*K326,0)</f>
        <v>0</v>
      </c>
      <c r="M326" s="3">
        <f t="shared" si="3"/>
        <v>100</v>
      </c>
      <c r="N326" s="3">
        <v>23000249</v>
      </c>
    </row>
    <row r="327" spans="6:14">
      <c r="F327" s="3">
        <v>250000</v>
      </c>
      <c r="G327" s="16" t="s">
        <v>6</v>
      </c>
      <c r="H327" s="16">
        <v>1</v>
      </c>
      <c r="I327" s="16">
        <f>VLOOKUP(G327,道具定价!$C:$F,4,0)*H327</f>
        <v>150</v>
      </c>
      <c r="L327" s="16">
        <f>_xlfn.IFNA(VLOOKUP(J327,道具定价!$C:$F,4,0)*K327,0)</f>
        <v>0</v>
      </c>
      <c r="M327" s="3">
        <f t="shared" si="3"/>
        <v>150</v>
      </c>
      <c r="N327" s="3">
        <v>23000250</v>
      </c>
    </row>
    <row r="328" spans="6:14">
      <c r="F328" s="3">
        <v>251000</v>
      </c>
      <c r="G328" s="16" t="s">
        <v>6</v>
      </c>
      <c r="H328" s="16">
        <v>1</v>
      </c>
      <c r="I328" s="16">
        <f>VLOOKUP(G328,道具定价!$C:$F,4,0)*H328</f>
        <v>150</v>
      </c>
      <c r="L328" s="16">
        <f>_xlfn.IFNA(VLOOKUP(J328,道具定价!$C:$F,4,0)*K328,0)</f>
        <v>0</v>
      </c>
      <c r="M328" s="3">
        <f t="shared" si="3"/>
        <v>150</v>
      </c>
      <c r="N328" s="3">
        <v>23000251</v>
      </c>
    </row>
    <row r="329" spans="6:14">
      <c r="F329" s="3">
        <v>252000</v>
      </c>
      <c r="G329" s="16" t="s">
        <v>5</v>
      </c>
      <c r="H329" s="16">
        <v>100</v>
      </c>
      <c r="I329" s="16">
        <f>VLOOKUP(G329,道具定价!$C:$F,4,0)*H329</f>
        <v>100</v>
      </c>
      <c r="L329" s="16">
        <f>_xlfn.IFNA(VLOOKUP(J329,道具定价!$C:$F,4,0)*K329,0)</f>
        <v>0</v>
      </c>
      <c r="M329" s="3">
        <f t="shared" si="3"/>
        <v>100</v>
      </c>
      <c r="N329" s="3">
        <v>23000252</v>
      </c>
    </row>
    <row r="330" spans="6:14">
      <c r="F330" s="3">
        <v>253000</v>
      </c>
      <c r="G330" s="16" t="s">
        <v>6</v>
      </c>
      <c r="H330" s="16">
        <v>1</v>
      </c>
      <c r="I330" s="16">
        <f>VLOOKUP(G330,道具定价!$C:$F,4,0)*H330</f>
        <v>150</v>
      </c>
      <c r="L330" s="16">
        <f>_xlfn.IFNA(VLOOKUP(J330,道具定价!$C:$F,4,0)*K330,0)</f>
        <v>0</v>
      </c>
      <c r="M330" s="3">
        <f t="shared" si="3"/>
        <v>150</v>
      </c>
      <c r="N330" s="3">
        <v>23000253</v>
      </c>
    </row>
    <row r="331" spans="6:14">
      <c r="F331" s="3">
        <v>254000</v>
      </c>
      <c r="G331" s="16" t="s">
        <v>6</v>
      </c>
      <c r="H331" s="16">
        <v>1</v>
      </c>
      <c r="I331" s="16">
        <f>VLOOKUP(G331,道具定价!$C:$F,4,0)*H331</f>
        <v>150</v>
      </c>
      <c r="L331" s="16">
        <f>_xlfn.IFNA(VLOOKUP(J331,道具定价!$C:$F,4,0)*K331,0)</f>
        <v>0</v>
      </c>
      <c r="M331" s="3">
        <f t="shared" si="3"/>
        <v>150</v>
      </c>
      <c r="N331" s="3">
        <v>23000254</v>
      </c>
    </row>
    <row r="332" spans="6:14">
      <c r="F332" s="3">
        <v>255000</v>
      </c>
      <c r="G332" s="16" t="s">
        <v>5</v>
      </c>
      <c r="H332" s="16">
        <v>100</v>
      </c>
      <c r="I332" s="16">
        <f>VLOOKUP(G332,道具定价!$C:$F,4,0)*H332</f>
        <v>100</v>
      </c>
      <c r="L332" s="16">
        <f>_xlfn.IFNA(VLOOKUP(J332,道具定价!$C:$F,4,0)*K332,0)</f>
        <v>0</v>
      </c>
      <c r="M332" s="3">
        <f t="shared" si="3"/>
        <v>100</v>
      </c>
      <c r="N332" s="3">
        <v>23000255</v>
      </c>
    </row>
    <row r="333" spans="6:14">
      <c r="F333" s="3">
        <v>256000</v>
      </c>
      <c r="G333" s="16" t="s">
        <v>6</v>
      </c>
      <c r="H333" s="16">
        <v>1</v>
      </c>
      <c r="I333" s="16">
        <f>VLOOKUP(G333,道具定价!$C:$F,4,0)*H333</f>
        <v>150</v>
      </c>
      <c r="L333" s="16">
        <f>_xlfn.IFNA(VLOOKUP(J333,道具定价!$C:$F,4,0)*K333,0)</f>
        <v>0</v>
      </c>
      <c r="M333" s="3">
        <f t="shared" si="3"/>
        <v>150</v>
      </c>
      <c r="N333" s="3">
        <v>23000256</v>
      </c>
    </row>
    <row r="334" spans="6:14">
      <c r="F334" s="3">
        <v>257000</v>
      </c>
      <c r="G334" s="16" t="s">
        <v>6</v>
      </c>
      <c r="H334" s="16">
        <v>1</v>
      </c>
      <c r="I334" s="16">
        <f>VLOOKUP(G334,道具定价!$C:$F,4,0)*H334</f>
        <v>150</v>
      </c>
      <c r="L334" s="16">
        <f>_xlfn.IFNA(VLOOKUP(J334,道具定价!$C:$F,4,0)*K334,0)</f>
        <v>0</v>
      </c>
      <c r="M334" s="3">
        <f t="shared" ref="M334:M374" si="4">L334+I334</f>
        <v>150</v>
      </c>
      <c r="N334" s="3">
        <v>23000257</v>
      </c>
    </row>
    <row r="335" spans="6:14">
      <c r="F335" s="3">
        <v>258000</v>
      </c>
      <c r="G335" s="16" t="s">
        <v>5</v>
      </c>
      <c r="H335" s="16">
        <v>100</v>
      </c>
      <c r="I335" s="16">
        <f>VLOOKUP(G335,道具定价!$C:$F,4,0)*H335</f>
        <v>100</v>
      </c>
      <c r="L335" s="16">
        <f>_xlfn.IFNA(VLOOKUP(J335,道具定价!$C:$F,4,0)*K335,0)</f>
        <v>0</v>
      </c>
      <c r="M335" s="3">
        <f t="shared" si="4"/>
        <v>100</v>
      </c>
      <c r="N335" s="3">
        <v>23000258</v>
      </c>
    </row>
    <row r="336" spans="6:14">
      <c r="F336" s="3">
        <v>259000</v>
      </c>
      <c r="G336" s="16" t="s">
        <v>6</v>
      </c>
      <c r="H336" s="16">
        <v>1</v>
      </c>
      <c r="I336" s="16">
        <f>VLOOKUP(G336,道具定价!$C:$F,4,0)*H336</f>
        <v>150</v>
      </c>
      <c r="L336" s="16">
        <f>_xlfn.IFNA(VLOOKUP(J336,道具定价!$C:$F,4,0)*K336,0)</f>
        <v>0</v>
      </c>
      <c r="M336" s="3">
        <f t="shared" si="4"/>
        <v>150</v>
      </c>
      <c r="N336" s="3">
        <v>23000259</v>
      </c>
    </row>
    <row r="337" spans="6:14">
      <c r="F337" s="3">
        <v>260000</v>
      </c>
      <c r="G337" s="16" t="s">
        <v>6</v>
      </c>
      <c r="H337" s="16">
        <v>1</v>
      </c>
      <c r="I337" s="16">
        <f>VLOOKUP(G337,道具定价!$C:$F,4,0)*H337</f>
        <v>150</v>
      </c>
      <c r="L337" s="16">
        <f>_xlfn.IFNA(VLOOKUP(J337,道具定价!$C:$F,4,0)*K337,0)</f>
        <v>0</v>
      </c>
      <c r="M337" s="3">
        <f t="shared" si="4"/>
        <v>150</v>
      </c>
      <c r="N337" s="3">
        <v>23000260</v>
      </c>
    </row>
    <row r="338" spans="6:14">
      <c r="F338" s="3">
        <v>261000</v>
      </c>
      <c r="G338" s="16" t="s">
        <v>5</v>
      </c>
      <c r="H338" s="16">
        <v>100</v>
      </c>
      <c r="I338" s="16">
        <f>VLOOKUP(G338,道具定价!$C:$F,4,0)*H338</f>
        <v>100</v>
      </c>
      <c r="L338" s="16">
        <f>_xlfn.IFNA(VLOOKUP(J338,道具定价!$C:$F,4,0)*K338,0)</f>
        <v>0</v>
      </c>
      <c r="M338" s="3">
        <f t="shared" si="4"/>
        <v>100</v>
      </c>
      <c r="N338" s="3">
        <v>23000261</v>
      </c>
    </row>
    <row r="339" spans="6:14">
      <c r="F339" s="3">
        <v>262000</v>
      </c>
      <c r="G339" s="16" t="s">
        <v>6</v>
      </c>
      <c r="H339" s="16">
        <v>1</v>
      </c>
      <c r="I339" s="16">
        <f>VLOOKUP(G339,道具定价!$C:$F,4,0)*H339</f>
        <v>150</v>
      </c>
      <c r="L339" s="16">
        <f>_xlfn.IFNA(VLOOKUP(J339,道具定价!$C:$F,4,0)*K339,0)</f>
        <v>0</v>
      </c>
      <c r="M339" s="3">
        <f t="shared" si="4"/>
        <v>150</v>
      </c>
      <c r="N339" s="3">
        <v>23000262</v>
      </c>
    </row>
    <row r="340" spans="6:14">
      <c r="F340" s="3">
        <v>263000</v>
      </c>
      <c r="G340" s="16" t="s">
        <v>6</v>
      </c>
      <c r="H340" s="16">
        <v>1</v>
      </c>
      <c r="I340" s="16">
        <f>VLOOKUP(G340,道具定价!$C:$F,4,0)*H340</f>
        <v>150</v>
      </c>
      <c r="L340" s="16">
        <f>_xlfn.IFNA(VLOOKUP(J340,道具定价!$C:$F,4,0)*K340,0)</f>
        <v>0</v>
      </c>
      <c r="M340" s="3">
        <f t="shared" si="4"/>
        <v>150</v>
      </c>
      <c r="N340" s="3">
        <v>23000263</v>
      </c>
    </row>
    <row r="341" spans="6:14">
      <c r="F341" s="3">
        <v>264000</v>
      </c>
      <c r="G341" s="16" t="s">
        <v>5</v>
      </c>
      <c r="H341" s="16">
        <v>100</v>
      </c>
      <c r="I341" s="16">
        <f>VLOOKUP(G341,道具定价!$C:$F,4,0)*H341</f>
        <v>100</v>
      </c>
      <c r="L341" s="16">
        <f>_xlfn.IFNA(VLOOKUP(J341,道具定价!$C:$F,4,0)*K341,0)</f>
        <v>0</v>
      </c>
      <c r="M341" s="3">
        <f t="shared" si="4"/>
        <v>100</v>
      </c>
      <c r="N341" s="3">
        <v>23000264</v>
      </c>
    </row>
    <row r="342" spans="6:14">
      <c r="F342" s="3">
        <v>265000</v>
      </c>
      <c r="G342" s="16" t="s">
        <v>6</v>
      </c>
      <c r="H342" s="16">
        <v>1</v>
      </c>
      <c r="I342" s="16">
        <f>VLOOKUP(G342,道具定价!$C:$F,4,0)*H342</f>
        <v>150</v>
      </c>
      <c r="L342" s="16">
        <f>_xlfn.IFNA(VLOOKUP(J342,道具定价!$C:$F,4,0)*K342,0)</f>
        <v>0</v>
      </c>
      <c r="M342" s="3">
        <f t="shared" si="4"/>
        <v>150</v>
      </c>
      <c r="N342" s="3">
        <v>23000265</v>
      </c>
    </row>
    <row r="343" spans="6:14">
      <c r="F343" s="3">
        <v>266000</v>
      </c>
      <c r="G343" s="16" t="s">
        <v>6</v>
      </c>
      <c r="H343" s="16">
        <v>1</v>
      </c>
      <c r="I343" s="16">
        <f>VLOOKUP(G343,道具定价!$C:$F,4,0)*H343</f>
        <v>150</v>
      </c>
      <c r="L343" s="16">
        <f>_xlfn.IFNA(VLOOKUP(J343,道具定价!$C:$F,4,0)*K343,0)</f>
        <v>0</v>
      </c>
      <c r="M343" s="3">
        <f t="shared" si="4"/>
        <v>150</v>
      </c>
      <c r="N343" s="3">
        <v>23000266</v>
      </c>
    </row>
    <row r="344" spans="6:14">
      <c r="F344" s="3">
        <v>267000</v>
      </c>
      <c r="G344" s="16" t="s">
        <v>5</v>
      </c>
      <c r="H344" s="16">
        <v>100</v>
      </c>
      <c r="I344" s="16">
        <f>VLOOKUP(G344,道具定价!$C:$F,4,0)*H344</f>
        <v>100</v>
      </c>
      <c r="L344" s="16">
        <f>_xlfn.IFNA(VLOOKUP(J344,道具定价!$C:$F,4,0)*K344,0)</f>
        <v>0</v>
      </c>
      <c r="M344" s="3">
        <f t="shared" si="4"/>
        <v>100</v>
      </c>
      <c r="N344" s="3">
        <v>23000267</v>
      </c>
    </row>
    <row r="345" spans="6:14">
      <c r="F345" s="3">
        <v>268000</v>
      </c>
      <c r="G345" s="16" t="s">
        <v>6</v>
      </c>
      <c r="H345" s="16">
        <v>1</v>
      </c>
      <c r="I345" s="16">
        <f>VLOOKUP(G345,道具定价!$C:$F,4,0)*H345</f>
        <v>150</v>
      </c>
      <c r="L345" s="16">
        <f>_xlfn.IFNA(VLOOKUP(J345,道具定价!$C:$F,4,0)*K345,0)</f>
        <v>0</v>
      </c>
      <c r="M345" s="3">
        <f t="shared" si="4"/>
        <v>150</v>
      </c>
      <c r="N345" s="3">
        <v>23000268</v>
      </c>
    </row>
    <row r="346" spans="6:14">
      <c r="F346" s="3">
        <v>269000</v>
      </c>
      <c r="G346" s="16" t="s">
        <v>6</v>
      </c>
      <c r="H346" s="16">
        <v>1</v>
      </c>
      <c r="I346" s="16">
        <f>VLOOKUP(G346,道具定价!$C:$F,4,0)*H346</f>
        <v>150</v>
      </c>
      <c r="L346" s="16">
        <f>_xlfn.IFNA(VLOOKUP(J346,道具定价!$C:$F,4,0)*K346,0)</f>
        <v>0</v>
      </c>
      <c r="M346" s="3">
        <f t="shared" si="4"/>
        <v>150</v>
      </c>
      <c r="N346" s="3">
        <v>23000269</v>
      </c>
    </row>
    <row r="347" spans="6:14">
      <c r="F347" s="3">
        <v>270000</v>
      </c>
      <c r="G347" s="16" t="s">
        <v>5</v>
      </c>
      <c r="H347" s="16">
        <v>100</v>
      </c>
      <c r="I347" s="16">
        <f>VLOOKUP(G347,道具定价!$C:$F,4,0)*H347</f>
        <v>100</v>
      </c>
      <c r="L347" s="16">
        <f>_xlfn.IFNA(VLOOKUP(J347,道具定价!$C:$F,4,0)*K347,0)</f>
        <v>0</v>
      </c>
      <c r="M347" s="3">
        <f t="shared" si="4"/>
        <v>100</v>
      </c>
      <c r="N347" s="3">
        <v>23000270</v>
      </c>
    </row>
    <row r="348" spans="6:14">
      <c r="F348" s="3">
        <v>271000</v>
      </c>
      <c r="G348" s="16" t="s">
        <v>6</v>
      </c>
      <c r="H348" s="16">
        <v>1</v>
      </c>
      <c r="I348" s="16">
        <f>VLOOKUP(G348,道具定价!$C:$F,4,0)*H348</f>
        <v>150</v>
      </c>
      <c r="L348" s="16">
        <f>_xlfn.IFNA(VLOOKUP(J348,道具定价!$C:$F,4,0)*K348,0)</f>
        <v>0</v>
      </c>
      <c r="M348" s="3">
        <f t="shared" si="4"/>
        <v>150</v>
      </c>
      <c r="N348" s="3">
        <v>23000271</v>
      </c>
    </row>
    <row r="349" spans="6:14">
      <c r="F349" s="3">
        <v>272000</v>
      </c>
      <c r="G349" s="16" t="s">
        <v>6</v>
      </c>
      <c r="H349" s="16">
        <v>1</v>
      </c>
      <c r="I349" s="16">
        <f>VLOOKUP(G349,道具定价!$C:$F,4,0)*H349</f>
        <v>150</v>
      </c>
      <c r="L349" s="16">
        <f>_xlfn.IFNA(VLOOKUP(J349,道具定价!$C:$F,4,0)*K349,0)</f>
        <v>0</v>
      </c>
      <c r="M349" s="3">
        <f t="shared" si="4"/>
        <v>150</v>
      </c>
      <c r="N349" s="3">
        <v>23000272</v>
      </c>
    </row>
    <row r="350" spans="6:14">
      <c r="F350" s="3">
        <v>273000</v>
      </c>
      <c r="G350" s="16" t="s">
        <v>5</v>
      </c>
      <c r="H350" s="16">
        <v>100</v>
      </c>
      <c r="I350" s="16">
        <f>VLOOKUP(G350,道具定价!$C:$F,4,0)*H350</f>
        <v>100</v>
      </c>
      <c r="L350" s="16">
        <f>_xlfn.IFNA(VLOOKUP(J350,道具定价!$C:$F,4,0)*K350,0)</f>
        <v>0</v>
      </c>
      <c r="M350" s="3">
        <f t="shared" si="4"/>
        <v>100</v>
      </c>
      <c r="N350" s="3">
        <v>23000273</v>
      </c>
    </row>
    <row r="351" spans="6:14">
      <c r="F351" s="3">
        <v>274000</v>
      </c>
      <c r="G351" s="16" t="s">
        <v>6</v>
      </c>
      <c r="H351" s="16">
        <v>1</v>
      </c>
      <c r="I351" s="16">
        <f>VLOOKUP(G351,道具定价!$C:$F,4,0)*H351</f>
        <v>150</v>
      </c>
      <c r="L351" s="16">
        <f>_xlfn.IFNA(VLOOKUP(J351,道具定价!$C:$F,4,0)*K351,0)</f>
        <v>0</v>
      </c>
      <c r="M351" s="3">
        <f t="shared" si="4"/>
        <v>150</v>
      </c>
      <c r="N351" s="3">
        <v>23000274</v>
      </c>
    </row>
    <row r="352" spans="6:14">
      <c r="F352" s="3">
        <v>275000</v>
      </c>
      <c r="G352" s="16" t="s">
        <v>6</v>
      </c>
      <c r="H352" s="16">
        <v>1</v>
      </c>
      <c r="I352" s="16">
        <f>VLOOKUP(G352,道具定价!$C:$F,4,0)*H352</f>
        <v>150</v>
      </c>
      <c r="L352" s="16">
        <f>_xlfn.IFNA(VLOOKUP(J352,道具定价!$C:$F,4,0)*K352,0)</f>
        <v>0</v>
      </c>
      <c r="M352" s="3">
        <f t="shared" si="4"/>
        <v>150</v>
      </c>
      <c r="N352" s="3">
        <v>23000275</v>
      </c>
    </row>
    <row r="353" spans="6:14">
      <c r="F353" s="3">
        <v>276000</v>
      </c>
      <c r="G353" s="16" t="s">
        <v>5</v>
      </c>
      <c r="H353" s="16">
        <v>100</v>
      </c>
      <c r="I353" s="16">
        <f>VLOOKUP(G353,道具定价!$C:$F,4,0)*H353</f>
        <v>100</v>
      </c>
      <c r="L353" s="16">
        <f>_xlfn.IFNA(VLOOKUP(J353,道具定价!$C:$F,4,0)*K353,0)</f>
        <v>0</v>
      </c>
      <c r="M353" s="3">
        <f t="shared" si="4"/>
        <v>100</v>
      </c>
      <c r="N353" s="3">
        <v>23000276</v>
      </c>
    </row>
    <row r="354" spans="6:14">
      <c r="F354" s="3">
        <v>277000</v>
      </c>
      <c r="G354" s="16" t="s">
        <v>6</v>
      </c>
      <c r="H354" s="16">
        <v>1</v>
      </c>
      <c r="I354" s="16">
        <f>VLOOKUP(G354,道具定价!$C:$F,4,0)*H354</f>
        <v>150</v>
      </c>
      <c r="L354" s="16">
        <f>_xlfn.IFNA(VLOOKUP(J354,道具定价!$C:$F,4,0)*K354,0)</f>
        <v>0</v>
      </c>
      <c r="M354" s="3">
        <f t="shared" si="4"/>
        <v>150</v>
      </c>
      <c r="N354" s="3">
        <v>23000277</v>
      </c>
    </row>
    <row r="355" spans="6:14">
      <c r="F355" s="3">
        <v>278000</v>
      </c>
      <c r="G355" s="16" t="s">
        <v>6</v>
      </c>
      <c r="H355" s="16">
        <v>1</v>
      </c>
      <c r="I355" s="16">
        <f>VLOOKUP(G355,道具定价!$C:$F,4,0)*H355</f>
        <v>150</v>
      </c>
      <c r="L355" s="16">
        <f>_xlfn.IFNA(VLOOKUP(J355,道具定价!$C:$F,4,0)*K355,0)</f>
        <v>0</v>
      </c>
      <c r="M355" s="3">
        <f t="shared" si="4"/>
        <v>150</v>
      </c>
      <c r="N355" s="3">
        <v>23000278</v>
      </c>
    </row>
    <row r="356" spans="6:14">
      <c r="F356" s="3">
        <v>279000</v>
      </c>
      <c r="G356" s="16" t="s">
        <v>5</v>
      </c>
      <c r="H356" s="16">
        <v>100</v>
      </c>
      <c r="I356" s="16">
        <f>VLOOKUP(G356,道具定价!$C:$F,4,0)*H356</f>
        <v>100</v>
      </c>
      <c r="L356" s="16">
        <f>_xlfn.IFNA(VLOOKUP(J356,道具定价!$C:$F,4,0)*K356,0)</f>
        <v>0</v>
      </c>
      <c r="M356" s="3">
        <f t="shared" si="4"/>
        <v>100</v>
      </c>
      <c r="N356" s="3">
        <v>23000279</v>
      </c>
    </row>
    <row r="357" spans="6:14">
      <c r="F357" s="3">
        <v>280000</v>
      </c>
      <c r="G357" s="16" t="s">
        <v>6</v>
      </c>
      <c r="H357" s="16">
        <v>1</v>
      </c>
      <c r="I357" s="16">
        <f>VLOOKUP(G357,道具定价!$C:$F,4,0)*H357</f>
        <v>150</v>
      </c>
      <c r="L357" s="16">
        <f>_xlfn.IFNA(VLOOKUP(J357,道具定价!$C:$F,4,0)*K357,0)</f>
        <v>0</v>
      </c>
      <c r="M357" s="3">
        <f t="shared" si="4"/>
        <v>150</v>
      </c>
      <c r="N357" s="3">
        <v>23000280</v>
      </c>
    </row>
    <row r="358" spans="6:14">
      <c r="F358" s="3">
        <v>281000</v>
      </c>
      <c r="G358" s="16" t="s">
        <v>6</v>
      </c>
      <c r="H358" s="16">
        <v>1</v>
      </c>
      <c r="I358" s="16">
        <f>VLOOKUP(G358,道具定价!$C:$F,4,0)*H358</f>
        <v>150</v>
      </c>
      <c r="L358" s="16">
        <f>_xlfn.IFNA(VLOOKUP(J358,道具定价!$C:$F,4,0)*K358,0)</f>
        <v>0</v>
      </c>
      <c r="M358" s="3">
        <f t="shared" si="4"/>
        <v>150</v>
      </c>
      <c r="N358" s="3">
        <v>23000281</v>
      </c>
    </row>
    <row r="359" spans="6:14">
      <c r="F359" s="3">
        <v>282000</v>
      </c>
      <c r="G359" s="16" t="s">
        <v>5</v>
      </c>
      <c r="H359" s="16">
        <v>100</v>
      </c>
      <c r="I359" s="16">
        <f>VLOOKUP(G359,道具定价!$C:$F,4,0)*H359</f>
        <v>100</v>
      </c>
      <c r="L359" s="16">
        <f>_xlfn.IFNA(VLOOKUP(J359,道具定价!$C:$F,4,0)*K359,0)</f>
        <v>0</v>
      </c>
      <c r="M359" s="3">
        <f t="shared" si="4"/>
        <v>100</v>
      </c>
      <c r="N359" s="3">
        <v>23000282</v>
      </c>
    </row>
    <row r="360" spans="6:14">
      <c r="F360" s="3">
        <v>283000</v>
      </c>
      <c r="G360" s="16" t="s">
        <v>6</v>
      </c>
      <c r="H360" s="16">
        <v>1</v>
      </c>
      <c r="I360" s="16">
        <f>VLOOKUP(G360,道具定价!$C:$F,4,0)*H360</f>
        <v>150</v>
      </c>
      <c r="L360" s="16">
        <f>_xlfn.IFNA(VLOOKUP(J360,道具定价!$C:$F,4,0)*K360,0)</f>
        <v>0</v>
      </c>
      <c r="M360" s="3">
        <f t="shared" si="4"/>
        <v>150</v>
      </c>
      <c r="N360" s="3">
        <v>23000283</v>
      </c>
    </row>
    <row r="361" spans="6:14">
      <c r="F361" s="3">
        <v>284000</v>
      </c>
      <c r="G361" s="16" t="s">
        <v>6</v>
      </c>
      <c r="H361" s="16">
        <v>1</v>
      </c>
      <c r="I361" s="16">
        <f>VLOOKUP(G361,道具定价!$C:$F,4,0)*H361</f>
        <v>150</v>
      </c>
      <c r="L361" s="16">
        <f>_xlfn.IFNA(VLOOKUP(J361,道具定价!$C:$F,4,0)*K361,0)</f>
        <v>0</v>
      </c>
      <c r="M361" s="3">
        <f t="shared" si="4"/>
        <v>150</v>
      </c>
      <c r="N361" s="3">
        <v>23000284</v>
      </c>
    </row>
    <row r="362" spans="6:14">
      <c r="F362" s="3">
        <v>285000</v>
      </c>
      <c r="G362" s="16" t="s">
        <v>5</v>
      </c>
      <c r="H362" s="16">
        <v>100</v>
      </c>
      <c r="I362" s="16">
        <f>VLOOKUP(G362,道具定价!$C:$F,4,0)*H362</f>
        <v>100</v>
      </c>
      <c r="L362" s="16">
        <f>_xlfn.IFNA(VLOOKUP(J362,道具定价!$C:$F,4,0)*K362,0)</f>
        <v>0</v>
      </c>
      <c r="M362" s="3">
        <f t="shared" si="4"/>
        <v>100</v>
      </c>
      <c r="N362" s="3">
        <v>23000285</v>
      </c>
    </row>
    <row r="363" spans="6:14">
      <c r="F363" s="3">
        <v>286000</v>
      </c>
      <c r="G363" s="16" t="s">
        <v>6</v>
      </c>
      <c r="H363" s="16">
        <v>1</v>
      </c>
      <c r="I363" s="16">
        <f>VLOOKUP(G363,道具定价!$C:$F,4,0)*H363</f>
        <v>150</v>
      </c>
      <c r="L363" s="16">
        <f>_xlfn.IFNA(VLOOKUP(J363,道具定价!$C:$F,4,0)*K363,0)</f>
        <v>0</v>
      </c>
      <c r="M363" s="3">
        <f t="shared" si="4"/>
        <v>150</v>
      </c>
      <c r="N363" s="3">
        <v>23000286</v>
      </c>
    </row>
    <row r="364" spans="6:14">
      <c r="F364" s="3">
        <v>287000</v>
      </c>
      <c r="G364" s="16" t="s">
        <v>6</v>
      </c>
      <c r="H364" s="16">
        <v>1</v>
      </c>
      <c r="I364" s="16">
        <f>VLOOKUP(G364,道具定价!$C:$F,4,0)*H364</f>
        <v>150</v>
      </c>
      <c r="L364" s="16">
        <f>_xlfn.IFNA(VLOOKUP(J364,道具定价!$C:$F,4,0)*K364,0)</f>
        <v>0</v>
      </c>
      <c r="M364" s="3">
        <f t="shared" si="4"/>
        <v>150</v>
      </c>
      <c r="N364" s="3">
        <v>23000287</v>
      </c>
    </row>
    <row r="365" spans="6:14">
      <c r="F365" s="3">
        <v>288000</v>
      </c>
      <c r="G365" s="16" t="s">
        <v>5</v>
      </c>
      <c r="H365" s="16">
        <v>100</v>
      </c>
      <c r="I365" s="16">
        <f>VLOOKUP(G365,道具定价!$C:$F,4,0)*H365</f>
        <v>100</v>
      </c>
      <c r="L365" s="16">
        <f>_xlfn.IFNA(VLOOKUP(J365,道具定价!$C:$F,4,0)*K365,0)</f>
        <v>0</v>
      </c>
      <c r="M365" s="3">
        <f t="shared" si="4"/>
        <v>100</v>
      </c>
      <c r="N365" s="3">
        <v>23000288</v>
      </c>
    </row>
    <row r="366" spans="6:14">
      <c r="F366" s="3">
        <v>289000</v>
      </c>
      <c r="G366" s="16" t="s">
        <v>6</v>
      </c>
      <c r="H366" s="16">
        <v>1</v>
      </c>
      <c r="I366" s="16">
        <f>VLOOKUP(G366,道具定价!$C:$F,4,0)*H366</f>
        <v>150</v>
      </c>
      <c r="L366" s="16">
        <f>_xlfn.IFNA(VLOOKUP(J366,道具定价!$C:$F,4,0)*K366,0)</f>
        <v>0</v>
      </c>
      <c r="M366" s="3">
        <f t="shared" si="4"/>
        <v>150</v>
      </c>
      <c r="N366" s="3">
        <v>23000289</v>
      </c>
    </row>
    <row r="367" spans="6:14">
      <c r="F367" s="3">
        <v>290000</v>
      </c>
      <c r="G367" s="16" t="s">
        <v>6</v>
      </c>
      <c r="H367" s="16">
        <v>1</v>
      </c>
      <c r="I367" s="16">
        <f>VLOOKUP(G367,道具定价!$C:$F,4,0)*H367</f>
        <v>150</v>
      </c>
      <c r="L367" s="16">
        <f>_xlfn.IFNA(VLOOKUP(J367,道具定价!$C:$F,4,0)*K367,0)</f>
        <v>0</v>
      </c>
      <c r="M367" s="3">
        <f t="shared" si="4"/>
        <v>150</v>
      </c>
      <c r="N367" s="3">
        <v>23000290</v>
      </c>
    </row>
    <row r="368" spans="6:14">
      <c r="F368" s="3">
        <v>291000</v>
      </c>
      <c r="G368" s="16" t="s">
        <v>5</v>
      </c>
      <c r="H368" s="16">
        <v>100</v>
      </c>
      <c r="I368" s="16">
        <f>VLOOKUP(G368,道具定价!$C:$F,4,0)*H368</f>
        <v>100</v>
      </c>
      <c r="L368" s="16">
        <f>_xlfn.IFNA(VLOOKUP(J368,道具定价!$C:$F,4,0)*K368,0)</f>
        <v>0</v>
      </c>
      <c r="M368" s="3">
        <f t="shared" si="4"/>
        <v>100</v>
      </c>
      <c r="N368" s="3">
        <v>23000291</v>
      </c>
    </row>
    <row r="369" spans="6:14">
      <c r="F369" s="3">
        <v>292000</v>
      </c>
      <c r="G369" s="16" t="s">
        <v>6</v>
      </c>
      <c r="H369" s="16">
        <v>1</v>
      </c>
      <c r="I369" s="16">
        <f>VLOOKUP(G369,道具定价!$C:$F,4,0)*H369</f>
        <v>150</v>
      </c>
      <c r="L369" s="16">
        <f>_xlfn.IFNA(VLOOKUP(J369,道具定价!$C:$F,4,0)*K369,0)</f>
        <v>0</v>
      </c>
      <c r="M369" s="3">
        <f t="shared" si="4"/>
        <v>150</v>
      </c>
      <c r="N369" s="3">
        <v>23000292</v>
      </c>
    </row>
    <row r="370" spans="6:14">
      <c r="F370" s="3">
        <v>293000</v>
      </c>
      <c r="G370" s="16" t="s">
        <v>6</v>
      </c>
      <c r="H370" s="16">
        <v>1</v>
      </c>
      <c r="I370" s="16">
        <f>VLOOKUP(G370,道具定价!$C:$F,4,0)*H370</f>
        <v>150</v>
      </c>
      <c r="L370" s="16">
        <f>_xlfn.IFNA(VLOOKUP(J370,道具定价!$C:$F,4,0)*K370,0)</f>
        <v>0</v>
      </c>
      <c r="M370" s="3">
        <f t="shared" si="4"/>
        <v>150</v>
      </c>
      <c r="N370" s="3">
        <v>23000293</v>
      </c>
    </row>
    <row r="371" spans="6:14">
      <c r="F371" s="3">
        <v>294000</v>
      </c>
      <c r="G371" s="16" t="s">
        <v>5</v>
      </c>
      <c r="H371" s="16">
        <v>100</v>
      </c>
      <c r="I371" s="16">
        <f>VLOOKUP(G371,道具定价!$C:$F,4,0)*H371</f>
        <v>100</v>
      </c>
      <c r="L371" s="16">
        <f>_xlfn.IFNA(VLOOKUP(J371,道具定价!$C:$F,4,0)*K371,0)</f>
        <v>0</v>
      </c>
      <c r="M371" s="3">
        <f t="shared" si="4"/>
        <v>100</v>
      </c>
      <c r="N371" s="3">
        <v>23000294</v>
      </c>
    </row>
    <row r="372" spans="6:14">
      <c r="F372" s="3">
        <v>295000</v>
      </c>
      <c r="G372" s="16" t="s">
        <v>6</v>
      </c>
      <c r="H372" s="16">
        <v>1</v>
      </c>
      <c r="I372" s="16">
        <f>VLOOKUP(G372,道具定价!$C:$F,4,0)*H372</f>
        <v>150</v>
      </c>
      <c r="L372" s="16">
        <f>_xlfn.IFNA(VLOOKUP(J372,道具定价!$C:$F,4,0)*K372,0)</f>
        <v>0</v>
      </c>
      <c r="M372" s="3">
        <f t="shared" si="4"/>
        <v>150</v>
      </c>
      <c r="N372" s="3">
        <v>23000295</v>
      </c>
    </row>
    <row r="373" spans="6:14">
      <c r="F373" s="3">
        <v>296000</v>
      </c>
      <c r="G373" s="16" t="s">
        <v>6</v>
      </c>
      <c r="H373" s="16">
        <v>1</v>
      </c>
      <c r="I373" s="16">
        <f>VLOOKUP(G373,道具定价!$C:$F,4,0)*H373</f>
        <v>150</v>
      </c>
      <c r="L373" s="16">
        <f>_xlfn.IFNA(VLOOKUP(J373,道具定价!$C:$F,4,0)*K373,0)</f>
        <v>0</v>
      </c>
      <c r="M373" s="3">
        <f t="shared" si="4"/>
        <v>150</v>
      </c>
      <c r="N373" s="3">
        <v>23000296</v>
      </c>
    </row>
    <row r="374" spans="6:14">
      <c r="F374" s="3">
        <v>297000</v>
      </c>
      <c r="G374" s="16" t="s">
        <v>5</v>
      </c>
      <c r="H374" s="16">
        <v>100</v>
      </c>
      <c r="I374" s="16">
        <f>VLOOKUP(G374,道具定价!$C:$F,4,0)*H374</f>
        <v>100</v>
      </c>
      <c r="L374" s="16">
        <f>_xlfn.IFNA(VLOOKUP(J374,道具定价!$C:$F,4,0)*K374,0)</f>
        <v>0</v>
      </c>
      <c r="M374" s="3">
        <f t="shared" si="4"/>
        <v>100</v>
      </c>
      <c r="N374" s="3">
        <v>23000297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33"/>
  <sheetViews>
    <sheetView topLeftCell="A293" workbookViewId="0">
      <selection activeCell="I4" sqref="I4:I333"/>
    </sheetView>
  </sheetViews>
  <sheetFormatPr defaultColWidth="9" defaultRowHeight="13.5"/>
  <cols>
    <col min="2" max="2" width="17.125" style="14" customWidth="1"/>
    <col min="7" max="7" width="16.375" style="14" customWidth="1"/>
    <col min="10" max="10" width="9.375" style="14" customWidth="1"/>
  </cols>
  <sheetData>
    <row r="1" spans="2:12">
      <c r="B1" t="s">
        <v>589</v>
      </c>
      <c r="C1" t="s">
        <v>590</v>
      </c>
    </row>
    <row r="2" ht="16.5" customHeight="1" spans="2:12">
      <c r="B2" s="3" t="s">
        <v>5</v>
      </c>
      <c r="C2" s="3">
        <v>2</v>
      </c>
      <c r="F2" s="3" t="s">
        <v>1653</v>
      </c>
    </row>
    <row r="3" ht="16.5" customHeight="1" spans="2:12">
      <c r="B3" s="27" t="s">
        <v>1598</v>
      </c>
      <c r="C3" s="3">
        <v>100</v>
      </c>
      <c r="G3" t="s">
        <v>1441</v>
      </c>
    </row>
    <row r="4" ht="16.5" customHeight="1" spans="2:12">
      <c r="B4" s="27" t="s">
        <v>613</v>
      </c>
      <c r="C4" s="3">
        <v>101</v>
      </c>
      <c r="F4" s="3"/>
      <c r="G4" t="str">
        <f t="array" ref="G4:G333">_xlfn.TOCOL(_xlfn.HSTACK(无限挑战!G78:G374,无限挑战!J78:J374),1)</f>
        <v>角色抽卡券普通</v>
      </c>
      <c r="H4">
        <f t="shared" ref="H4:H67" si="0">VLOOKUP(G4,$B:$C,2,0)</f>
        <v>106</v>
      </c>
      <c r="I4">
        <f t="array" ref="I4:I333">_xlfn.TOCOL(_xlfn.HSTACK(无限挑战!H78:H374,无限挑战!K78:K374),1)</f>
        <v>1</v>
      </c>
      <c r="J4">
        <f t="array" ref="J4:J333">_xlfn.TOCOL(_xlfn.HSTACK(无限挑战!N78:N374,无限挑战!O78:O374),1)</f>
        <v>23000001</v>
      </c>
      <c r="K4">
        <f t="array" ref="K4">INDEX(无限挑战!$F$78:$F$374,MATCH(J4,无限挑战!$N$78:$N$374,0))</f>
        <v>1000</v>
      </c>
      <c r="L4" t="str">
        <f t="shared" ref="L4:L67" si="1">_xlfn.CONCAT("无限挑战",K4)</f>
        <v>无限挑战1000</v>
      </c>
    </row>
    <row r="5" ht="16.5" customHeight="1" spans="2:12">
      <c r="B5" s="27" t="s">
        <v>614</v>
      </c>
      <c r="C5" s="3">
        <v>102</v>
      </c>
      <c r="F5" s="3"/>
      <c r="G5" t="str">
        <v>映射之匙</v>
      </c>
      <c r="H5">
        <f t="shared" si="0"/>
        <v>25</v>
      </c>
      <c r="I5">
        <v>2</v>
      </c>
      <c r="J5">
        <v>23000002</v>
      </c>
      <c r="K5">
        <f t="array" ref="K5">INDEX(无限挑战!$F$78:$F$374,MATCH(J5,无限挑战!$N$78:$N$374,0))</f>
        <v>2000</v>
      </c>
      <c r="L5" t="str">
        <f t="shared" si="1"/>
        <v>无限挑战2000</v>
      </c>
    </row>
    <row r="6" ht="16.5" customHeight="1" spans="2:12">
      <c r="B6" s="3" t="s">
        <v>1601</v>
      </c>
      <c r="C6" s="3">
        <v>1001</v>
      </c>
      <c r="G6" t="str">
        <v>钻石</v>
      </c>
      <c r="H6">
        <f t="shared" si="0"/>
        <v>2</v>
      </c>
      <c r="I6">
        <v>150</v>
      </c>
      <c r="J6">
        <v>23000003</v>
      </c>
      <c r="K6">
        <f t="array" ref="K6">INDEX(无限挑战!$F$78:$F$374,MATCH(J6,无限挑战!$N$78:$N$374,0))</f>
        <v>3000</v>
      </c>
      <c r="L6" t="str">
        <f t="shared" si="1"/>
        <v>无限挑战3000</v>
      </c>
    </row>
    <row r="7" ht="16.5" customHeight="1" spans="2:12">
      <c r="B7" s="3" t="s">
        <v>1602</v>
      </c>
      <c r="C7" s="3">
        <v>1002</v>
      </c>
      <c r="G7" t="str">
        <v>角色抽卡券限时</v>
      </c>
      <c r="H7">
        <f t="shared" si="0"/>
        <v>111</v>
      </c>
      <c r="I7">
        <v>1</v>
      </c>
      <c r="J7">
        <v>23000003</v>
      </c>
      <c r="K7">
        <f t="array" ref="K7">INDEX(无限挑战!$F$78:$F$374,MATCH(J7,无限挑战!$N$78:$N$374,0))</f>
        <v>3000</v>
      </c>
      <c r="L7" t="str">
        <f t="shared" si="1"/>
        <v>无限挑战3000</v>
      </c>
    </row>
    <row r="8" ht="16.5" customHeight="1" spans="2:12">
      <c r="B8" s="3" t="s">
        <v>1603</v>
      </c>
      <c r="C8" s="3">
        <v>1003</v>
      </c>
      <c r="G8" t="str">
        <v>角色抽卡券普通</v>
      </c>
      <c r="H8">
        <f t="shared" si="0"/>
        <v>106</v>
      </c>
      <c r="I8">
        <v>1</v>
      </c>
      <c r="J8">
        <v>23000004</v>
      </c>
      <c r="K8">
        <f t="array" ref="K8">INDEX(无限挑战!$F$78:$F$374,MATCH(J8,无限挑战!$N$78:$N$374,0))</f>
        <v>4000</v>
      </c>
      <c r="L8" t="str">
        <f t="shared" si="1"/>
        <v>无限挑战4000</v>
      </c>
    </row>
    <row r="9" ht="16.5" customHeight="1" spans="2:12">
      <c r="B9" s="3" t="s">
        <v>1604</v>
      </c>
      <c r="C9" s="3">
        <v>1004</v>
      </c>
      <c r="G9" t="str">
        <v>映射之匙</v>
      </c>
      <c r="H9">
        <f t="shared" si="0"/>
        <v>25</v>
      </c>
      <c r="I9">
        <v>2</v>
      </c>
      <c r="J9">
        <v>23000005</v>
      </c>
      <c r="K9">
        <f t="array" ref="K9">INDEX(无限挑战!$F$78:$F$374,MATCH(J9,无限挑战!$N$78:$N$374,0))</f>
        <v>5000</v>
      </c>
      <c r="L9" t="str">
        <f t="shared" si="1"/>
        <v>无限挑战5000</v>
      </c>
    </row>
    <row r="10" ht="16.5" customHeight="1" spans="2:12">
      <c r="B10" s="3" t="s">
        <v>1605</v>
      </c>
      <c r="C10" s="3">
        <v>1005</v>
      </c>
      <c r="G10" t="str">
        <v>钻石</v>
      </c>
      <c r="H10">
        <f t="shared" si="0"/>
        <v>2</v>
      </c>
      <c r="I10">
        <v>150</v>
      </c>
      <c r="J10">
        <v>23000006</v>
      </c>
      <c r="K10">
        <f t="array" ref="K10">INDEX(无限挑战!$F$78:$F$374,MATCH(J10,无限挑战!$N$78:$N$374,0))</f>
        <v>6000</v>
      </c>
      <c r="L10" t="str">
        <f t="shared" si="1"/>
        <v>无限挑战6000</v>
      </c>
    </row>
    <row r="11" ht="16.5" customHeight="1" spans="2:12">
      <c r="B11" s="3" t="s">
        <v>1606</v>
      </c>
      <c r="C11" s="3">
        <v>1006</v>
      </c>
      <c r="G11" t="str">
        <v>角色抽卡券限时</v>
      </c>
      <c r="H11">
        <f t="shared" si="0"/>
        <v>111</v>
      </c>
      <c r="I11">
        <v>1</v>
      </c>
      <c r="J11">
        <v>23000006</v>
      </c>
      <c r="K11">
        <f t="array" ref="K11">INDEX(无限挑战!$F$78:$F$374,MATCH(J11,无限挑战!$N$78:$N$374,0))</f>
        <v>6000</v>
      </c>
      <c r="L11" t="str">
        <f t="shared" si="1"/>
        <v>无限挑战6000</v>
      </c>
    </row>
    <row r="12" ht="16.5" customHeight="1" spans="2:12">
      <c r="B12" s="3" t="s">
        <v>1607</v>
      </c>
      <c r="C12" s="3">
        <v>1007</v>
      </c>
      <c r="G12" t="str">
        <v>角色抽卡券普通</v>
      </c>
      <c r="H12">
        <f t="shared" si="0"/>
        <v>106</v>
      </c>
      <c r="I12">
        <v>1</v>
      </c>
      <c r="J12">
        <v>23000007</v>
      </c>
      <c r="K12">
        <f t="array" ref="K12">INDEX(无限挑战!$F$78:$F$374,MATCH(J12,无限挑战!$N$78:$N$374,0))</f>
        <v>7000</v>
      </c>
      <c r="L12" t="str">
        <f t="shared" si="1"/>
        <v>无限挑战7000</v>
      </c>
    </row>
    <row r="13" ht="16.5" customHeight="1" spans="2:12">
      <c r="B13" s="3" t="s">
        <v>1608</v>
      </c>
      <c r="C13" s="3">
        <v>1008</v>
      </c>
      <c r="G13" t="str">
        <v>映射之匙</v>
      </c>
      <c r="H13">
        <f t="shared" si="0"/>
        <v>25</v>
      </c>
      <c r="I13">
        <v>2</v>
      </c>
      <c r="J13">
        <v>23000008</v>
      </c>
      <c r="K13">
        <f t="array" ref="K13">INDEX(无限挑战!$F$78:$F$374,MATCH(J13,无限挑战!$N$78:$N$374,0))</f>
        <v>8000</v>
      </c>
      <c r="L13" t="str">
        <f t="shared" si="1"/>
        <v>无限挑战8000</v>
      </c>
    </row>
    <row r="14" ht="16.5" customHeight="1" spans="2:12">
      <c r="B14" s="3" t="s">
        <v>1609</v>
      </c>
      <c r="C14" s="3">
        <v>1009</v>
      </c>
      <c r="G14" t="str">
        <v>额外星盘点</v>
      </c>
      <c r="H14">
        <f t="shared" si="0"/>
        <v>103</v>
      </c>
      <c r="I14">
        <v>1</v>
      </c>
      <c r="J14">
        <v>23000009</v>
      </c>
      <c r="K14">
        <f t="array" ref="K14">INDEX(无限挑战!$F$78:$F$374,MATCH(J14,无限挑战!$N$78:$N$374,0))</f>
        <v>9000</v>
      </c>
      <c r="L14" t="str">
        <f t="shared" si="1"/>
        <v>无限挑战9000</v>
      </c>
    </row>
    <row r="15" ht="16.5" customHeight="1" spans="2:12">
      <c r="B15" s="3" t="s">
        <v>6</v>
      </c>
      <c r="C15" s="3">
        <v>106</v>
      </c>
      <c r="G15" t="str">
        <v>角色抽卡券限时</v>
      </c>
      <c r="H15">
        <f t="shared" si="0"/>
        <v>111</v>
      </c>
      <c r="I15">
        <v>2</v>
      </c>
      <c r="J15">
        <v>23000009</v>
      </c>
      <c r="K15">
        <f t="array" ref="K15">INDEX(无限挑战!$F$78:$F$374,MATCH(J15,无限挑战!$N$78:$N$374,0))</f>
        <v>9000</v>
      </c>
      <c r="L15" t="str">
        <f t="shared" si="1"/>
        <v>无限挑战9000</v>
      </c>
    </row>
    <row r="16" ht="16.5" customHeight="1" spans="2:12">
      <c r="B16" t="s">
        <v>728</v>
      </c>
      <c r="C16" s="3">
        <v>13</v>
      </c>
      <c r="G16" t="str">
        <v>角色抽卡券普通</v>
      </c>
      <c r="H16">
        <f t="shared" si="0"/>
        <v>106</v>
      </c>
      <c r="I16">
        <v>2</v>
      </c>
      <c r="J16">
        <v>23000010</v>
      </c>
      <c r="K16">
        <f t="array" ref="K16">INDEX(无限挑战!$F$78:$F$374,MATCH(J16,无限挑战!$N$78:$N$374,0))</f>
        <v>10000</v>
      </c>
      <c r="L16" t="str">
        <f t="shared" si="1"/>
        <v>无限挑战10000</v>
      </c>
    </row>
    <row r="17" ht="16.5" customHeight="1" spans="2:12">
      <c r="B17" s="3" t="s">
        <v>1611</v>
      </c>
      <c r="C17" s="3">
        <v>5</v>
      </c>
      <c r="G17" t="str">
        <v>映射之匙</v>
      </c>
      <c r="H17">
        <f t="shared" si="0"/>
        <v>25</v>
      </c>
      <c r="I17">
        <v>3</v>
      </c>
      <c r="J17">
        <v>23000011</v>
      </c>
      <c r="K17">
        <f t="array" ref="K17">INDEX(无限挑战!$F$78:$F$374,MATCH(J17,无限挑战!$N$78:$N$374,0))</f>
        <v>11000</v>
      </c>
      <c r="L17" t="str">
        <f t="shared" si="1"/>
        <v>无限挑战11000</v>
      </c>
    </row>
    <row r="18" ht="17.25" customHeight="1" spans="2:12">
      <c r="B18" s="3" t="s">
        <v>1612</v>
      </c>
      <c r="C18" s="15">
        <v>1010</v>
      </c>
      <c r="G18" t="str">
        <v>钻石</v>
      </c>
      <c r="H18">
        <f t="shared" si="0"/>
        <v>2</v>
      </c>
      <c r="I18">
        <v>200</v>
      </c>
      <c r="J18">
        <v>23000012</v>
      </c>
      <c r="K18">
        <f t="array" ref="K18">INDEX(无限挑战!$F$78:$F$374,MATCH(J18,无限挑战!$N$78:$N$374,0))</f>
        <v>12000</v>
      </c>
      <c r="L18" t="str">
        <f t="shared" si="1"/>
        <v>无限挑战12000</v>
      </c>
    </row>
    <row r="19" ht="17.25" customHeight="1" spans="2:12">
      <c r="B19" s="3" t="s">
        <v>1613</v>
      </c>
      <c r="C19" s="15">
        <v>1011</v>
      </c>
      <c r="G19" t="str">
        <v>角色抽卡券限时</v>
      </c>
      <c r="H19">
        <f t="shared" si="0"/>
        <v>111</v>
      </c>
      <c r="I19">
        <v>2</v>
      </c>
      <c r="J19">
        <v>23000012</v>
      </c>
      <c r="K19">
        <f t="array" ref="K19">INDEX(无限挑战!$F$78:$F$374,MATCH(J19,无限挑战!$N$78:$N$374,0))</f>
        <v>12000</v>
      </c>
      <c r="L19" t="str">
        <f t="shared" si="1"/>
        <v>无限挑战12000</v>
      </c>
    </row>
    <row r="20" ht="17.25" customHeight="1" spans="2:12">
      <c r="B20" s="3" t="s">
        <v>1614</v>
      </c>
      <c r="C20" s="15">
        <v>1012</v>
      </c>
      <c r="G20" t="str">
        <v>角色抽卡券普通</v>
      </c>
      <c r="H20">
        <f t="shared" si="0"/>
        <v>106</v>
      </c>
      <c r="I20">
        <v>2</v>
      </c>
      <c r="J20">
        <v>23000013</v>
      </c>
      <c r="K20">
        <f t="array" ref="K20">INDEX(无限挑战!$F$78:$F$374,MATCH(J20,无限挑战!$N$78:$N$374,0))</f>
        <v>13000</v>
      </c>
      <c r="L20" t="str">
        <f t="shared" si="1"/>
        <v>无限挑战13000</v>
      </c>
    </row>
    <row r="21" ht="17.25" customHeight="1" spans="2:12">
      <c r="B21" s="3" t="s">
        <v>1615</v>
      </c>
      <c r="C21" s="15">
        <v>1013</v>
      </c>
      <c r="G21" t="str">
        <v>映射之匙</v>
      </c>
      <c r="H21">
        <f t="shared" si="0"/>
        <v>25</v>
      </c>
      <c r="I21">
        <v>3</v>
      </c>
      <c r="J21">
        <v>23000014</v>
      </c>
      <c r="K21">
        <f t="array" ref="K21">INDEX(无限挑战!$F$78:$F$374,MATCH(J21,无限挑战!$N$78:$N$374,0))</f>
        <v>14000</v>
      </c>
      <c r="L21" t="str">
        <f t="shared" si="1"/>
        <v>无限挑战14000</v>
      </c>
    </row>
    <row r="22" ht="17.25" customHeight="1" spans="2:12">
      <c r="B22" s="3" t="s">
        <v>1616</v>
      </c>
      <c r="C22" s="15">
        <v>1014</v>
      </c>
      <c r="G22" t="str">
        <v>钻石</v>
      </c>
      <c r="H22">
        <f t="shared" si="0"/>
        <v>2</v>
      </c>
      <c r="I22">
        <v>200</v>
      </c>
      <c r="J22">
        <v>23000015</v>
      </c>
      <c r="K22">
        <f t="array" ref="K22">INDEX(无限挑战!$F$78:$F$374,MATCH(J22,无限挑战!$N$78:$N$374,0))</f>
        <v>15000</v>
      </c>
      <c r="L22" t="str">
        <f t="shared" si="1"/>
        <v>无限挑战15000</v>
      </c>
    </row>
    <row r="23" ht="17.25" customHeight="1" spans="2:12">
      <c r="B23" s="3" t="s">
        <v>1617</v>
      </c>
      <c r="C23" s="15">
        <v>1015</v>
      </c>
      <c r="G23" t="str">
        <v>角色抽卡券限时</v>
      </c>
      <c r="H23">
        <f t="shared" si="0"/>
        <v>111</v>
      </c>
      <c r="I23">
        <v>2</v>
      </c>
      <c r="J23">
        <v>23000015</v>
      </c>
      <c r="K23">
        <f t="array" ref="K23">INDEX(无限挑战!$F$78:$F$374,MATCH(J23,无限挑战!$N$78:$N$374,0))</f>
        <v>15000</v>
      </c>
      <c r="L23" t="str">
        <f t="shared" si="1"/>
        <v>无限挑战15000</v>
      </c>
    </row>
    <row r="24" ht="17.25" customHeight="1" spans="2:12">
      <c r="B24" s="3" t="s">
        <v>1618</v>
      </c>
      <c r="C24" s="15">
        <v>1016</v>
      </c>
      <c r="G24" t="str">
        <v>角色抽卡券普通</v>
      </c>
      <c r="H24">
        <f t="shared" si="0"/>
        <v>106</v>
      </c>
      <c r="I24">
        <v>2</v>
      </c>
      <c r="J24">
        <v>23000016</v>
      </c>
      <c r="K24">
        <f t="array" ref="K24">INDEX(无限挑战!$F$78:$F$374,MATCH(J24,无限挑战!$N$78:$N$374,0))</f>
        <v>16000</v>
      </c>
      <c r="L24" t="str">
        <f t="shared" si="1"/>
        <v>无限挑战16000</v>
      </c>
    </row>
    <row r="25" ht="17.25" customHeight="1" spans="2:12">
      <c r="B25" s="3" t="s">
        <v>1619</v>
      </c>
      <c r="C25" s="15">
        <v>1017</v>
      </c>
      <c r="G25" t="str">
        <v>映射之匙</v>
      </c>
      <c r="H25">
        <f t="shared" si="0"/>
        <v>25</v>
      </c>
      <c r="I25">
        <v>3</v>
      </c>
      <c r="J25">
        <v>23000017</v>
      </c>
      <c r="K25">
        <f t="array" ref="K25">INDEX(无限挑战!$F$78:$F$374,MATCH(J25,无限挑战!$N$78:$N$374,0))</f>
        <v>17000</v>
      </c>
      <c r="L25" t="str">
        <f t="shared" si="1"/>
        <v>无限挑战17000</v>
      </c>
    </row>
    <row r="26" ht="17.25" customHeight="1" spans="2:12">
      <c r="B26" s="3" t="s">
        <v>1620</v>
      </c>
      <c r="C26" s="15">
        <v>1018</v>
      </c>
      <c r="G26" t="str">
        <v>3级宝石</v>
      </c>
      <c r="H26">
        <f t="shared" si="0"/>
        <v>3012</v>
      </c>
      <c r="I26">
        <v>3</v>
      </c>
      <c r="J26">
        <v>23000018</v>
      </c>
      <c r="K26">
        <f t="array" ref="K26">INDEX(无限挑战!$F$78:$F$374,MATCH(J26,无限挑战!$N$78:$N$374,0))</f>
        <v>18000</v>
      </c>
      <c r="L26" t="str">
        <f t="shared" si="1"/>
        <v>无限挑战18000</v>
      </c>
    </row>
    <row r="27" ht="17.25" customHeight="1" spans="2:12">
      <c r="B27" s="3" t="s">
        <v>1621</v>
      </c>
      <c r="C27" s="15">
        <v>2502</v>
      </c>
      <c r="G27" t="str">
        <v>角色抽卡券限时</v>
      </c>
      <c r="H27">
        <f t="shared" si="0"/>
        <v>111</v>
      </c>
      <c r="I27">
        <v>2</v>
      </c>
      <c r="J27">
        <v>23000018</v>
      </c>
      <c r="K27">
        <f t="array" ref="K27">INDEX(无限挑战!$F$78:$F$374,MATCH(J27,无限挑战!$N$78:$N$374,0))</f>
        <v>18000</v>
      </c>
      <c r="L27" t="str">
        <f t="shared" si="1"/>
        <v>无限挑战18000</v>
      </c>
    </row>
    <row r="28" ht="17.25" customHeight="1" spans="2:12">
      <c r="B28" s="3" t="s">
        <v>1622</v>
      </c>
      <c r="C28" s="15">
        <v>2503</v>
      </c>
      <c r="G28" t="str">
        <v>角色抽卡券普通</v>
      </c>
      <c r="H28">
        <f t="shared" si="0"/>
        <v>106</v>
      </c>
      <c r="I28">
        <v>2</v>
      </c>
      <c r="J28">
        <v>23000019</v>
      </c>
      <c r="K28">
        <f t="array" ref="K28">INDEX(无限挑战!$F$78:$F$374,MATCH(J28,无限挑战!$N$78:$N$374,0))</f>
        <v>19000</v>
      </c>
      <c r="L28" t="str">
        <f t="shared" si="1"/>
        <v>无限挑战19000</v>
      </c>
    </row>
    <row r="29" ht="17.25" customHeight="1" spans="2:12">
      <c r="B29" s="3" t="s">
        <v>1623</v>
      </c>
      <c r="C29" s="15">
        <v>1019</v>
      </c>
      <c r="G29" t="str">
        <v>映射之匙</v>
      </c>
      <c r="H29">
        <f t="shared" si="0"/>
        <v>25</v>
      </c>
      <c r="I29">
        <v>5</v>
      </c>
      <c r="J29">
        <v>23000020</v>
      </c>
      <c r="K29">
        <f t="array" ref="K29">INDEX(无限挑战!$F$78:$F$374,MATCH(J29,无限挑战!$N$78:$N$374,0))</f>
        <v>20000</v>
      </c>
      <c r="L29" t="str">
        <f t="shared" si="1"/>
        <v>无限挑战20000</v>
      </c>
    </row>
    <row r="30" ht="17.25" customHeight="1" spans="2:12">
      <c r="B30" s="3" t="s">
        <v>1624</v>
      </c>
      <c r="C30" s="15">
        <v>1022</v>
      </c>
      <c r="G30" t="str">
        <v>钻石</v>
      </c>
      <c r="H30">
        <f t="shared" si="0"/>
        <v>2</v>
      </c>
      <c r="I30">
        <v>300</v>
      </c>
      <c r="J30">
        <v>23000021</v>
      </c>
      <c r="K30">
        <f t="array" ref="K30">INDEX(无限挑战!$F$78:$F$374,MATCH(J30,无限挑战!$N$78:$N$374,0))</f>
        <v>21000</v>
      </c>
      <c r="L30" t="str">
        <f t="shared" si="1"/>
        <v>无限挑战21000</v>
      </c>
    </row>
    <row r="31" ht="17.25" customHeight="1" spans="2:12">
      <c r="B31" s="3" t="s">
        <v>1625</v>
      </c>
      <c r="C31" s="15">
        <v>1020</v>
      </c>
      <c r="G31" t="str">
        <v>角色抽卡券限时</v>
      </c>
      <c r="H31">
        <f t="shared" si="0"/>
        <v>111</v>
      </c>
      <c r="I31">
        <v>2</v>
      </c>
      <c r="J31">
        <v>23000021</v>
      </c>
      <c r="K31">
        <f t="array" ref="K31">INDEX(无限挑战!$F$78:$F$374,MATCH(J31,无限挑战!$N$78:$N$374,0))</f>
        <v>21000</v>
      </c>
      <c r="L31" t="str">
        <f t="shared" si="1"/>
        <v>无限挑战21000</v>
      </c>
    </row>
    <row r="32" ht="17.25" customHeight="1" spans="2:12">
      <c r="B32" s="3" t="s">
        <v>1626</v>
      </c>
      <c r="C32" s="15">
        <v>1023</v>
      </c>
      <c r="G32" t="str">
        <v>角色抽卡券普通</v>
      </c>
      <c r="H32">
        <f t="shared" si="0"/>
        <v>106</v>
      </c>
      <c r="I32">
        <v>2</v>
      </c>
      <c r="J32">
        <v>23000022</v>
      </c>
      <c r="K32">
        <f t="array" ref="K32">INDEX(无限挑战!$F$78:$F$374,MATCH(J32,无限挑战!$N$78:$N$374,0))</f>
        <v>22000</v>
      </c>
      <c r="L32" t="str">
        <f t="shared" si="1"/>
        <v>无限挑战22000</v>
      </c>
    </row>
    <row r="33" ht="17.25" customHeight="1" spans="2:12">
      <c r="B33" s="3" t="s">
        <v>1627</v>
      </c>
      <c r="C33" s="15">
        <v>1021</v>
      </c>
      <c r="G33" t="str">
        <v>映射之匙</v>
      </c>
      <c r="H33">
        <f t="shared" si="0"/>
        <v>25</v>
      </c>
      <c r="I33">
        <v>5</v>
      </c>
      <c r="J33">
        <v>23000023</v>
      </c>
      <c r="K33">
        <f t="array" ref="K33">INDEX(无限挑战!$F$78:$F$374,MATCH(J33,无限挑战!$N$78:$N$374,0))</f>
        <v>23000</v>
      </c>
      <c r="L33" t="str">
        <f t="shared" si="1"/>
        <v>无限挑战23000</v>
      </c>
    </row>
    <row r="34" ht="17.25" customHeight="1" spans="2:12">
      <c r="B34" s="3" t="s">
        <v>1628</v>
      </c>
      <c r="C34" s="15">
        <v>1024</v>
      </c>
      <c r="G34" t="str">
        <v>钻石</v>
      </c>
      <c r="H34">
        <f t="shared" si="0"/>
        <v>2</v>
      </c>
      <c r="I34">
        <v>300</v>
      </c>
      <c r="J34">
        <v>23000024</v>
      </c>
      <c r="K34">
        <f t="array" ref="K34">INDEX(无限挑战!$F$78:$F$374,MATCH(J34,无限挑战!$N$78:$N$374,0))</f>
        <v>24000</v>
      </c>
      <c r="L34" t="str">
        <f t="shared" si="1"/>
        <v>无限挑战24000</v>
      </c>
    </row>
    <row r="35" ht="17.25" customHeight="1" spans="2:12">
      <c r="B35" s="3" t="s">
        <v>1629</v>
      </c>
      <c r="C35" s="15">
        <v>1025</v>
      </c>
      <c r="G35" t="str">
        <v>角色抽卡券限时</v>
      </c>
      <c r="H35">
        <f t="shared" si="0"/>
        <v>111</v>
      </c>
      <c r="I35">
        <v>2</v>
      </c>
      <c r="J35">
        <v>23000024</v>
      </c>
      <c r="K35">
        <f t="array" ref="K35">INDEX(无限挑战!$F$78:$F$374,MATCH(J35,无限挑战!$N$78:$N$374,0))</f>
        <v>24000</v>
      </c>
      <c r="L35" t="str">
        <f t="shared" si="1"/>
        <v>无限挑战24000</v>
      </c>
    </row>
    <row r="36" ht="17.25" customHeight="1" spans="2:12">
      <c r="B36" s="3" t="s">
        <v>1630</v>
      </c>
      <c r="C36" s="15">
        <v>1028</v>
      </c>
      <c r="G36" t="str">
        <v>角色抽卡券普通</v>
      </c>
      <c r="H36">
        <f t="shared" si="0"/>
        <v>106</v>
      </c>
      <c r="I36">
        <v>2</v>
      </c>
      <c r="J36">
        <v>23000025</v>
      </c>
      <c r="K36">
        <f t="array" ref="K36">INDEX(无限挑战!$F$78:$F$374,MATCH(J36,无限挑战!$N$78:$N$374,0))</f>
        <v>25000</v>
      </c>
      <c r="L36" t="str">
        <f t="shared" si="1"/>
        <v>无限挑战25000</v>
      </c>
    </row>
    <row r="37" ht="17.25" customHeight="1" spans="2:12">
      <c r="B37" s="3" t="s">
        <v>1631</v>
      </c>
      <c r="C37" s="15">
        <v>1026</v>
      </c>
      <c r="G37" t="str">
        <v>映射之匙</v>
      </c>
      <c r="H37">
        <f t="shared" si="0"/>
        <v>25</v>
      </c>
      <c r="I37">
        <v>5</v>
      </c>
      <c r="J37">
        <v>23000026</v>
      </c>
      <c r="K37">
        <f t="array" ref="K37">INDEX(无限挑战!$F$78:$F$374,MATCH(J37,无限挑战!$N$78:$N$374,0))</f>
        <v>26000</v>
      </c>
      <c r="L37" t="str">
        <f t="shared" si="1"/>
        <v>无限挑战26000</v>
      </c>
    </row>
    <row r="38" ht="17.25" customHeight="1" spans="2:12">
      <c r="B38" s="3" t="s">
        <v>1632</v>
      </c>
      <c r="C38" s="15">
        <v>1029</v>
      </c>
      <c r="G38" t="str">
        <v>额外星盘点</v>
      </c>
      <c r="H38">
        <f t="shared" si="0"/>
        <v>103</v>
      </c>
      <c r="I38">
        <v>1</v>
      </c>
      <c r="J38">
        <v>23000027</v>
      </c>
      <c r="K38">
        <f t="array" ref="K38">INDEX(无限挑战!$F$78:$F$374,MATCH(J38,无限挑战!$N$78:$N$374,0))</f>
        <v>27000</v>
      </c>
      <c r="L38" t="str">
        <f t="shared" si="1"/>
        <v>无限挑战27000</v>
      </c>
    </row>
    <row r="39" ht="17.25" customHeight="1" spans="2:12">
      <c r="B39" s="3" t="s">
        <v>1633</v>
      </c>
      <c r="C39" s="15">
        <v>1027</v>
      </c>
      <c r="G39" t="str">
        <v>角色抽卡券限时</v>
      </c>
      <c r="H39">
        <f t="shared" si="0"/>
        <v>111</v>
      </c>
      <c r="I39">
        <v>2</v>
      </c>
      <c r="J39">
        <v>23000027</v>
      </c>
      <c r="K39">
        <f t="array" ref="K39">INDEX(无限挑战!$F$78:$F$374,MATCH(J39,无限挑战!$N$78:$N$374,0))</f>
        <v>27000</v>
      </c>
      <c r="L39" t="str">
        <f t="shared" si="1"/>
        <v>无限挑战27000</v>
      </c>
    </row>
    <row r="40" ht="17.25" customHeight="1" spans="2:12">
      <c r="B40" s="3" t="s">
        <v>1634</v>
      </c>
      <c r="C40" s="15">
        <v>1030</v>
      </c>
      <c r="G40" t="str">
        <v>角色抽卡券普通</v>
      </c>
      <c r="H40">
        <f t="shared" si="0"/>
        <v>106</v>
      </c>
      <c r="I40">
        <v>2</v>
      </c>
      <c r="J40">
        <v>23000028</v>
      </c>
      <c r="K40">
        <f t="array" ref="K40">INDEX(无限挑战!$F$78:$F$374,MATCH(J40,无限挑战!$N$78:$N$374,0))</f>
        <v>28000</v>
      </c>
      <c r="L40" t="str">
        <f t="shared" si="1"/>
        <v>无限挑战28000</v>
      </c>
    </row>
    <row r="41" ht="16.5" customHeight="1" spans="2:12">
      <c r="B41" s="3" t="s">
        <v>1635</v>
      </c>
      <c r="C41" s="3">
        <f t="shared" ref="C41:C52" si="2">C35+6</f>
        <v>1031</v>
      </c>
      <c r="G41" t="str">
        <v>角色抽卡券普通</v>
      </c>
      <c r="H41">
        <f t="shared" si="0"/>
        <v>106</v>
      </c>
      <c r="I41">
        <v>2</v>
      </c>
      <c r="J41">
        <v>23000029</v>
      </c>
      <c r="K41">
        <f t="array" ref="K41">INDEX(无限挑战!$F$78:$F$374,MATCH(J41,无限挑战!$N$78:$N$374,0))</f>
        <v>29000</v>
      </c>
      <c r="L41" t="str">
        <f t="shared" si="1"/>
        <v>无限挑战29000</v>
      </c>
    </row>
    <row r="42" ht="16.5" customHeight="1" spans="2:12">
      <c r="B42" s="3" t="s">
        <v>1636</v>
      </c>
      <c r="C42" s="3">
        <f t="shared" si="2"/>
        <v>1034</v>
      </c>
      <c r="G42" t="str">
        <v>钻石</v>
      </c>
      <c r="H42">
        <f t="shared" si="0"/>
        <v>2</v>
      </c>
      <c r="I42">
        <v>300</v>
      </c>
      <c r="J42">
        <v>23000030</v>
      </c>
      <c r="K42">
        <f t="array" ref="K42">INDEX(无限挑战!$F$78:$F$374,MATCH(J42,无限挑战!$N$78:$N$374,0))</f>
        <v>30000</v>
      </c>
      <c r="L42" t="str">
        <f t="shared" si="1"/>
        <v>无限挑战30000</v>
      </c>
    </row>
    <row r="43" ht="16.5" customHeight="1" spans="2:12">
      <c r="B43" s="3" t="s">
        <v>1637</v>
      </c>
      <c r="C43" s="3">
        <f t="shared" si="2"/>
        <v>1032</v>
      </c>
      <c r="G43" t="str">
        <v>专武抽卡券限时</v>
      </c>
      <c r="H43">
        <f t="shared" si="0"/>
        <v>112</v>
      </c>
      <c r="I43">
        <v>2</v>
      </c>
      <c r="J43">
        <v>23000030</v>
      </c>
      <c r="K43">
        <f t="array" ref="K43">INDEX(无限挑战!$F$78:$F$374,MATCH(J43,无限挑战!$N$78:$N$374,0))</f>
        <v>30000</v>
      </c>
      <c r="L43" t="str">
        <f t="shared" si="1"/>
        <v>无限挑战30000</v>
      </c>
    </row>
    <row r="44" ht="16.5" customHeight="1" spans="2:12">
      <c r="B44" s="3" t="s">
        <v>1638</v>
      </c>
      <c r="C44" s="3">
        <f t="shared" si="2"/>
        <v>1035</v>
      </c>
      <c r="G44" t="str">
        <v>角色抽卡券普通</v>
      </c>
      <c r="H44">
        <f t="shared" si="0"/>
        <v>106</v>
      </c>
      <c r="I44">
        <v>2</v>
      </c>
      <c r="J44">
        <v>23000031</v>
      </c>
      <c r="K44">
        <f t="array" ref="K44">INDEX(无限挑战!$F$78:$F$374,MATCH(J44,无限挑战!$N$78:$N$374,0))</f>
        <v>31000</v>
      </c>
      <c r="L44" t="str">
        <f t="shared" si="1"/>
        <v>无限挑战31000</v>
      </c>
    </row>
    <row r="45" ht="16.5" customHeight="1" spans="2:12">
      <c r="B45" s="3" t="s">
        <v>1639</v>
      </c>
      <c r="C45" s="3">
        <f t="shared" si="2"/>
        <v>1033</v>
      </c>
      <c r="G45" t="str">
        <v>角色抽卡券普通</v>
      </c>
      <c r="H45">
        <f t="shared" si="0"/>
        <v>106</v>
      </c>
      <c r="I45">
        <v>2</v>
      </c>
      <c r="J45">
        <v>23000032</v>
      </c>
      <c r="K45">
        <f t="array" ref="K45">INDEX(无限挑战!$F$78:$F$374,MATCH(J45,无限挑战!$N$78:$N$374,0))</f>
        <v>32000</v>
      </c>
      <c r="L45" t="str">
        <f t="shared" si="1"/>
        <v>无限挑战32000</v>
      </c>
    </row>
    <row r="46" ht="16.5" customHeight="1" spans="2:12">
      <c r="B46" s="3" t="s">
        <v>1640</v>
      </c>
      <c r="C46" s="3">
        <f t="shared" si="2"/>
        <v>1036</v>
      </c>
      <c r="G46" t="str">
        <v>钻石</v>
      </c>
      <c r="H46">
        <f t="shared" si="0"/>
        <v>2</v>
      </c>
      <c r="I46">
        <v>300</v>
      </c>
      <c r="J46">
        <v>23000033</v>
      </c>
      <c r="K46">
        <f t="array" ref="K46">INDEX(无限挑战!$F$78:$F$374,MATCH(J46,无限挑战!$N$78:$N$374,0))</f>
        <v>33000</v>
      </c>
      <c r="L46" t="str">
        <f t="shared" si="1"/>
        <v>无限挑战33000</v>
      </c>
    </row>
    <row r="47" ht="16.5" customHeight="1" spans="2:12">
      <c r="B47" s="3" t="s">
        <v>1641</v>
      </c>
      <c r="C47" s="3">
        <f t="shared" si="2"/>
        <v>1037</v>
      </c>
      <c r="G47" t="str">
        <v>专武抽卡券限时</v>
      </c>
      <c r="H47">
        <f t="shared" si="0"/>
        <v>112</v>
      </c>
      <c r="I47">
        <v>2</v>
      </c>
      <c r="J47">
        <v>23000033</v>
      </c>
      <c r="K47">
        <f t="array" ref="K47">INDEX(无限挑战!$F$78:$F$374,MATCH(J47,无限挑战!$N$78:$N$374,0))</f>
        <v>33000</v>
      </c>
      <c r="L47" t="str">
        <f t="shared" si="1"/>
        <v>无限挑战33000</v>
      </c>
    </row>
    <row r="48" ht="16.5" customHeight="1" spans="2:12">
      <c r="B48" s="3" t="s">
        <v>1642</v>
      </c>
      <c r="C48" s="3">
        <f t="shared" si="2"/>
        <v>1040</v>
      </c>
      <c r="G48" t="str">
        <v>角色抽卡券普通</v>
      </c>
      <c r="H48">
        <f t="shared" si="0"/>
        <v>106</v>
      </c>
      <c r="I48">
        <v>2</v>
      </c>
      <c r="J48">
        <v>23000034</v>
      </c>
      <c r="K48">
        <f t="array" ref="K48">INDEX(无限挑战!$F$78:$F$374,MATCH(J48,无限挑战!$N$78:$N$374,0))</f>
        <v>34000</v>
      </c>
      <c r="L48" t="str">
        <f t="shared" si="1"/>
        <v>无限挑战34000</v>
      </c>
    </row>
    <row r="49" ht="16.5" customHeight="1" spans="2:12">
      <c r="B49" s="3" t="s">
        <v>1643</v>
      </c>
      <c r="C49" s="3">
        <f t="shared" si="2"/>
        <v>1038</v>
      </c>
      <c r="G49" t="str">
        <v>角色抽卡券普通</v>
      </c>
      <c r="H49">
        <f t="shared" si="0"/>
        <v>106</v>
      </c>
      <c r="I49">
        <v>2</v>
      </c>
      <c r="J49">
        <v>23000035</v>
      </c>
      <c r="K49">
        <f t="array" ref="K49">INDEX(无限挑战!$F$78:$F$374,MATCH(J49,无限挑战!$N$78:$N$374,0))</f>
        <v>35000</v>
      </c>
      <c r="L49" t="str">
        <f t="shared" si="1"/>
        <v>无限挑战35000</v>
      </c>
    </row>
    <row r="50" ht="16.5" customHeight="1" spans="2:12">
      <c r="B50" s="3" t="s">
        <v>1644</v>
      </c>
      <c r="C50" s="3">
        <f t="shared" si="2"/>
        <v>1041</v>
      </c>
      <c r="G50" t="str">
        <v>4级宝石</v>
      </c>
      <c r="H50">
        <f t="shared" si="0"/>
        <v>3013</v>
      </c>
      <c r="I50">
        <v>2</v>
      </c>
      <c r="J50">
        <v>23000036</v>
      </c>
      <c r="K50">
        <f t="array" ref="K50">INDEX(无限挑战!$F$78:$F$374,MATCH(J50,无限挑战!$N$78:$N$374,0))</f>
        <v>36000</v>
      </c>
      <c r="L50" t="str">
        <f t="shared" si="1"/>
        <v>无限挑战36000</v>
      </c>
    </row>
    <row r="51" ht="16.5" customHeight="1" spans="2:12">
      <c r="B51" s="3" t="s">
        <v>1645</v>
      </c>
      <c r="C51" s="3">
        <f t="shared" si="2"/>
        <v>1039</v>
      </c>
      <c r="G51" t="str">
        <v>专武抽卡券限时</v>
      </c>
      <c r="H51">
        <f t="shared" si="0"/>
        <v>112</v>
      </c>
      <c r="I51">
        <v>2</v>
      </c>
      <c r="J51">
        <v>23000036</v>
      </c>
      <c r="K51">
        <f t="array" ref="K51">INDEX(无限挑战!$F$78:$F$374,MATCH(J51,无限挑战!$N$78:$N$374,0))</f>
        <v>36000</v>
      </c>
      <c r="L51" t="str">
        <f t="shared" si="1"/>
        <v>无限挑战36000</v>
      </c>
    </row>
    <row r="52" ht="16.5" customHeight="1" spans="2:12">
      <c r="B52" s="3" t="s">
        <v>1646</v>
      </c>
      <c r="C52" s="3">
        <f t="shared" si="2"/>
        <v>1042</v>
      </c>
      <c r="G52" t="str">
        <v>角色抽卡券普通</v>
      </c>
      <c r="H52">
        <f t="shared" si="0"/>
        <v>106</v>
      </c>
      <c r="I52">
        <v>3</v>
      </c>
      <c r="J52">
        <v>23000037</v>
      </c>
      <c r="K52">
        <f t="array" ref="K52">INDEX(无限挑战!$F$78:$F$374,MATCH(J52,无限挑战!$N$78:$N$374,0))</f>
        <v>37000</v>
      </c>
      <c r="L52" t="str">
        <f t="shared" si="1"/>
        <v>无限挑战37000</v>
      </c>
    </row>
    <row r="53" ht="16.5" customHeight="1" spans="2:12">
      <c r="B53" t="s">
        <v>601</v>
      </c>
      <c r="C53">
        <v>1</v>
      </c>
      <c r="G53" t="str">
        <v>角色抽卡券普通</v>
      </c>
      <c r="H53">
        <f t="shared" si="0"/>
        <v>106</v>
      </c>
      <c r="I53">
        <v>3</v>
      </c>
      <c r="J53">
        <v>23000038</v>
      </c>
      <c r="K53">
        <f t="array" ref="K53">INDEX(无限挑战!$F$78:$F$374,MATCH(J53,无限挑战!$N$78:$N$374,0))</f>
        <v>38000</v>
      </c>
      <c r="L53" t="str">
        <f t="shared" si="1"/>
        <v>无限挑战38000</v>
      </c>
    </row>
    <row r="54" ht="16.5" customHeight="1" spans="2:12">
      <c r="B54" t="s">
        <v>665</v>
      </c>
      <c r="C54">
        <v>103</v>
      </c>
      <c r="G54" t="str">
        <v>钻石</v>
      </c>
      <c r="H54">
        <f t="shared" si="0"/>
        <v>2</v>
      </c>
      <c r="I54">
        <v>400</v>
      </c>
      <c r="J54">
        <v>23000039</v>
      </c>
      <c r="K54">
        <f t="array" ref="K54">INDEX(无限挑战!$F$78:$F$374,MATCH(J54,无限挑战!$N$78:$N$374,0))</f>
        <v>39000</v>
      </c>
      <c r="L54" t="str">
        <f t="shared" si="1"/>
        <v>无限挑战39000</v>
      </c>
    </row>
    <row r="55" ht="16.5" customHeight="1" spans="2:12">
      <c r="B55" t="s">
        <v>670</v>
      </c>
      <c r="C55">
        <v>110</v>
      </c>
      <c r="G55" t="str">
        <v>角色抽卡券限时</v>
      </c>
      <c r="H55">
        <f t="shared" si="0"/>
        <v>111</v>
      </c>
      <c r="I55">
        <v>3</v>
      </c>
      <c r="J55">
        <v>23000039</v>
      </c>
      <c r="K55">
        <f t="array" ref="K55">INDEX(无限挑战!$F$78:$F$374,MATCH(J55,无限挑战!$N$78:$N$374,0))</f>
        <v>39000</v>
      </c>
      <c r="L55" t="str">
        <f t="shared" si="1"/>
        <v>无限挑战39000</v>
      </c>
    </row>
    <row r="56" ht="16.5" customHeight="1" spans="2:12">
      <c r="B56" t="s">
        <v>700</v>
      </c>
      <c r="C56">
        <v>6</v>
      </c>
      <c r="G56" t="str">
        <v>角色抽卡券普通</v>
      </c>
      <c r="H56">
        <f t="shared" si="0"/>
        <v>106</v>
      </c>
      <c r="I56">
        <v>3</v>
      </c>
      <c r="J56">
        <v>23000040</v>
      </c>
      <c r="K56">
        <f t="array" ref="K56">INDEX(无限挑战!$F$78:$F$374,MATCH(J56,无限挑战!$N$78:$N$374,0))</f>
        <v>40000</v>
      </c>
      <c r="L56" t="str">
        <f t="shared" si="1"/>
        <v>无限挑战40000</v>
      </c>
    </row>
    <row r="57" ht="16.5" customHeight="1" spans="2:12">
      <c r="B57" t="s">
        <v>7</v>
      </c>
      <c r="C57">
        <v>107</v>
      </c>
      <c r="G57" t="str">
        <v>角色抽卡券普通</v>
      </c>
      <c r="H57">
        <f t="shared" si="0"/>
        <v>106</v>
      </c>
      <c r="I57">
        <v>3</v>
      </c>
      <c r="J57">
        <v>23000041</v>
      </c>
      <c r="K57">
        <f t="array" ref="K57">INDEX(无限挑战!$F$78:$F$374,MATCH(J57,无限挑战!$N$78:$N$374,0))</f>
        <v>41000</v>
      </c>
      <c r="L57" t="str">
        <f t="shared" si="1"/>
        <v>无限挑战41000</v>
      </c>
    </row>
    <row r="58" ht="17.25" customHeight="1" spans="2:12">
      <c r="B58" t="s">
        <v>633</v>
      </c>
      <c r="C58" s="191">
        <v>3015</v>
      </c>
      <c r="G58" t="str">
        <v>钻石</v>
      </c>
      <c r="H58">
        <f t="shared" si="0"/>
        <v>2</v>
      </c>
      <c r="I58">
        <v>400</v>
      </c>
      <c r="J58">
        <v>23000042</v>
      </c>
      <c r="K58">
        <f t="array" ref="K58">INDEX(无限挑战!$F$78:$F$374,MATCH(J58,无限挑战!$N$78:$N$374,0))</f>
        <v>42000</v>
      </c>
      <c r="L58" t="str">
        <f t="shared" si="1"/>
        <v>无限挑战42000</v>
      </c>
    </row>
    <row r="59" ht="17.25" customHeight="1" spans="2:12">
      <c r="B59" t="s">
        <v>634</v>
      </c>
      <c r="C59" s="191">
        <v>3016</v>
      </c>
      <c r="G59" t="str">
        <v>角色抽卡券限时</v>
      </c>
      <c r="H59">
        <f t="shared" si="0"/>
        <v>111</v>
      </c>
      <c r="I59">
        <v>3</v>
      </c>
      <c r="J59">
        <v>23000042</v>
      </c>
      <c r="K59">
        <f t="array" ref="K59">INDEX(无限挑战!$F$78:$F$374,MATCH(J59,无限挑战!$N$78:$N$374,0))</f>
        <v>42000</v>
      </c>
      <c r="L59" t="str">
        <f t="shared" si="1"/>
        <v>无限挑战42000</v>
      </c>
    </row>
    <row r="60" ht="17.25" customHeight="1" spans="2:12">
      <c r="B60" t="s">
        <v>635</v>
      </c>
      <c r="C60" s="191">
        <v>3017</v>
      </c>
      <c r="G60" t="str">
        <v>角色抽卡券普通</v>
      </c>
      <c r="H60">
        <f t="shared" si="0"/>
        <v>106</v>
      </c>
      <c r="I60">
        <v>3</v>
      </c>
      <c r="J60">
        <v>23000043</v>
      </c>
      <c r="K60">
        <f t="array" ref="K60">INDEX(无限挑战!$F$78:$F$374,MATCH(J60,无限挑战!$N$78:$N$374,0))</f>
        <v>43000</v>
      </c>
      <c r="L60" t="str">
        <f t="shared" si="1"/>
        <v>无限挑战43000</v>
      </c>
    </row>
    <row r="61" ht="17.25" customHeight="1" spans="2:12">
      <c r="B61" t="s">
        <v>636</v>
      </c>
      <c r="C61" s="191">
        <v>3018</v>
      </c>
      <c r="G61" t="str">
        <v>角色抽卡券普通</v>
      </c>
      <c r="H61">
        <f t="shared" si="0"/>
        <v>106</v>
      </c>
      <c r="I61">
        <v>3</v>
      </c>
      <c r="J61">
        <v>23000044</v>
      </c>
      <c r="K61">
        <f t="array" ref="K61">INDEX(无限挑战!$F$78:$F$374,MATCH(J61,无限挑战!$N$78:$N$374,0))</f>
        <v>44000</v>
      </c>
      <c r="L61" t="str">
        <f t="shared" si="1"/>
        <v>无限挑战44000</v>
      </c>
    </row>
    <row r="62" ht="17.25" customHeight="1" spans="2:12">
      <c r="B62" t="s">
        <v>708</v>
      </c>
      <c r="C62" s="15">
        <v>2503</v>
      </c>
      <c r="G62" t="str">
        <v>主角装备红色</v>
      </c>
      <c r="H62">
        <f t="shared" si="0"/>
        <v>2504</v>
      </c>
      <c r="I62">
        <v>1</v>
      </c>
      <c r="J62">
        <v>23000045</v>
      </c>
      <c r="K62">
        <f t="array" ref="K62">INDEX(无限挑战!$F$78:$F$374,MATCH(J62,无限挑战!$N$78:$N$374,0))</f>
        <v>45000</v>
      </c>
      <c r="L62" t="str">
        <f t="shared" si="1"/>
        <v>无限挑战45000</v>
      </c>
    </row>
    <row r="63" ht="17.25" customHeight="1" spans="2:12">
      <c r="B63" t="s">
        <v>709</v>
      </c>
      <c r="C63" s="15">
        <v>2504</v>
      </c>
      <c r="G63" t="str">
        <v>角色抽卡券限时</v>
      </c>
      <c r="H63">
        <f t="shared" si="0"/>
        <v>111</v>
      </c>
      <c r="I63">
        <v>3</v>
      </c>
      <c r="J63">
        <v>23000045</v>
      </c>
      <c r="K63">
        <f t="array" ref="K63">INDEX(无限挑战!$F$78:$F$374,MATCH(J63,无限挑战!$N$78:$N$374,0))</f>
        <v>45000</v>
      </c>
      <c r="L63" t="str">
        <f t="shared" si="1"/>
        <v>无限挑战45000</v>
      </c>
    </row>
    <row r="64" ht="16.5" customHeight="1" spans="2:12">
      <c r="B64" s="3" t="s">
        <v>8</v>
      </c>
      <c r="C64" s="3">
        <v>111</v>
      </c>
      <c r="G64" t="str">
        <v>角色抽卡券普通</v>
      </c>
      <c r="H64">
        <f t="shared" si="0"/>
        <v>106</v>
      </c>
      <c r="I64">
        <v>3</v>
      </c>
      <c r="J64">
        <v>23000046</v>
      </c>
      <c r="K64">
        <f t="array" ref="K64">INDEX(无限挑战!$F$78:$F$374,MATCH(J64,无限挑战!$N$78:$N$374,0))</f>
        <v>46000</v>
      </c>
      <c r="L64" t="str">
        <f t="shared" si="1"/>
        <v>无限挑战46000</v>
      </c>
    </row>
    <row r="65" ht="16.5" customHeight="1" spans="2:12">
      <c r="B65" t="s">
        <v>9</v>
      </c>
      <c r="C65">
        <v>112</v>
      </c>
      <c r="G65" t="str">
        <v>角色抽卡券普通</v>
      </c>
      <c r="H65">
        <f t="shared" si="0"/>
        <v>106</v>
      </c>
      <c r="I65">
        <v>3</v>
      </c>
      <c r="J65">
        <v>23000047</v>
      </c>
      <c r="K65">
        <f t="array" ref="K65">INDEX(无限挑战!$F$78:$F$374,MATCH(J65,无限挑战!$N$78:$N$374,0))</f>
        <v>47000</v>
      </c>
      <c r="L65" t="str">
        <f t="shared" si="1"/>
        <v>无限挑战47000</v>
      </c>
    </row>
    <row r="66" ht="16.5" customHeight="1" spans="2:12">
      <c r="B66" t="s">
        <v>718</v>
      </c>
      <c r="C66" s="210">
        <v>3010</v>
      </c>
      <c r="G66" t="str">
        <v>钻石</v>
      </c>
      <c r="H66">
        <f t="shared" si="0"/>
        <v>2</v>
      </c>
      <c r="I66">
        <v>500</v>
      </c>
      <c r="J66">
        <v>23000048</v>
      </c>
      <c r="K66">
        <f t="array" ref="K66">INDEX(无限挑战!$F$78:$F$374,MATCH(J66,无限挑战!$N$78:$N$374,0))</f>
        <v>48000</v>
      </c>
      <c r="L66" t="str">
        <f t="shared" si="1"/>
        <v>无限挑战48000</v>
      </c>
    </row>
    <row r="67" ht="16.5" customHeight="1" spans="2:12">
      <c r="B67" t="s">
        <v>719</v>
      </c>
      <c r="C67" s="210">
        <v>3011</v>
      </c>
      <c r="G67" t="str">
        <v>专武抽卡券限时</v>
      </c>
      <c r="H67">
        <f t="shared" si="0"/>
        <v>112</v>
      </c>
      <c r="I67">
        <v>3</v>
      </c>
      <c r="J67">
        <v>23000048</v>
      </c>
      <c r="K67">
        <f t="array" ref="K67">INDEX(无限挑战!$F$78:$F$374,MATCH(J67,无限挑战!$N$78:$N$374,0))</f>
        <v>48000</v>
      </c>
      <c r="L67" t="str">
        <f t="shared" si="1"/>
        <v>无限挑战48000</v>
      </c>
    </row>
    <row r="68" ht="16.5" customHeight="1" spans="2:12">
      <c r="B68" t="s">
        <v>720</v>
      </c>
      <c r="C68" s="210">
        <v>3012</v>
      </c>
      <c r="G68" t="str">
        <v>角色抽卡券普通</v>
      </c>
      <c r="H68">
        <f t="shared" ref="H68:H131" si="3">VLOOKUP(G68,$B:$C,2,0)</f>
        <v>106</v>
      </c>
      <c r="I68">
        <v>3</v>
      </c>
      <c r="J68">
        <v>23000049</v>
      </c>
      <c r="K68">
        <f t="array" ref="K68">INDEX(无限挑战!$F$78:$F$374,MATCH(J68,无限挑战!$N$78:$N$374,0))</f>
        <v>49000</v>
      </c>
      <c r="L68" t="str">
        <f t="shared" ref="L68:L131" si="4">_xlfn.CONCAT("无限挑战",K68)</f>
        <v>无限挑战49000</v>
      </c>
    </row>
    <row r="69" ht="16.5" customHeight="1" spans="2:12">
      <c r="B69" t="s">
        <v>721</v>
      </c>
      <c r="C69" s="210">
        <v>3013</v>
      </c>
      <c r="G69" t="str">
        <v>角色抽卡券普通</v>
      </c>
      <c r="H69">
        <f t="shared" si="3"/>
        <v>106</v>
      </c>
      <c r="I69">
        <v>3</v>
      </c>
      <c r="J69">
        <v>23000050</v>
      </c>
      <c r="K69">
        <f t="array" ref="K69">INDEX(无限挑战!$F$78:$F$374,MATCH(J69,无限挑战!$N$78:$N$374,0))</f>
        <v>50000</v>
      </c>
      <c r="L69" t="str">
        <f t="shared" si="4"/>
        <v>无限挑战50000</v>
      </c>
    </row>
    <row r="70" ht="16.5" customHeight="1" spans="2:12">
      <c r="B70" t="s">
        <v>722</v>
      </c>
      <c r="C70" s="210">
        <v>3014</v>
      </c>
      <c r="G70" t="str">
        <v>钻石</v>
      </c>
      <c r="H70">
        <f t="shared" si="3"/>
        <v>2</v>
      </c>
      <c r="I70">
        <v>500</v>
      </c>
      <c r="J70">
        <v>23000051</v>
      </c>
      <c r="K70">
        <f t="array" ref="K70">INDEX(无限挑战!$F$78:$F$374,MATCH(J70,无限挑战!$N$78:$N$374,0))</f>
        <v>51000</v>
      </c>
      <c r="L70" t="str">
        <f t="shared" si="4"/>
        <v>无限挑战51000</v>
      </c>
    </row>
    <row r="71" ht="16.5" customHeight="1" spans="2:12">
      <c r="B71" t="s">
        <v>723</v>
      </c>
      <c r="C71" s="210">
        <v>3019</v>
      </c>
      <c r="G71" t="str">
        <v>专武抽卡券限时</v>
      </c>
      <c r="H71">
        <f t="shared" si="3"/>
        <v>112</v>
      </c>
      <c r="I71">
        <v>3</v>
      </c>
      <c r="J71">
        <v>23000051</v>
      </c>
      <c r="K71">
        <f t="array" ref="K71">INDEX(无限挑战!$F$78:$F$374,MATCH(J71,无限挑战!$N$78:$N$374,0))</f>
        <v>51000</v>
      </c>
      <c r="L71" t="str">
        <f t="shared" si="4"/>
        <v>无限挑战51000</v>
      </c>
    </row>
    <row r="72" ht="16.5" customHeight="1" spans="2:12">
      <c r="B72" t="s">
        <v>724</v>
      </c>
      <c r="C72" s="210">
        <v>3020</v>
      </c>
      <c r="G72" t="str">
        <v>角色抽卡券普通</v>
      </c>
      <c r="H72">
        <f t="shared" si="3"/>
        <v>106</v>
      </c>
      <c r="I72">
        <v>3</v>
      </c>
      <c r="J72">
        <v>23000052</v>
      </c>
      <c r="K72">
        <f t="array" ref="K72">INDEX(无限挑战!$F$78:$F$374,MATCH(J72,无限挑战!$N$78:$N$374,0))</f>
        <v>52000</v>
      </c>
      <c r="L72" t="str">
        <f t="shared" si="4"/>
        <v>无限挑战52000</v>
      </c>
    </row>
    <row r="73" ht="16.5" customHeight="1" spans="2:12">
      <c r="B73" t="s">
        <v>713</v>
      </c>
      <c r="C73" s="15">
        <v>1069</v>
      </c>
      <c r="G73" t="str">
        <v>角色抽卡券普通</v>
      </c>
      <c r="H73">
        <f t="shared" si="3"/>
        <v>106</v>
      </c>
      <c r="I73">
        <v>3</v>
      </c>
      <c r="J73">
        <v>23000053</v>
      </c>
      <c r="K73">
        <f t="array" ref="K73">INDEX(无限挑战!$F$78:$F$374,MATCH(J73,无限挑战!$N$78:$N$374,0))</f>
        <v>53000</v>
      </c>
      <c r="L73" t="str">
        <f t="shared" si="4"/>
        <v>无限挑战53000</v>
      </c>
    </row>
    <row r="74" ht="16.5" customHeight="1" spans="2:12">
      <c r="B74" t="s">
        <v>731</v>
      </c>
      <c r="C74">
        <v>25</v>
      </c>
      <c r="G74" t="str">
        <v>红色装备打孔器</v>
      </c>
      <c r="H74">
        <f t="shared" si="3"/>
        <v>1069</v>
      </c>
      <c r="I74">
        <v>1</v>
      </c>
      <c r="J74">
        <v>23000054</v>
      </c>
      <c r="K74">
        <f t="array" ref="K74">INDEX(无限挑战!$F$78:$F$374,MATCH(J74,无限挑战!$N$78:$N$374,0))</f>
        <v>54000</v>
      </c>
      <c r="L74" t="str">
        <f t="shared" si="4"/>
        <v>无限挑战54000</v>
      </c>
    </row>
    <row r="75" ht="16.5" customHeight="1" spans="2:12">
      <c r="G75" t="str">
        <v>专武抽卡券限时</v>
      </c>
      <c r="H75">
        <f t="shared" si="3"/>
        <v>112</v>
      </c>
      <c r="I75">
        <v>3</v>
      </c>
      <c r="J75">
        <v>23000054</v>
      </c>
      <c r="K75">
        <f t="array" ref="K75">INDEX(无限挑战!$F$78:$F$374,MATCH(J75,无限挑战!$N$78:$N$374,0))</f>
        <v>54000</v>
      </c>
      <c r="L75" t="str">
        <f t="shared" si="4"/>
        <v>无限挑战54000</v>
      </c>
    </row>
    <row r="76" ht="16.5" customHeight="1" spans="2:12">
      <c r="G76" t="str">
        <v>角色抽卡券普通</v>
      </c>
      <c r="H76">
        <f t="shared" si="3"/>
        <v>106</v>
      </c>
      <c r="I76">
        <v>3</v>
      </c>
      <c r="J76">
        <v>23000055</v>
      </c>
      <c r="K76">
        <f t="array" ref="K76">INDEX(无限挑战!$F$78:$F$374,MATCH(J76,无限挑战!$N$78:$N$374,0))</f>
        <v>55000</v>
      </c>
      <c r="L76" t="str">
        <f t="shared" si="4"/>
        <v>无限挑战55000</v>
      </c>
    </row>
    <row r="77" ht="16.5" customHeight="1" spans="2:12">
      <c r="G77" t="str">
        <v>角色抽卡券普通</v>
      </c>
      <c r="H77">
        <f t="shared" si="3"/>
        <v>106</v>
      </c>
      <c r="I77">
        <v>3</v>
      </c>
      <c r="J77">
        <v>23000056</v>
      </c>
      <c r="K77">
        <f t="array" ref="K77">INDEX(无限挑战!$F$78:$F$374,MATCH(J77,无限挑战!$N$78:$N$374,0))</f>
        <v>56000</v>
      </c>
      <c r="L77" t="str">
        <f t="shared" si="4"/>
        <v>无限挑战56000</v>
      </c>
    </row>
    <row r="78" ht="16.5" customHeight="1" spans="2:12">
      <c r="G78" t="str">
        <v>钻石</v>
      </c>
      <c r="H78">
        <f t="shared" si="3"/>
        <v>2</v>
      </c>
      <c r="I78">
        <v>500</v>
      </c>
      <c r="J78">
        <v>23000057</v>
      </c>
      <c r="K78">
        <f t="array" ref="K78">INDEX(无限挑战!$F$78:$F$374,MATCH(J78,无限挑战!$N$78:$N$374,0))</f>
        <v>57000</v>
      </c>
      <c r="L78" t="str">
        <f t="shared" si="4"/>
        <v>无限挑战57000</v>
      </c>
    </row>
    <row r="79" ht="16.5" customHeight="1" spans="2:12">
      <c r="G79" t="str">
        <v>角色抽卡券限时</v>
      </c>
      <c r="H79">
        <f t="shared" si="3"/>
        <v>111</v>
      </c>
      <c r="I79">
        <v>3</v>
      </c>
      <c r="J79">
        <v>23000057</v>
      </c>
      <c r="K79">
        <f t="array" ref="K79">INDEX(无限挑战!$F$78:$F$374,MATCH(J79,无限挑战!$N$78:$N$374,0))</f>
        <v>57000</v>
      </c>
      <c r="L79" t="str">
        <f t="shared" si="4"/>
        <v>无限挑战57000</v>
      </c>
    </row>
    <row r="80" ht="16.5" customHeight="1" spans="2:12">
      <c r="G80" t="str">
        <v>角色抽卡券普通</v>
      </c>
      <c r="H80">
        <f t="shared" si="3"/>
        <v>106</v>
      </c>
      <c r="I80">
        <v>3</v>
      </c>
      <c r="J80">
        <v>23000058</v>
      </c>
      <c r="K80">
        <f t="array" ref="K80">INDEX(无限挑战!$F$78:$F$374,MATCH(J80,无限挑战!$N$78:$N$374,0))</f>
        <v>58000</v>
      </c>
      <c r="L80" t="str">
        <f t="shared" si="4"/>
        <v>无限挑战58000</v>
      </c>
    </row>
    <row r="81" ht="16.5" customHeight="1" spans="7:12">
      <c r="G81" t="str">
        <v>角色抽卡券普通</v>
      </c>
      <c r="H81">
        <f t="shared" si="3"/>
        <v>106</v>
      </c>
      <c r="I81">
        <v>3</v>
      </c>
      <c r="J81">
        <v>23000059</v>
      </c>
      <c r="K81">
        <f t="array" ref="K81">INDEX(无限挑战!$F$78:$F$374,MATCH(J81,无限挑战!$N$78:$N$374,0))</f>
        <v>59000</v>
      </c>
      <c r="L81" t="str">
        <f t="shared" si="4"/>
        <v>无限挑战59000</v>
      </c>
    </row>
    <row r="82" ht="16.5" customHeight="1" spans="7:12">
      <c r="G82" t="str">
        <v>钻石</v>
      </c>
      <c r="H82">
        <f t="shared" si="3"/>
        <v>2</v>
      </c>
      <c r="I82">
        <v>500</v>
      </c>
      <c r="J82">
        <v>23000060</v>
      </c>
      <c r="K82">
        <f t="array" ref="K82">INDEX(无限挑战!$F$78:$F$374,MATCH(J82,无限挑战!$N$78:$N$374,0))</f>
        <v>60000</v>
      </c>
      <c r="L82" t="str">
        <f t="shared" si="4"/>
        <v>无限挑战60000</v>
      </c>
    </row>
    <row r="83" ht="16.5" customHeight="1" spans="7:12">
      <c r="G83" t="str">
        <v>角色抽卡券限时</v>
      </c>
      <c r="H83">
        <f t="shared" si="3"/>
        <v>111</v>
      </c>
      <c r="I83">
        <v>3</v>
      </c>
      <c r="J83">
        <v>23000060</v>
      </c>
      <c r="K83">
        <f t="array" ref="K83">INDEX(无限挑战!$F$78:$F$374,MATCH(J83,无限挑战!$N$78:$N$374,0))</f>
        <v>60000</v>
      </c>
      <c r="L83" t="str">
        <f t="shared" si="4"/>
        <v>无限挑战60000</v>
      </c>
    </row>
    <row r="84" ht="16.5" customHeight="1" spans="7:12">
      <c r="G84" t="str">
        <v>角色抽卡券普通</v>
      </c>
      <c r="H84">
        <f t="shared" si="3"/>
        <v>106</v>
      </c>
      <c r="I84">
        <v>3</v>
      </c>
      <c r="J84">
        <v>23000061</v>
      </c>
      <c r="K84">
        <f t="array" ref="K84">INDEX(无限挑战!$F$78:$F$374,MATCH(J84,无限挑战!$N$78:$N$374,0))</f>
        <v>61000</v>
      </c>
      <c r="L84" t="str">
        <f t="shared" si="4"/>
        <v>无限挑战61000</v>
      </c>
    </row>
    <row r="85" ht="16.5" customHeight="1" spans="7:12">
      <c r="G85" t="str">
        <v>角色抽卡券普通</v>
      </c>
      <c r="H85">
        <f t="shared" si="3"/>
        <v>106</v>
      </c>
      <c r="I85">
        <v>3</v>
      </c>
      <c r="J85">
        <v>23000062</v>
      </c>
      <c r="K85">
        <f t="array" ref="K85">INDEX(无限挑战!$F$78:$F$374,MATCH(J85,无限挑战!$N$78:$N$374,0))</f>
        <v>62000</v>
      </c>
      <c r="L85" t="str">
        <f t="shared" si="4"/>
        <v>无限挑战62000</v>
      </c>
    </row>
    <row r="86" ht="16.5" customHeight="1" spans="7:12">
      <c r="G86" t="str">
        <v>5级宝石</v>
      </c>
      <c r="H86">
        <f t="shared" si="3"/>
        <v>3014</v>
      </c>
      <c r="I86">
        <v>1</v>
      </c>
      <c r="J86">
        <v>23000063</v>
      </c>
      <c r="K86">
        <f t="array" ref="K86">INDEX(无限挑战!$F$78:$F$374,MATCH(J86,无限挑战!$N$78:$N$374,0))</f>
        <v>63000</v>
      </c>
      <c r="L86" t="str">
        <f t="shared" si="4"/>
        <v>无限挑战63000</v>
      </c>
    </row>
    <row r="87" ht="16.5" customHeight="1" spans="7:12">
      <c r="G87" t="str">
        <v>角色抽卡券限时</v>
      </c>
      <c r="H87">
        <f t="shared" si="3"/>
        <v>111</v>
      </c>
      <c r="I87">
        <v>3</v>
      </c>
      <c r="J87">
        <v>23000063</v>
      </c>
      <c r="K87">
        <f t="array" ref="K87">INDEX(无限挑战!$F$78:$F$374,MATCH(J87,无限挑战!$N$78:$N$374,0))</f>
        <v>63000</v>
      </c>
      <c r="L87" t="str">
        <f t="shared" si="4"/>
        <v>无限挑战63000</v>
      </c>
    </row>
    <row r="88" ht="16.5" customHeight="1" spans="7:12">
      <c r="G88" t="str">
        <v>角色抽卡券普通</v>
      </c>
      <c r="H88">
        <f t="shared" si="3"/>
        <v>106</v>
      </c>
      <c r="I88">
        <v>3</v>
      </c>
      <c r="J88">
        <v>23000064</v>
      </c>
      <c r="K88">
        <f t="array" ref="K88">INDEX(无限挑战!$F$78:$F$374,MATCH(J88,无限挑战!$N$78:$N$374,0))</f>
        <v>64000</v>
      </c>
      <c r="L88" t="str">
        <f t="shared" si="4"/>
        <v>无限挑战64000</v>
      </c>
    </row>
    <row r="89" ht="16.5" customHeight="1" spans="7:12">
      <c r="G89" t="str">
        <v>角色抽卡券普通</v>
      </c>
      <c r="H89">
        <f t="shared" si="3"/>
        <v>106</v>
      </c>
      <c r="I89">
        <v>3</v>
      </c>
      <c r="J89">
        <v>23000065</v>
      </c>
      <c r="K89">
        <f t="array" ref="K89">INDEX(无限挑战!$F$78:$F$374,MATCH(J89,无限挑战!$N$78:$N$374,0))</f>
        <v>65000</v>
      </c>
      <c r="L89" t="str">
        <f t="shared" si="4"/>
        <v>无限挑战65000</v>
      </c>
    </row>
    <row r="90" ht="16.5" customHeight="1" spans="7:12">
      <c r="G90" t="str">
        <v>钻石</v>
      </c>
      <c r="H90">
        <f t="shared" si="3"/>
        <v>2</v>
      </c>
      <c r="I90">
        <v>500</v>
      </c>
      <c r="J90">
        <v>23000066</v>
      </c>
      <c r="K90">
        <f t="array" ref="K90">INDEX(无限挑战!$F$78:$F$374,MATCH(J90,无限挑战!$N$78:$N$374,0))</f>
        <v>66000</v>
      </c>
      <c r="L90" t="str">
        <f t="shared" si="4"/>
        <v>无限挑战66000</v>
      </c>
    </row>
    <row r="91" ht="16.5" customHeight="1" spans="7:12">
      <c r="G91" t="str">
        <v>专武抽卡券限时</v>
      </c>
      <c r="H91">
        <f t="shared" si="3"/>
        <v>112</v>
      </c>
      <c r="I91">
        <v>3</v>
      </c>
      <c r="J91">
        <v>23000066</v>
      </c>
      <c r="K91">
        <f t="array" ref="K91">INDEX(无限挑战!$F$78:$F$374,MATCH(J91,无限挑战!$N$78:$N$374,0))</f>
        <v>66000</v>
      </c>
      <c r="L91" t="str">
        <f t="shared" si="4"/>
        <v>无限挑战66000</v>
      </c>
    </row>
    <row r="92" ht="16.5" customHeight="1" spans="7:12">
      <c r="G92" t="str">
        <v>角色抽卡券普通</v>
      </c>
      <c r="H92">
        <f t="shared" si="3"/>
        <v>106</v>
      </c>
      <c r="I92">
        <v>3</v>
      </c>
      <c r="J92">
        <v>23000067</v>
      </c>
      <c r="K92">
        <f t="array" ref="K92">INDEX(无限挑战!$F$78:$F$374,MATCH(J92,无限挑战!$N$78:$N$374,0))</f>
        <v>67000</v>
      </c>
      <c r="L92" t="str">
        <f t="shared" si="4"/>
        <v>无限挑战67000</v>
      </c>
    </row>
    <row r="93" ht="16.5" customHeight="1" spans="7:12">
      <c r="G93" t="str">
        <v>角色抽卡券普通</v>
      </c>
      <c r="H93">
        <f t="shared" si="3"/>
        <v>106</v>
      </c>
      <c r="I93">
        <v>3</v>
      </c>
      <c r="J93">
        <v>23000068</v>
      </c>
      <c r="K93">
        <f t="array" ref="K93">INDEX(无限挑战!$F$78:$F$374,MATCH(J93,无限挑战!$N$78:$N$374,0))</f>
        <v>68000</v>
      </c>
      <c r="L93" t="str">
        <f t="shared" si="4"/>
        <v>无限挑战68000</v>
      </c>
    </row>
    <row r="94" ht="16.5" customHeight="1" spans="7:12">
      <c r="G94" t="str">
        <v>钻石</v>
      </c>
      <c r="H94">
        <f t="shared" si="3"/>
        <v>2</v>
      </c>
      <c r="I94">
        <v>500</v>
      </c>
      <c r="J94">
        <v>23000069</v>
      </c>
      <c r="K94">
        <f t="array" ref="K94">INDEX(无限挑战!$F$78:$F$374,MATCH(J94,无限挑战!$N$78:$N$374,0))</f>
        <v>69000</v>
      </c>
      <c r="L94" t="str">
        <f t="shared" si="4"/>
        <v>无限挑战69000</v>
      </c>
    </row>
    <row r="95" ht="16.5" customHeight="1" spans="7:12">
      <c r="G95" t="str">
        <v>专武抽卡券限时</v>
      </c>
      <c r="H95">
        <f t="shared" si="3"/>
        <v>112</v>
      </c>
      <c r="I95">
        <v>3</v>
      </c>
      <c r="J95">
        <v>23000069</v>
      </c>
      <c r="K95">
        <f t="array" ref="K95">INDEX(无限挑战!$F$78:$F$374,MATCH(J95,无限挑战!$N$78:$N$374,0))</f>
        <v>69000</v>
      </c>
      <c r="L95" t="str">
        <f t="shared" si="4"/>
        <v>无限挑战69000</v>
      </c>
    </row>
    <row r="96" ht="16.5" customHeight="1" spans="7:12">
      <c r="G96" t="str">
        <v>角色抽卡券普通</v>
      </c>
      <c r="H96">
        <f t="shared" si="3"/>
        <v>106</v>
      </c>
      <c r="I96">
        <v>3</v>
      </c>
      <c r="J96">
        <v>23000070</v>
      </c>
      <c r="K96">
        <f t="array" ref="K96">INDEX(无限挑战!$F$78:$F$374,MATCH(J96,无限挑战!$N$78:$N$374,0))</f>
        <v>70000</v>
      </c>
      <c r="L96" t="str">
        <f t="shared" si="4"/>
        <v>无限挑战70000</v>
      </c>
    </row>
    <row r="97" ht="16.5" customHeight="1" spans="6:12">
      <c r="G97" t="str">
        <v>角色抽卡券普通</v>
      </c>
      <c r="H97">
        <f t="shared" si="3"/>
        <v>106</v>
      </c>
      <c r="I97">
        <v>3</v>
      </c>
      <c r="J97">
        <v>23000071</v>
      </c>
      <c r="K97">
        <f t="array" ref="K97">INDEX(无限挑战!$F$78:$F$374,MATCH(J97,无限挑战!$N$78:$N$374,0))</f>
        <v>71000</v>
      </c>
      <c r="L97" t="str">
        <f t="shared" si="4"/>
        <v>无限挑战71000</v>
      </c>
    </row>
    <row r="98" ht="16.5" customHeight="1" spans="6:12">
      <c r="G98" t="str">
        <v>主角装备红色</v>
      </c>
      <c r="H98">
        <f t="shared" si="3"/>
        <v>2504</v>
      </c>
      <c r="I98">
        <v>1</v>
      </c>
      <c r="J98">
        <v>23000072</v>
      </c>
      <c r="K98">
        <f t="array" ref="K98">INDEX(无限挑战!$F$78:$F$374,MATCH(J98,无限挑战!$N$78:$N$374,0))</f>
        <v>72000</v>
      </c>
      <c r="L98" t="str">
        <f t="shared" si="4"/>
        <v>无限挑战72000</v>
      </c>
    </row>
    <row r="99" ht="16.5" customHeight="1" spans="6:12">
      <c r="G99" t="str">
        <v>专武抽卡券限时</v>
      </c>
      <c r="H99">
        <f t="shared" si="3"/>
        <v>112</v>
      </c>
      <c r="I99">
        <v>3</v>
      </c>
      <c r="J99">
        <v>23000072</v>
      </c>
      <c r="K99">
        <f t="array" ref="K99">INDEX(无限挑战!$F$78:$F$374,MATCH(J99,无限挑战!$N$78:$N$374,0))</f>
        <v>72000</v>
      </c>
      <c r="L99" t="str">
        <f t="shared" si="4"/>
        <v>无限挑战72000</v>
      </c>
    </row>
    <row r="100" ht="16.5" customHeight="1" spans="6:12">
      <c r="G100" t="str">
        <v>角色抽卡券普通</v>
      </c>
      <c r="H100">
        <f t="shared" si="3"/>
        <v>106</v>
      </c>
      <c r="I100">
        <v>3</v>
      </c>
      <c r="J100">
        <v>23000073</v>
      </c>
      <c r="K100">
        <f t="array" ref="K100">INDEX(无限挑战!$F$78:$F$374,MATCH(J100,无限挑战!$N$78:$N$374,0))</f>
        <v>73000</v>
      </c>
      <c r="L100" t="str">
        <f t="shared" si="4"/>
        <v>无限挑战73000</v>
      </c>
    </row>
    <row r="101" ht="16.5" customHeight="1" spans="6:12">
      <c r="G101" t="str">
        <v>角色抽卡券普通</v>
      </c>
      <c r="H101">
        <f t="shared" si="3"/>
        <v>106</v>
      </c>
      <c r="I101">
        <v>3</v>
      </c>
      <c r="J101">
        <v>23000074</v>
      </c>
      <c r="K101">
        <f t="array" ref="K101">INDEX(无限挑战!$F$78:$F$374,MATCH(J101,无限挑战!$N$78:$N$374,0))</f>
        <v>74000</v>
      </c>
      <c r="L101" t="str">
        <f t="shared" si="4"/>
        <v>无限挑战74000</v>
      </c>
    </row>
    <row r="102" ht="16.5" customHeight="1" spans="6:12">
      <c r="G102" t="str">
        <v>钻石</v>
      </c>
      <c r="H102">
        <f t="shared" si="3"/>
        <v>2</v>
      </c>
      <c r="I102">
        <v>500</v>
      </c>
      <c r="J102">
        <v>23000075</v>
      </c>
      <c r="K102">
        <f t="array" ref="K102">INDEX(无限挑战!$F$78:$F$374,MATCH(J102,无限挑战!$N$78:$N$374,0))</f>
        <v>75000</v>
      </c>
      <c r="L102" t="str">
        <f t="shared" si="4"/>
        <v>无限挑战75000</v>
      </c>
    </row>
    <row r="103" ht="16.5" customHeight="1" spans="6:12">
      <c r="G103" t="str">
        <v>角色抽卡券限时</v>
      </c>
      <c r="H103">
        <f t="shared" si="3"/>
        <v>111</v>
      </c>
      <c r="I103">
        <v>3</v>
      </c>
      <c r="J103">
        <v>23000075</v>
      </c>
      <c r="K103">
        <f t="array" ref="K103">INDEX(无限挑战!$F$78:$F$374,MATCH(J103,无限挑战!$N$78:$N$374,0))</f>
        <v>75000</v>
      </c>
      <c r="L103" t="str">
        <f t="shared" si="4"/>
        <v>无限挑战75000</v>
      </c>
    </row>
    <row r="104" ht="16.5" customHeight="1" spans="6:12">
      <c r="F104" s="3"/>
      <c r="G104" t="str">
        <v>角色抽卡券普通</v>
      </c>
      <c r="H104">
        <f t="shared" si="3"/>
        <v>106</v>
      </c>
      <c r="I104">
        <v>3</v>
      </c>
      <c r="J104">
        <v>23000076</v>
      </c>
      <c r="K104">
        <f t="array" ref="K104">INDEX(无限挑战!$F$78:$F$374,MATCH(J104,无限挑战!$N$78:$N$374,0))</f>
        <v>76000</v>
      </c>
      <c r="L104" t="str">
        <f t="shared" si="4"/>
        <v>无限挑战76000</v>
      </c>
    </row>
    <row r="105" ht="16.5" customHeight="1" spans="6:12">
      <c r="F105" s="3"/>
      <c r="G105" t="str">
        <v>角色抽卡券普通</v>
      </c>
      <c r="H105">
        <f t="shared" si="3"/>
        <v>106</v>
      </c>
      <c r="I105">
        <v>3</v>
      </c>
      <c r="J105">
        <v>23000077</v>
      </c>
      <c r="K105">
        <f t="array" ref="K105">INDEX(无限挑战!$F$78:$F$374,MATCH(J105,无限挑战!$N$78:$N$374,0))</f>
        <v>77000</v>
      </c>
      <c r="L105" t="str">
        <f t="shared" si="4"/>
        <v>无限挑战77000</v>
      </c>
    </row>
    <row r="106" ht="16.5" customHeight="1" spans="6:12">
      <c r="F106" s="3"/>
      <c r="G106" t="str">
        <v>钻石</v>
      </c>
      <c r="H106">
        <f t="shared" si="3"/>
        <v>2</v>
      </c>
      <c r="I106">
        <v>500</v>
      </c>
      <c r="J106">
        <v>23000078</v>
      </c>
      <c r="K106">
        <f t="array" ref="K106">INDEX(无限挑战!$F$78:$F$374,MATCH(J106,无限挑战!$N$78:$N$374,0))</f>
        <v>78000</v>
      </c>
      <c r="L106" t="str">
        <f t="shared" si="4"/>
        <v>无限挑战78000</v>
      </c>
    </row>
    <row r="107" ht="16.5" customHeight="1" spans="6:12">
      <c r="F107" s="3"/>
      <c r="G107" t="str">
        <v>角色抽卡券限时</v>
      </c>
      <c r="H107">
        <f t="shared" si="3"/>
        <v>111</v>
      </c>
      <c r="I107">
        <v>3</v>
      </c>
      <c r="J107">
        <v>23000078</v>
      </c>
      <c r="K107">
        <f t="array" ref="K107">INDEX(无限挑战!$F$78:$F$374,MATCH(J107,无限挑战!$N$78:$N$374,0))</f>
        <v>78000</v>
      </c>
      <c r="L107" t="str">
        <f t="shared" si="4"/>
        <v>无限挑战78000</v>
      </c>
    </row>
    <row r="108" ht="16.5" customHeight="1" spans="6:12">
      <c r="F108" s="3"/>
      <c r="G108" t="str">
        <v>角色抽卡券普通</v>
      </c>
      <c r="H108">
        <f t="shared" si="3"/>
        <v>106</v>
      </c>
      <c r="I108">
        <v>3</v>
      </c>
      <c r="J108">
        <v>23000079</v>
      </c>
      <c r="K108">
        <f t="array" ref="K108">INDEX(无限挑战!$F$78:$F$374,MATCH(J108,无限挑战!$N$78:$N$374,0))</f>
        <v>79000</v>
      </c>
      <c r="L108" t="str">
        <f t="shared" si="4"/>
        <v>无限挑战79000</v>
      </c>
    </row>
    <row r="109" ht="16.5" customHeight="1" spans="6:12">
      <c r="F109" s="3"/>
      <c r="G109" t="str">
        <v>角色抽卡券普通</v>
      </c>
      <c r="H109">
        <f t="shared" si="3"/>
        <v>106</v>
      </c>
      <c r="I109">
        <v>3</v>
      </c>
      <c r="J109">
        <v>23000080</v>
      </c>
      <c r="K109">
        <f t="array" ref="K109">INDEX(无限挑战!$F$78:$F$374,MATCH(J109,无限挑战!$N$78:$N$374,0))</f>
        <v>80000</v>
      </c>
      <c r="L109" t="str">
        <f t="shared" si="4"/>
        <v>无限挑战80000</v>
      </c>
    </row>
    <row r="110" ht="16.5" customHeight="1" spans="6:12">
      <c r="F110" s="3"/>
      <c r="G110" t="str">
        <v>红色装备打孔器</v>
      </c>
      <c r="H110">
        <f t="shared" si="3"/>
        <v>1069</v>
      </c>
      <c r="I110">
        <v>2</v>
      </c>
      <c r="J110">
        <v>23000081</v>
      </c>
      <c r="K110">
        <f t="array" ref="K110">INDEX(无限挑战!$F$78:$F$374,MATCH(J110,无限挑战!$N$78:$N$374,0))</f>
        <v>81000</v>
      </c>
      <c r="L110" t="str">
        <f t="shared" si="4"/>
        <v>无限挑战81000</v>
      </c>
    </row>
    <row r="111" ht="16.5" customHeight="1" spans="6:12">
      <c r="F111" s="3"/>
      <c r="G111" t="str">
        <v>角色抽卡券限时</v>
      </c>
      <c r="H111">
        <f t="shared" si="3"/>
        <v>111</v>
      </c>
      <c r="I111">
        <v>3</v>
      </c>
      <c r="J111">
        <v>23000081</v>
      </c>
      <c r="K111">
        <f t="array" ref="K111">INDEX(无限挑战!$F$78:$F$374,MATCH(J111,无限挑战!$N$78:$N$374,0))</f>
        <v>81000</v>
      </c>
      <c r="L111" t="str">
        <f t="shared" si="4"/>
        <v>无限挑战81000</v>
      </c>
    </row>
    <row r="112" ht="16.5" customHeight="1" spans="6:12">
      <c r="F112" s="3"/>
      <c r="G112" t="str">
        <v>角色抽卡券普通</v>
      </c>
      <c r="H112">
        <f t="shared" si="3"/>
        <v>106</v>
      </c>
      <c r="I112">
        <v>3</v>
      </c>
      <c r="J112">
        <v>23000082</v>
      </c>
      <c r="K112">
        <f t="array" ref="K112">INDEX(无限挑战!$F$78:$F$374,MATCH(J112,无限挑战!$N$78:$N$374,0))</f>
        <v>82000</v>
      </c>
      <c r="L112" t="str">
        <f t="shared" si="4"/>
        <v>无限挑战82000</v>
      </c>
    </row>
    <row r="113" ht="16.5" customHeight="1" spans="6:12">
      <c r="F113" s="3"/>
      <c r="G113" t="str">
        <v>角色抽卡券普通</v>
      </c>
      <c r="H113">
        <f t="shared" si="3"/>
        <v>106</v>
      </c>
      <c r="I113">
        <v>3</v>
      </c>
      <c r="J113">
        <v>23000083</v>
      </c>
      <c r="K113">
        <f t="array" ref="K113">INDEX(无限挑战!$F$78:$F$374,MATCH(J113,无限挑战!$N$78:$N$374,0))</f>
        <v>83000</v>
      </c>
      <c r="L113" t="str">
        <f t="shared" si="4"/>
        <v>无限挑战83000</v>
      </c>
    </row>
    <row r="114" ht="16.5" customHeight="1" spans="6:12">
      <c r="F114" s="3"/>
      <c r="G114" t="str">
        <v>钻石</v>
      </c>
      <c r="H114">
        <f t="shared" si="3"/>
        <v>2</v>
      </c>
      <c r="I114">
        <v>500</v>
      </c>
      <c r="J114">
        <v>23000084</v>
      </c>
      <c r="K114">
        <f t="array" ref="K114">INDEX(无限挑战!$F$78:$F$374,MATCH(J114,无限挑战!$N$78:$N$374,0))</f>
        <v>84000</v>
      </c>
      <c r="L114" t="str">
        <f t="shared" si="4"/>
        <v>无限挑战84000</v>
      </c>
    </row>
    <row r="115" ht="16.5" customHeight="1" spans="6:12">
      <c r="F115" s="3"/>
      <c r="G115" t="str">
        <v>专武抽卡券限时</v>
      </c>
      <c r="H115">
        <f t="shared" si="3"/>
        <v>112</v>
      </c>
      <c r="I115">
        <v>3</v>
      </c>
      <c r="J115">
        <v>23000084</v>
      </c>
      <c r="K115">
        <f t="array" ref="K115">INDEX(无限挑战!$F$78:$F$374,MATCH(J115,无限挑战!$N$78:$N$374,0))</f>
        <v>84000</v>
      </c>
      <c r="L115" t="str">
        <f t="shared" si="4"/>
        <v>无限挑战84000</v>
      </c>
    </row>
    <row r="116" ht="16.5" customHeight="1" spans="6:12">
      <c r="F116" s="3"/>
      <c r="G116" t="str">
        <v>角色抽卡券普通</v>
      </c>
      <c r="H116">
        <f t="shared" si="3"/>
        <v>106</v>
      </c>
      <c r="I116">
        <v>3</v>
      </c>
      <c r="J116">
        <v>23000085</v>
      </c>
      <c r="K116">
        <f t="array" ref="K116">INDEX(无限挑战!$F$78:$F$374,MATCH(J116,无限挑战!$N$78:$N$374,0))</f>
        <v>85000</v>
      </c>
      <c r="L116" t="str">
        <f t="shared" si="4"/>
        <v>无限挑战85000</v>
      </c>
    </row>
    <row r="117" ht="16.5" customHeight="1" spans="6:12">
      <c r="F117" s="3"/>
      <c r="G117" t="str">
        <v>角色抽卡券普通</v>
      </c>
      <c r="H117">
        <f t="shared" si="3"/>
        <v>106</v>
      </c>
      <c r="I117">
        <v>3</v>
      </c>
      <c r="J117">
        <v>23000086</v>
      </c>
      <c r="K117">
        <f t="array" ref="K117">INDEX(无限挑战!$F$78:$F$374,MATCH(J117,无限挑战!$N$78:$N$374,0))</f>
        <v>86000</v>
      </c>
      <c r="L117" t="str">
        <f t="shared" si="4"/>
        <v>无限挑战86000</v>
      </c>
    </row>
    <row r="118" ht="16.5" customHeight="1" spans="6:12">
      <c r="F118" s="3"/>
      <c r="G118" t="str">
        <v>钻石</v>
      </c>
      <c r="H118">
        <f t="shared" si="3"/>
        <v>2</v>
      </c>
      <c r="I118">
        <v>500</v>
      </c>
      <c r="J118">
        <v>23000087</v>
      </c>
      <c r="K118">
        <f t="array" ref="K118">INDEX(无限挑战!$F$78:$F$374,MATCH(J118,无限挑战!$N$78:$N$374,0))</f>
        <v>87000</v>
      </c>
      <c r="L118" t="str">
        <f t="shared" si="4"/>
        <v>无限挑战87000</v>
      </c>
    </row>
    <row r="119" ht="16.5" customHeight="1" spans="6:12">
      <c r="F119" s="3"/>
      <c r="G119" t="str">
        <v>专武抽卡券限时</v>
      </c>
      <c r="H119">
        <f t="shared" si="3"/>
        <v>112</v>
      </c>
      <c r="I119">
        <v>3</v>
      </c>
      <c r="J119">
        <v>23000087</v>
      </c>
      <c r="K119">
        <f t="array" ref="K119">INDEX(无限挑战!$F$78:$F$374,MATCH(J119,无限挑战!$N$78:$N$374,0))</f>
        <v>87000</v>
      </c>
      <c r="L119" t="str">
        <f t="shared" si="4"/>
        <v>无限挑战87000</v>
      </c>
    </row>
    <row r="120" ht="16.5" customHeight="1" spans="6:12">
      <c r="F120" s="3"/>
      <c r="G120" t="str">
        <v>角色抽卡券普通</v>
      </c>
      <c r="H120">
        <f t="shared" si="3"/>
        <v>106</v>
      </c>
      <c r="I120">
        <v>3</v>
      </c>
      <c r="J120">
        <v>23000088</v>
      </c>
      <c r="K120">
        <f t="array" ref="K120">INDEX(无限挑战!$F$78:$F$374,MATCH(J120,无限挑战!$N$78:$N$374,0))</f>
        <v>88000</v>
      </c>
      <c r="L120" t="str">
        <f t="shared" si="4"/>
        <v>无限挑战88000</v>
      </c>
    </row>
    <row r="121" ht="16.5" customHeight="1" spans="6:12">
      <c r="F121" s="3"/>
      <c r="G121" t="str">
        <v>角色抽卡券普通</v>
      </c>
      <c r="H121">
        <f t="shared" si="3"/>
        <v>106</v>
      </c>
      <c r="I121">
        <v>3</v>
      </c>
      <c r="J121">
        <v>23000089</v>
      </c>
      <c r="K121">
        <f t="array" ref="K121">INDEX(无限挑战!$F$78:$F$374,MATCH(J121,无限挑战!$N$78:$N$374,0))</f>
        <v>89000</v>
      </c>
      <c r="L121" t="str">
        <f t="shared" si="4"/>
        <v>无限挑战89000</v>
      </c>
    </row>
    <row r="122" ht="16.5" customHeight="1" spans="6:12">
      <c r="F122" s="3"/>
      <c r="G122" t="str">
        <v>主角装备红色</v>
      </c>
      <c r="H122">
        <f t="shared" si="3"/>
        <v>2504</v>
      </c>
      <c r="I122">
        <v>1</v>
      </c>
      <c r="J122">
        <v>23000090</v>
      </c>
      <c r="K122">
        <f t="array" ref="K122">INDEX(无限挑战!$F$78:$F$374,MATCH(J122,无限挑战!$N$78:$N$374,0))</f>
        <v>90000</v>
      </c>
      <c r="L122" t="str">
        <f t="shared" si="4"/>
        <v>无限挑战90000</v>
      </c>
    </row>
    <row r="123" ht="16.5" customHeight="1" spans="6:12">
      <c r="F123" s="3"/>
      <c r="G123" t="str">
        <v>专武抽卡券限时</v>
      </c>
      <c r="H123">
        <f t="shared" si="3"/>
        <v>112</v>
      </c>
      <c r="I123">
        <v>3</v>
      </c>
      <c r="J123">
        <v>23000090</v>
      </c>
      <c r="K123">
        <f t="array" ref="K123">INDEX(无限挑战!$F$78:$F$374,MATCH(J123,无限挑战!$N$78:$N$374,0))</f>
        <v>90000</v>
      </c>
      <c r="L123" t="str">
        <f t="shared" si="4"/>
        <v>无限挑战90000</v>
      </c>
    </row>
    <row r="124" ht="16.5" customHeight="1" spans="6:12">
      <c r="F124" s="3"/>
      <c r="G124" t="str">
        <v>角色抽卡券普通</v>
      </c>
      <c r="H124">
        <f t="shared" si="3"/>
        <v>106</v>
      </c>
      <c r="I124">
        <v>3</v>
      </c>
      <c r="J124">
        <v>23000091</v>
      </c>
      <c r="K124">
        <f t="array" ref="K124">INDEX(无限挑战!$F$78:$F$374,MATCH(J124,无限挑战!$N$78:$N$374,0))</f>
        <v>91000</v>
      </c>
      <c r="L124" t="str">
        <f t="shared" si="4"/>
        <v>无限挑战91000</v>
      </c>
    </row>
    <row r="125" ht="16.5" customHeight="1" spans="6:12">
      <c r="F125" s="3"/>
      <c r="G125" t="str">
        <v>角色抽卡券普通</v>
      </c>
      <c r="H125">
        <f t="shared" si="3"/>
        <v>106</v>
      </c>
      <c r="I125">
        <v>3</v>
      </c>
      <c r="J125">
        <v>23000092</v>
      </c>
      <c r="K125">
        <f t="array" ref="K125">INDEX(无限挑战!$F$78:$F$374,MATCH(J125,无限挑战!$N$78:$N$374,0))</f>
        <v>92000</v>
      </c>
      <c r="L125" t="str">
        <f t="shared" si="4"/>
        <v>无限挑战92000</v>
      </c>
    </row>
    <row r="126" ht="16.5" customHeight="1" spans="6:12">
      <c r="F126" s="3"/>
      <c r="G126" t="str">
        <v>钻石</v>
      </c>
      <c r="H126">
        <f t="shared" si="3"/>
        <v>2</v>
      </c>
      <c r="I126">
        <v>500</v>
      </c>
      <c r="J126">
        <v>23000093</v>
      </c>
      <c r="K126">
        <f t="array" ref="K126">INDEX(无限挑战!$F$78:$F$374,MATCH(J126,无限挑战!$N$78:$N$374,0))</f>
        <v>93000</v>
      </c>
      <c r="L126" t="str">
        <f t="shared" si="4"/>
        <v>无限挑战93000</v>
      </c>
    </row>
    <row r="127" ht="16.5" customHeight="1" spans="6:12">
      <c r="F127" s="3"/>
      <c r="G127" t="str">
        <v>角色抽卡券限时</v>
      </c>
      <c r="H127">
        <f t="shared" si="3"/>
        <v>111</v>
      </c>
      <c r="I127">
        <v>3</v>
      </c>
      <c r="J127">
        <v>23000093</v>
      </c>
      <c r="K127">
        <f t="array" ref="K127">INDEX(无限挑战!$F$78:$F$374,MATCH(J127,无限挑战!$N$78:$N$374,0))</f>
        <v>93000</v>
      </c>
      <c r="L127" t="str">
        <f t="shared" si="4"/>
        <v>无限挑战93000</v>
      </c>
    </row>
    <row r="128" ht="16.5" customHeight="1" spans="6:12">
      <c r="F128" s="3"/>
      <c r="G128" t="str">
        <v>角色抽卡券普通</v>
      </c>
      <c r="H128">
        <f t="shared" si="3"/>
        <v>106</v>
      </c>
      <c r="I128">
        <v>3</v>
      </c>
      <c r="J128">
        <v>23000094</v>
      </c>
      <c r="K128">
        <f t="array" ref="K128">INDEX(无限挑战!$F$78:$F$374,MATCH(J128,无限挑战!$N$78:$N$374,0))</f>
        <v>94000</v>
      </c>
      <c r="L128" t="str">
        <f t="shared" si="4"/>
        <v>无限挑战94000</v>
      </c>
    </row>
    <row r="129" ht="16.5" customHeight="1" spans="6:12">
      <c r="F129" s="3"/>
      <c r="G129" t="str">
        <v>角色抽卡券普通</v>
      </c>
      <c r="H129">
        <f t="shared" si="3"/>
        <v>106</v>
      </c>
      <c r="I129">
        <v>3</v>
      </c>
      <c r="J129">
        <v>23000095</v>
      </c>
      <c r="K129">
        <f t="array" ref="K129">INDEX(无限挑战!$F$78:$F$374,MATCH(J129,无限挑战!$N$78:$N$374,0))</f>
        <v>95000</v>
      </c>
      <c r="L129" t="str">
        <f t="shared" si="4"/>
        <v>无限挑战95000</v>
      </c>
    </row>
    <row r="130" ht="16.5" customHeight="1" spans="6:12">
      <c r="F130" s="3"/>
      <c r="G130" t="str">
        <v>钻石</v>
      </c>
      <c r="H130">
        <f t="shared" si="3"/>
        <v>2</v>
      </c>
      <c r="I130">
        <v>500</v>
      </c>
      <c r="J130">
        <v>23000096</v>
      </c>
      <c r="K130">
        <f t="array" ref="K130">INDEX(无限挑战!$F$78:$F$374,MATCH(J130,无限挑战!$N$78:$N$374,0))</f>
        <v>96000</v>
      </c>
      <c r="L130" t="str">
        <f t="shared" si="4"/>
        <v>无限挑战96000</v>
      </c>
    </row>
    <row r="131" ht="16.5" customHeight="1" spans="6:12">
      <c r="F131" s="3"/>
      <c r="G131" t="str">
        <v>角色抽卡券限时</v>
      </c>
      <c r="H131">
        <f t="shared" si="3"/>
        <v>111</v>
      </c>
      <c r="I131">
        <v>3</v>
      </c>
      <c r="J131">
        <v>23000096</v>
      </c>
      <c r="K131">
        <f t="array" ref="K131">INDEX(无限挑战!$F$78:$F$374,MATCH(J131,无限挑战!$N$78:$N$374,0))</f>
        <v>96000</v>
      </c>
      <c r="L131" t="str">
        <f t="shared" si="4"/>
        <v>无限挑战96000</v>
      </c>
    </row>
    <row r="132" ht="16.5" customHeight="1" spans="6:12">
      <c r="F132" s="3"/>
      <c r="G132" t="str">
        <v>角色抽卡券普通</v>
      </c>
      <c r="H132">
        <f t="shared" ref="H132:H195" si="5">VLOOKUP(G132,$B:$C,2,0)</f>
        <v>106</v>
      </c>
      <c r="I132">
        <v>3</v>
      </c>
      <c r="J132">
        <v>23000097</v>
      </c>
      <c r="K132">
        <f t="array" ref="K132">INDEX(无限挑战!$F$78:$F$374,MATCH(J132,无限挑战!$N$78:$N$374,0))</f>
        <v>97000</v>
      </c>
      <c r="L132" t="str">
        <f t="shared" ref="L132:L195" si="6">_xlfn.CONCAT("无限挑战",K132)</f>
        <v>无限挑战97000</v>
      </c>
    </row>
    <row r="133" ht="16.5" customHeight="1" spans="6:12">
      <c r="F133" s="3"/>
      <c r="G133" t="str">
        <v>角色抽卡券普通</v>
      </c>
      <c r="H133">
        <f t="shared" si="5"/>
        <v>106</v>
      </c>
      <c r="I133">
        <v>3</v>
      </c>
      <c r="J133">
        <v>23000098</v>
      </c>
      <c r="K133">
        <f t="array" ref="K133">INDEX(无限挑战!$F$78:$F$374,MATCH(J133,无限挑战!$N$78:$N$374,0))</f>
        <v>98000</v>
      </c>
      <c r="L133" t="str">
        <f t="shared" si="6"/>
        <v>无限挑战98000</v>
      </c>
    </row>
    <row r="134" ht="16.5" customHeight="1" spans="6:12">
      <c r="F134" s="3"/>
      <c r="G134" t="str">
        <v>6级宝石</v>
      </c>
      <c r="H134">
        <f t="shared" si="5"/>
        <v>3019</v>
      </c>
      <c r="I134">
        <v>1</v>
      </c>
      <c r="J134">
        <v>23000099</v>
      </c>
      <c r="K134">
        <f t="array" ref="K134">INDEX(无限挑战!$F$78:$F$374,MATCH(J134,无限挑战!$N$78:$N$374,0))</f>
        <v>99000</v>
      </c>
      <c r="L134" t="str">
        <f t="shared" si="6"/>
        <v>无限挑战99000</v>
      </c>
    </row>
    <row r="135" ht="16.5" customHeight="1" spans="6:12">
      <c r="F135" s="3"/>
      <c r="G135" t="str">
        <v>角色抽卡券限时</v>
      </c>
      <c r="H135">
        <f t="shared" si="5"/>
        <v>111</v>
      </c>
      <c r="I135">
        <v>3</v>
      </c>
      <c r="J135">
        <v>23000099</v>
      </c>
      <c r="K135">
        <f t="array" ref="K135">INDEX(无限挑战!$F$78:$F$374,MATCH(J135,无限挑战!$N$78:$N$374,0))</f>
        <v>99000</v>
      </c>
      <c r="L135" t="str">
        <f t="shared" si="6"/>
        <v>无限挑战99000</v>
      </c>
    </row>
    <row r="136" ht="16.5" customHeight="1" spans="6:12">
      <c r="F136" s="3"/>
      <c r="G136" t="str">
        <v>角色抽卡券普通</v>
      </c>
      <c r="H136">
        <f t="shared" si="5"/>
        <v>106</v>
      </c>
      <c r="I136">
        <v>1</v>
      </c>
      <c r="J136">
        <v>23000100</v>
      </c>
      <c r="K136">
        <f t="array" ref="K136">INDEX(无限挑战!$F$78:$F$374,MATCH(J136,无限挑战!$N$78:$N$374,0))</f>
        <v>100000</v>
      </c>
      <c r="L136" t="str">
        <f t="shared" si="6"/>
        <v>无限挑战100000</v>
      </c>
    </row>
    <row r="137" ht="16.5" customHeight="1" spans="6:12">
      <c r="F137" s="3"/>
      <c r="G137" t="str">
        <v>角色抽卡券普通</v>
      </c>
      <c r="H137">
        <f t="shared" si="5"/>
        <v>106</v>
      </c>
      <c r="I137">
        <v>1</v>
      </c>
      <c r="J137">
        <v>23000101</v>
      </c>
      <c r="K137">
        <f t="array" ref="K137">INDEX(无限挑战!$F$78:$F$374,MATCH(J137,无限挑战!$N$78:$N$374,0))</f>
        <v>101000</v>
      </c>
      <c r="L137" t="str">
        <f t="shared" si="6"/>
        <v>无限挑战101000</v>
      </c>
    </row>
    <row r="138" ht="16.5" customHeight="1" spans="6:12">
      <c r="F138" s="3"/>
      <c r="G138" t="str">
        <v>钻石</v>
      </c>
      <c r="H138">
        <f t="shared" si="5"/>
        <v>2</v>
      </c>
      <c r="I138">
        <v>100</v>
      </c>
      <c r="J138">
        <v>23000102</v>
      </c>
      <c r="K138">
        <f t="array" ref="K138">INDEX(无限挑战!$F$78:$F$374,MATCH(J138,无限挑战!$N$78:$N$374,0))</f>
        <v>102000</v>
      </c>
      <c r="L138" t="str">
        <f t="shared" si="6"/>
        <v>无限挑战102000</v>
      </c>
    </row>
    <row r="139" ht="16.5" customHeight="1" spans="6:12">
      <c r="F139" s="3"/>
      <c r="G139" t="str">
        <v>角色抽卡券普通</v>
      </c>
      <c r="H139">
        <f t="shared" si="5"/>
        <v>106</v>
      </c>
      <c r="I139">
        <v>1</v>
      </c>
      <c r="J139">
        <v>23000103</v>
      </c>
      <c r="K139">
        <f t="array" ref="K139">INDEX(无限挑战!$F$78:$F$374,MATCH(J139,无限挑战!$N$78:$N$374,0))</f>
        <v>103000</v>
      </c>
      <c r="L139" t="str">
        <f t="shared" si="6"/>
        <v>无限挑战103000</v>
      </c>
    </row>
    <row r="140" ht="16.5" customHeight="1" spans="6:12">
      <c r="F140" s="3"/>
      <c r="G140" t="str">
        <v>角色抽卡券普通</v>
      </c>
      <c r="H140">
        <f t="shared" si="5"/>
        <v>106</v>
      </c>
      <c r="I140">
        <v>1</v>
      </c>
      <c r="J140">
        <v>23000104</v>
      </c>
      <c r="K140">
        <f t="array" ref="K140">INDEX(无限挑战!$F$78:$F$374,MATCH(J140,无限挑战!$N$78:$N$374,0))</f>
        <v>104000</v>
      </c>
      <c r="L140" t="str">
        <f t="shared" si="6"/>
        <v>无限挑战104000</v>
      </c>
    </row>
    <row r="141" ht="16.5" customHeight="1" spans="6:12">
      <c r="F141" s="3"/>
      <c r="G141" t="str">
        <v>钻石</v>
      </c>
      <c r="H141">
        <f t="shared" si="5"/>
        <v>2</v>
      </c>
      <c r="I141">
        <v>100</v>
      </c>
      <c r="J141">
        <v>23000105</v>
      </c>
      <c r="K141">
        <f t="array" ref="K141">INDEX(无限挑战!$F$78:$F$374,MATCH(J141,无限挑战!$N$78:$N$374,0))</f>
        <v>105000</v>
      </c>
      <c r="L141" t="str">
        <f t="shared" si="6"/>
        <v>无限挑战105000</v>
      </c>
    </row>
    <row r="142" ht="16.5" customHeight="1" spans="6:12">
      <c r="F142" s="3"/>
      <c r="G142" t="str">
        <v>角色抽卡券普通</v>
      </c>
      <c r="H142">
        <f t="shared" si="5"/>
        <v>106</v>
      </c>
      <c r="I142">
        <v>1</v>
      </c>
      <c r="J142">
        <v>23000106</v>
      </c>
      <c r="K142">
        <f t="array" ref="K142">INDEX(无限挑战!$F$78:$F$374,MATCH(J142,无限挑战!$N$78:$N$374,0))</f>
        <v>106000</v>
      </c>
      <c r="L142" t="str">
        <f t="shared" si="6"/>
        <v>无限挑战106000</v>
      </c>
    </row>
    <row r="143" ht="16.5" customHeight="1" spans="6:12">
      <c r="F143" s="3"/>
      <c r="G143" t="str">
        <v>角色抽卡券普通</v>
      </c>
      <c r="H143">
        <f t="shared" si="5"/>
        <v>106</v>
      </c>
      <c r="I143">
        <v>1</v>
      </c>
      <c r="J143">
        <v>23000107</v>
      </c>
      <c r="K143">
        <f t="array" ref="K143">INDEX(无限挑战!$F$78:$F$374,MATCH(J143,无限挑战!$N$78:$N$374,0))</f>
        <v>107000</v>
      </c>
      <c r="L143" t="str">
        <f t="shared" si="6"/>
        <v>无限挑战107000</v>
      </c>
    </row>
    <row r="144" ht="16.5" customHeight="1" spans="6:12">
      <c r="F144" s="3"/>
      <c r="G144" t="str">
        <v>钻石</v>
      </c>
      <c r="H144">
        <f t="shared" si="5"/>
        <v>2</v>
      </c>
      <c r="I144">
        <v>100</v>
      </c>
      <c r="J144">
        <v>23000108</v>
      </c>
      <c r="K144">
        <f t="array" ref="K144">INDEX(无限挑战!$F$78:$F$374,MATCH(J144,无限挑战!$N$78:$N$374,0))</f>
        <v>108000</v>
      </c>
      <c r="L144" t="str">
        <f t="shared" si="6"/>
        <v>无限挑战108000</v>
      </c>
    </row>
    <row r="145" ht="16.5" customHeight="1" spans="6:12">
      <c r="F145" s="3"/>
      <c r="G145" t="str">
        <v>角色抽卡券普通</v>
      </c>
      <c r="H145">
        <f t="shared" si="5"/>
        <v>106</v>
      </c>
      <c r="I145">
        <v>1</v>
      </c>
      <c r="J145">
        <v>23000109</v>
      </c>
      <c r="K145">
        <f t="array" ref="K145">INDEX(无限挑战!$F$78:$F$374,MATCH(J145,无限挑战!$N$78:$N$374,0))</f>
        <v>109000</v>
      </c>
      <c r="L145" t="str">
        <f t="shared" si="6"/>
        <v>无限挑战109000</v>
      </c>
    </row>
    <row r="146" ht="16.5" customHeight="1" spans="6:12">
      <c r="F146" s="3"/>
      <c r="G146" t="str">
        <v>角色抽卡券普通</v>
      </c>
      <c r="H146">
        <f t="shared" si="5"/>
        <v>106</v>
      </c>
      <c r="I146">
        <v>1</v>
      </c>
      <c r="J146">
        <v>23000110</v>
      </c>
      <c r="K146">
        <f t="array" ref="K146">INDEX(无限挑战!$F$78:$F$374,MATCH(J146,无限挑战!$N$78:$N$374,0))</f>
        <v>110000</v>
      </c>
      <c r="L146" t="str">
        <f t="shared" si="6"/>
        <v>无限挑战110000</v>
      </c>
    </row>
    <row r="147" ht="16.5" customHeight="1" spans="6:12">
      <c r="F147" s="3"/>
      <c r="G147" t="str">
        <v>钻石</v>
      </c>
      <c r="H147">
        <f t="shared" si="5"/>
        <v>2</v>
      </c>
      <c r="I147">
        <v>100</v>
      </c>
      <c r="J147">
        <v>23000111</v>
      </c>
      <c r="K147">
        <f t="array" ref="K147">INDEX(无限挑战!$F$78:$F$374,MATCH(J147,无限挑战!$N$78:$N$374,0))</f>
        <v>111000</v>
      </c>
      <c r="L147" t="str">
        <f t="shared" si="6"/>
        <v>无限挑战111000</v>
      </c>
    </row>
    <row r="148" ht="16.5" customHeight="1" spans="6:12">
      <c r="F148" s="3"/>
      <c r="G148" t="str">
        <v>角色抽卡券普通</v>
      </c>
      <c r="H148">
        <f t="shared" si="5"/>
        <v>106</v>
      </c>
      <c r="I148">
        <v>1</v>
      </c>
      <c r="J148">
        <v>23000112</v>
      </c>
      <c r="K148">
        <f t="array" ref="K148">INDEX(无限挑战!$F$78:$F$374,MATCH(J148,无限挑战!$N$78:$N$374,0))</f>
        <v>112000</v>
      </c>
      <c r="L148" t="str">
        <f t="shared" si="6"/>
        <v>无限挑战112000</v>
      </c>
    </row>
    <row r="149" ht="16.5" customHeight="1" spans="6:12">
      <c r="F149" s="3"/>
      <c r="G149" t="str">
        <v>角色抽卡券普通</v>
      </c>
      <c r="H149">
        <f t="shared" si="5"/>
        <v>106</v>
      </c>
      <c r="I149">
        <v>1</v>
      </c>
      <c r="J149">
        <v>23000113</v>
      </c>
      <c r="K149">
        <f t="array" ref="K149">INDEX(无限挑战!$F$78:$F$374,MATCH(J149,无限挑战!$N$78:$N$374,0))</f>
        <v>113000</v>
      </c>
      <c r="L149" t="str">
        <f t="shared" si="6"/>
        <v>无限挑战113000</v>
      </c>
    </row>
    <row r="150" ht="16.5" customHeight="1" spans="6:12">
      <c r="F150" s="3"/>
      <c r="G150" t="str">
        <v>钻石</v>
      </c>
      <c r="H150">
        <f t="shared" si="5"/>
        <v>2</v>
      </c>
      <c r="I150">
        <v>100</v>
      </c>
      <c r="J150">
        <v>23000114</v>
      </c>
      <c r="K150">
        <f t="array" ref="K150">INDEX(无限挑战!$F$78:$F$374,MATCH(J150,无限挑战!$N$78:$N$374,0))</f>
        <v>114000</v>
      </c>
      <c r="L150" t="str">
        <f t="shared" si="6"/>
        <v>无限挑战114000</v>
      </c>
    </row>
    <row r="151" ht="16.5" customHeight="1" spans="6:12">
      <c r="F151" s="3"/>
      <c r="G151" t="str">
        <v>角色抽卡券普通</v>
      </c>
      <c r="H151">
        <f t="shared" si="5"/>
        <v>106</v>
      </c>
      <c r="I151">
        <v>1</v>
      </c>
      <c r="J151">
        <v>23000115</v>
      </c>
      <c r="K151">
        <f t="array" ref="K151">INDEX(无限挑战!$F$78:$F$374,MATCH(J151,无限挑战!$N$78:$N$374,0))</f>
        <v>115000</v>
      </c>
      <c r="L151" t="str">
        <f t="shared" si="6"/>
        <v>无限挑战115000</v>
      </c>
    </row>
    <row r="152" ht="16.5" customHeight="1" spans="6:12">
      <c r="F152" s="3"/>
      <c r="G152" t="str">
        <v>角色抽卡券普通</v>
      </c>
      <c r="H152">
        <f t="shared" si="5"/>
        <v>106</v>
      </c>
      <c r="I152">
        <v>1</v>
      </c>
      <c r="J152">
        <v>23000116</v>
      </c>
      <c r="K152">
        <f t="array" ref="K152">INDEX(无限挑战!$F$78:$F$374,MATCH(J152,无限挑战!$N$78:$N$374,0))</f>
        <v>116000</v>
      </c>
      <c r="L152" t="str">
        <f t="shared" si="6"/>
        <v>无限挑战116000</v>
      </c>
    </row>
    <row r="153" ht="16.5" customHeight="1" spans="6:12">
      <c r="F153" s="3"/>
      <c r="G153" t="str">
        <v>钻石</v>
      </c>
      <c r="H153">
        <f t="shared" si="5"/>
        <v>2</v>
      </c>
      <c r="I153">
        <v>100</v>
      </c>
      <c r="J153">
        <v>23000117</v>
      </c>
      <c r="K153">
        <f t="array" ref="K153">INDEX(无限挑战!$F$78:$F$374,MATCH(J153,无限挑战!$N$78:$N$374,0))</f>
        <v>117000</v>
      </c>
      <c r="L153" t="str">
        <f t="shared" si="6"/>
        <v>无限挑战117000</v>
      </c>
    </row>
    <row r="154" ht="16.5" customHeight="1" spans="6:12">
      <c r="F154" s="3"/>
      <c r="G154" t="str">
        <v>角色抽卡券普通</v>
      </c>
      <c r="H154">
        <f t="shared" si="5"/>
        <v>106</v>
      </c>
      <c r="I154">
        <v>1</v>
      </c>
      <c r="J154">
        <v>23000118</v>
      </c>
      <c r="K154">
        <f t="array" ref="K154">INDEX(无限挑战!$F$78:$F$374,MATCH(J154,无限挑战!$N$78:$N$374,0))</f>
        <v>118000</v>
      </c>
      <c r="L154" t="str">
        <f t="shared" si="6"/>
        <v>无限挑战118000</v>
      </c>
    </row>
    <row r="155" ht="16.5" customHeight="1" spans="6:12">
      <c r="F155" s="3"/>
      <c r="G155" t="str">
        <v>角色抽卡券普通</v>
      </c>
      <c r="H155">
        <f t="shared" si="5"/>
        <v>106</v>
      </c>
      <c r="I155">
        <v>1</v>
      </c>
      <c r="J155">
        <v>23000119</v>
      </c>
      <c r="K155">
        <f t="array" ref="K155">INDEX(无限挑战!$F$78:$F$374,MATCH(J155,无限挑战!$N$78:$N$374,0))</f>
        <v>119000</v>
      </c>
      <c r="L155" t="str">
        <f t="shared" si="6"/>
        <v>无限挑战119000</v>
      </c>
    </row>
    <row r="156" ht="16.5" customHeight="1" spans="6:12">
      <c r="F156" s="3"/>
      <c r="G156" t="str">
        <v>钻石</v>
      </c>
      <c r="H156">
        <f t="shared" si="5"/>
        <v>2</v>
      </c>
      <c r="I156">
        <v>100</v>
      </c>
      <c r="J156">
        <v>23000120</v>
      </c>
      <c r="K156">
        <f t="array" ref="K156">INDEX(无限挑战!$F$78:$F$374,MATCH(J156,无限挑战!$N$78:$N$374,0))</f>
        <v>120000</v>
      </c>
      <c r="L156" t="str">
        <f t="shared" si="6"/>
        <v>无限挑战120000</v>
      </c>
    </row>
    <row r="157" ht="16.5" customHeight="1" spans="6:12">
      <c r="F157" s="3"/>
      <c r="G157" t="str">
        <v>角色抽卡券普通</v>
      </c>
      <c r="H157">
        <f t="shared" si="5"/>
        <v>106</v>
      </c>
      <c r="I157">
        <v>1</v>
      </c>
      <c r="J157">
        <v>23000121</v>
      </c>
      <c r="K157">
        <f t="array" ref="K157">INDEX(无限挑战!$F$78:$F$374,MATCH(J157,无限挑战!$N$78:$N$374,0))</f>
        <v>121000</v>
      </c>
      <c r="L157" t="str">
        <f t="shared" si="6"/>
        <v>无限挑战121000</v>
      </c>
    </row>
    <row r="158" ht="16.5" customHeight="1" spans="6:12">
      <c r="F158" s="3"/>
      <c r="G158" t="str">
        <v>角色抽卡券普通</v>
      </c>
      <c r="H158">
        <f t="shared" si="5"/>
        <v>106</v>
      </c>
      <c r="I158">
        <v>1</v>
      </c>
      <c r="J158">
        <v>23000122</v>
      </c>
      <c r="K158">
        <f t="array" ref="K158">INDEX(无限挑战!$F$78:$F$374,MATCH(J158,无限挑战!$N$78:$N$374,0))</f>
        <v>122000</v>
      </c>
      <c r="L158" t="str">
        <f t="shared" si="6"/>
        <v>无限挑战122000</v>
      </c>
    </row>
    <row r="159" ht="16.5" customHeight="1" spans="6:12">
      <c r="F159" s="3"/>
      <c r="G159" t="str">
        <v>钻石</v>
      </c>
      <c r="H159">
        <f t="shared" si="5"/>
        <v>2</v>
      </c>
      <c r="I159">
        <v>100</v>
      </c>
      <c r="J159">
        <v>23000123</v>
      </c>
      <c r="K159">
        <f t="array" ref="K159">INDEX(无限挑战!$F$78:$F$374,MATCH(J159,无限挑战!$N$78:$N$374,0))</f>
        <v>123000</v>
      </c>
      <c r="L159" t="str">
        <f t="shared" si="6"/>
        <v>无限挑战123000</v>
      </c>
    </row>
    <row r="160" ht="16.5" customHeight="1" spans="6:12">
      <c r="F160" s="3"/>
      <c r="G160" t="str">
        <v>角色抽卡券普通</v>
      </c>
      <c r="H160">
        <f t="shared" si="5"/>
        <v>106</v>
      </c>
      <c r="I160">
        <v>1</v>
      </c>
      <c r="J160">
        <v>23000124</v>
      </c>
      <c r="K160">
        <f t="array" ref="K160">INDEX(无限挑战!$F$78:$F$374,MATCH(J160,无限挑战!$N$78:$N$374,0))</f>
        <v>124000</v>
      </c>
      <c r="L160" t="str">
        <f t="shared" si="6"/>
        <v>无限挑战124000</v>
      </c>
    </row>
    <row r="161" ht="16.5" customHeight="1" spans="6:12">
      <c r="F161" s="3"/>
      <c r="G161" t="str">
        <v>角色抽卡券普通</v>
      </c>
      <c r="H161">
        <f t="shared" si="5"/>
        <v>106</v>
      </c>
      <c r="I161">
        <v>1</v>
      </c>
      <c r="J161">
        <v>23000125</v>
      </c>
      <c r="K161">
        <f t="array" ref="K161">INDEX(无限挑战!$F$78:$F$374,MATCH(J161,无限挑战!$N$78:$N$374,0))</f>
        <v>125000</v>
      </c>
      <c r="L161" t="str">
        <f t="shared" si="6"/>
        <v>无限挑战125000</v>
      </c>
    </row>
    <row r="162" ht="16.5" customHeight="1" spans="6:12">
      <c r="F162" s="3"/>
      <c r="G162" t="str">
        <v>钻石</v>
      </c>
      <c r="H162">
        <f t="shared" si="5"/>
        <v>2</v>
      </c>
      <c r="I162">
        <v>100</v>
      </c>
      <c r="J162">
        <v>23000126</v>
      </c>
      <c r="K162">
        <f t="array" ref="K162">INDEX(无限挑战!$F$78:$F$374,MATCH(J162,无限挑战!$N$78:$N$374,0))</f>
        <v>126000</v>
      </c>
      <c r="L162" t="str">
        <f t="shared" si="6"/>
        <v>无限挑战126000</v>
      </c>
    </row>
    <row r="163" ht="16.5" customHeight="1" spans="6:12">
      <c r="F163" s="3"/>
      <c r="G163" t="str">
        <v>角色抽卡券普通</v>
      </c>
      <c r="H163">
        <f t="shared" si="5"/>
        <v>106</v>
      </c>
      <c r="I163">
        <v>1</v>
      </c>
      <c r="J163">
        <v>23000127</v>
      </c>
      <c r="K163">
        <f t="array" ref="K163">INDEX(无限挑战!$F$78:$F$374,MATCH(J163,无限挑战!$N$78:$N$374,0))</f>
        <v>127000</v>
      </c>
      <c r="L163" t="str">
        <f t="shared" si="6"/>
        <v>无限挑战127000</v>
      </c>
    </row>
    <row r="164" ht="16.5" customHeight="1" spans="6:12">
      <c r="F164" s="3"/>
      <c r="G164" t="str">
        <v>角色抽卡券普通</v>
      </c>
      <c r="H164">
        <f t="shared" si="5"/>
        <v>106</v>
      </c>
      <c r="I164">
        <v>1</v>
      </c>
      <c r="J164">
        <v>23000128</v>
      </c>
      <c r="K164">
        <f t="array" ref="K164">INDEX(无限挑战!$F$78:$F$374,MATCH(J164,无限挑战!$N$78:$N$374,0))</f>
        <v>128000</v>
      </c>
      <c r="L164" t="str">
        <f t="shared" si="6"/>
        <v>无限挑战128000</v>
      </c>
    </row>
    <row r="165" ht="16.5" customHeight="1" spans="6:12">
      <c r="F165" s="3"/>
      <c r="G165" t="str">
        <v>钻石</v>
      </c>
      <c r="H165">
        <f t="shared" si="5"/>
        <v>2</v>
      </c>
      <c r="I165">
        <v>100</v>
      </c>
      <c r="J165">
        <v>23000129</v>
      </c>
      <c r="K165">
        <f t="array" ref="K165">INDEX(无限挑战!$F$78:$F$374,MATCH(J165,无限挑战!$N$78:$N$374,0))</f>
        <v>129000</v>
      </c>
      <c r="L165" t="str">
        <f t="shared" si="6"/>
        <v>无限挑战129000</v>
      </c>
    </row>
    <row r="166" ht="16.5" customHeight="1" spans="6:12">
      <c r="F166" s="3"/>
      <c r="G166" t="str">
        <v>角色抽卡券普通</v>
      </c>
      <c r="H166">
        <f t="shared" si="5"/>
        <v>106</v>
      </c>
      <c r="I166">
        <v>1</v>
      </c>
      <c r="J166">
        <v>23000130</v>
      </c>
      <c r="K166">
        <f t="array" ref="K166">INDEX(无限挑战!$F$78:$F$374,MATCH(J166,无限挑战!$N$78:$N$374,0))</f>
        <v>130000</v>
      </c>
      <c r="L166" t="str">
        <f t="shared" si="6"/>
        <v>无限挑战130000</v>
      </c>
    </row>
    <row r="167" ht="16.5" customHeight="1" spans="6:12">
      <c r="F167" s="3"/>
      <c r="G167" t="str">
        <v>角色抽卡券普通</v>
      </c>
      <c r="H167">
        <f t="shared" si="5"/>
        <v>106</v>
      </c>
      <c r="I167">
        <v>1</v>
      </c>
      <c r="J167">
        <v>23000131</v>
      </c>
      <c r="K167">
        <f t="array" ref="K167">INDEX(无限挑战!$F$78:$F$374,MATCH(J167,无限挑战!$N$78:$N$374,0))</f>
        <v>131000</v>
      </c>
      <c r="L167" t="str">
        <f t="shared" si="6"/>
        <v>无限挑战131000</v>
      </c>
    </row>
    <row r="168" ht="16.5" customHeight="1" spans="6:12">
      <c r="F168" s="3"/>
      <c r="G168" t="str">
        <v>钻石</v>
      </c>
      <c r="H168">
        <f t="shared" si="5"/>
        <v>2</v>
      </c>
      <c r="I168">
        <v>100</v>
      </c>
      <c r="J168">
        <v>23000132</v>
      </c>
      <c r="K168">
        <f t="array" ref="K168">INDEX(无限挑战!$F$78:$F$374,MATCH(J168,无限挑战!$N$78:$N$374,0))</f>
        <v>132000</v>
      </c>
      <c r="L168" t="str">
        <f t="shared" si="6"/>
        <v>无限挑战132000</v>
      </c>
    </row>
    <row r="169" ht="16.5" customHeight="1" spans="6:12">
      <c r="F169" s="3"/>
      <c r="G169" t="str">
        <v>角色抽卡券普通</v>
      </c>
      <c r="H169">
        <f t="shared" si="5"/>
        <v>106</v>
      </c>
      <c r="I169">
        <v>1</v>
      </c>
      <c r="J169">
        <v>23000133</v>
      </c>
      <c r="K169">
        <f t="array" ref="K169">INDEX(无限挑战!$F$78:$F$374,MATCH(J169,无限挑战!$N$78:$N$374,0))</f>
        <v>133000</v>
      </c>
      <c r="L169" t="str">
        <f t="shared" si="6"/>
        <v>无限挑战133000</v>
      </c>
    </row>
    <row r="170" ht="16.5" customHeight="1" spans="6:12">
      <c r="F170" s="3"/>
      <c r="G170" t="str">
        <v>角色抽卡券普通</v>
      </c>
      <c r="H170">
        <f t="shared" si="5"/>
        <v>106</v>
      </c>
      <c r="I170">
        <v>1</v>
      </c>
      <c r="J170">
        <v>23000134</v>
      </c>
      <c r="K170">
        <f t="array" ref="K170">INDEX(无限挑战!$F$78:$F$374,MATCH(J170,无限挑战!$N$78:$N$374,0))</f>
        <v>134000</v>
      </c>
      <c r="L170" t="str">
        <f t="shared" si="6"/>
        <v>无限挑战134000</v>
      </c>
    </row>
    <row r="171" ht="16.5" customHeight="1" spans="6:12">
      <c r="F171" s="3"/>
      <c r="G171" t="str">
        <v>钻石</v>
      </c>
      <c r="H171">
        <f t="shared" si="5"/>
        <v>2</v>
      </c>
      <c r="I171">
        <v>100</v>
      </c>
      <c r="J171">
        <v>23000135</v>
      </c>
      <c r="K171">
        <f t="array" ref="K171">INDEX(无限挑战!$F$78:$F$374,MATCH(J171,无限挑战!$N$78:$N$374,0))</f>
        <v>135000</v>
      </c>
      <c r="L171" t="str">
        <f t="shared" si="6"/>
        <v>无限挑战135000</v>
      </c>
    </row>
    <row r="172" ht="16.5" customHeight="1" spans="6:12">
      <c r="F172" s="3"/>
      <c r="G172" t="str">
        <v>角色抽卡券普通</v>
      </c>
      <c r="H172">
        <f t="shared" si="5"/>
        <v>106</v>
      </c>
      <c r="I172">
        <v>1</v>
      </c>
      <c r="J172">
        <v>23000136</v>
      </c>
      <c r="K172">
        <f t="array" ref="K172">INDEX(无限挑战!$F$78:$F$374,MATCH(J172,无限挑战!$N$78:$N$374,0))</f>
        <v>136000</v>
      </c>
      <c r="L172" t="str">
        <f t="shared" si="6"/>
        <v>无限挑战136000</v>
      </c>
    </row>
    <row r="173" ht="16.5" customHeight="1" spans="6:12">
      <c r="F173" s="3"/>
      <c r="G173" t="str">
        <v>角色抽卡券普通</v>
      </c>
      <c r="H173">
        <f t="shared" si="5"/>
        <v>106</v>
      </c>
      <c r="I173">
        <v>1</v>
      </c>
      <c r="J173">
        <v>23000137</v>
      </c>
      <c r="K173">
        <f t="array" ref="K173">INDEX(无限挑战!$F$78:$F$374,MATCH(J173,无限挑战!$N$78:$N$374,0))</f>
        <v>137000</v>
      </c>
      <c r="L173" t="str">
        <f t="shared" si="6"/>
        <v>无限挑战137000</v>
      </c>
    </row>
    <row r="174" ht="16.5" customHeight="1" spans="6:12">
      <c r="F174" s="3"/>
      <c r="G174" t="str">
        <v>钻石</v>
      </c>
      <c r="H174">
        <f t="shared" si="5"/>
        <v>2</v>
      </c>
      <c r="I174">
        <v>100</v>
      </c>
      <c r="J174">
        <v>23000138</v>
      </c>
      <c r="K174">
        <f t="array" ref="K174">INDEX(无限挑战!$F$78:$F$374,MATCH(J174,无限挑战!$N$78:$N$374,0))</f>
        <v>138000</v>
      </c>
      <c r="L174" t="str">
        <f t="shared" si="6"/>
        <v>无限挑战138000</v>
      </c>
    </row>
    <row r="175" ht="16.5" customHeight="1" spans="6:12">
      <c r="F175" s="3"/>
      <c r="G175" t="str">
        <v>角色抽卡券普通</v>
      </c>
      <c r="H175">
        <f t="shared" si="5"/>
        <v>106</v>
      </c>
      <c r="I175">
        <v>1</v>
      </c>
      <c r="J175">
        <v>23000139</v>
      </c>
      <c r="K175">
        <f t="array" ref="K175">INDEX(无限挑战!$F$78:$F$374,MATCH(J175,无限挑战!$N$78:$N$374,0))</f>
        <v>139000</v>
      </c>
      <c r="L175" t="str">
        <f t="shared" si="6"/>
        <v>无限挑战139000</v>
      </c>
    </row>
    <row r="176" ht="16.5" customHeight="1" spans="6:12">
      <c r="F176" s="3"/>
      <c r="G176" t="str">
        <v>角色抽卡券普通</v>
      </c>
      <c r="H176">
        <f t="shared" si="5"/>
        <v>106</v>
      </c>
      <c r="I176">
        <v>1</v>
      </c>
      <c r="J176">
        <v>23000140</v>
      </c>
      <c r="K176">
        <f t="array" ref="K176">INDEX(无限挑战!$F$78:$F$374,MATCH(J176,无限挑战!$N$78:$N$374,0))</f>
        <v>140000</v>
      </c>
      <c r="L176" t="str">
        <f t="shared" si="6"/>
        <v>无限挑战140000</v>
      </c>
    </row>
    <row r="177" ht="16.5" customHeight="1" spans="6:12">
      <c r="F177" s="3"/>
      <c r="G177" t="str">
        <v>钻石</v>
      </c>
      <c r="H177">
        <f t="shared" si="5"/>
        <v>2</v>
      </c>
      <c r="I177">
        <v>100</v>
      </c>
      <c r="J177">
        <v>23000141</v>
      </c>
      <c r="K177">
        <f t="array" ref="K177">INDEX(无限挑战!$F$78:$F$374,MATCH(J177,无限挑战!$N$78:$N$374,0))</f>
        <v>141000</v>
      </c>
      <c r="L177" t="str">
        <f t="shared" si="6"/>
        <v>无限挑战141000</v>
      </c>
    </row>
    <row r="178" ht="16.5" customHeight="1" spans="6:12">
      <c r="F178" s="3"/>
      <c r="G178" t="str">
        <v>角色抽卡券普通</v>
      </c>
      <c r="H178">
        <f t="shared" si="5"/>
        <v>106</v>
      </c>
      <c r="I178">
        <v>1</v>
      </c>
      <c r="J178">
        <v>23000142</v>
      </c>
      <c r="K178">
        <f t="array" ref="K178">INDEX(无限挑战!$F$78:$F$374,MATCH(J178,无限挑战!$N$78:$N$374,0))</f>
        <v>142000</v>
      </c>
      <c r="L178" t="str">
        <f t="shared" si="6"/>
        <v>无限挑战142000</v>
      </c>
    </row>
    <row r="179" ht="16.5" customHeight="1" spans="6:12">
      <c r="F179" s="3"/>
      <c r="G179" t="str">
        <v>角色抽卡券普通</v>
      </c>
      <c r="H179">
        <f t="shared" si="5"/>
        <v>106</v>
      </c>
      <c r="I179">
        <v>1</v>
      </c>
      <c r="J179">
        <v>23000143</v>
      </c>
      <c r="K179">
        <f t="array" ref="K179">INDEX(无限挑战!$F$78:$F$374,MATCH(J179,无限挑战!$N$78:$N$374,0))</f>
        <v>143000</v>
      </c>
      <c r="L179" t="str">
        <f t="shared" si="6"/>
        <v>无限挑战143000</v>
      </c>
    </row>
    <row r="180" ht="16.5" customHeight="1" spans="6:12">
      <c r="F180" s="3"/>
      <c r="G180" t="str">
        <v>钻石</v>
      </c>
      <c r="H180">
        <f t="shared" si="5"/>
        <v>2</v>
      </c>
      <c r="I180">
        <v>100</v>
      </c>
      <c r="J180">
        <v>23000144</v>
      </c>
      <c r="K180">
        <f t="array" ref="K180">INDEX(无限挑战!$F$78:$F$374,MATCH(J180,无限挑战!$N$78:$N$374,0))</f>
        <v>144000</v>
      </c>
      <c r="L180" t="str">
        <f t="shared" si="6"/>
        <v>无限挑战144000</v>
      </c>
    </row>
    <row r="181" ht="16.5" customHeight="1" spans="6:12">
      <c r="F181" s="3"/>
      <c r="G181" t="str">
        <v>角色抽卡券普通</v>
      </c>
      <c r="H181">
        <f t="shared" si="5"/>
        <v>106</v>
      </c>
      <c r="I181">
        <v>1</v>
      </c>
      <c r="J181">
        <v>23000145</v>
      </c>
      <c r="K181">
        <f t="array" ref="K181">INDEX(无限挑战!$F$78:$F$374,MATCH(J181,无限挑战!$N$78:$N$374,0))</f>
        <v>145000</v>
      </c>
      <c r="L181" t="str">
        <f t="shared" si="6"/>
        <v>无限挑战145000</v>
      </c>
    </row>
    <row r="182" ht="16.5" customHeight="1" spans="6:12">
      <c r="F182" s="3"/>
      <c r="G182" t="str">
        <v>角色抽卡券普通</v>
      </c>
      <c r="H182">
        <f t="shared" si="5"/>
        <v>106</v>
      </c>
      <c r="I182">
        <v>1</v>
      </c>
      <c r="J182">
        <v>23000146</v>
      </c>
      <c r="K182">
        <f t="array" ref="K182">INDEX(无限挑战!$F$78:$F$374,MATCH(J182,无限挑战!$N$78:$N$374,0))</f>
        <v>146000</v>
      </c>
      <c r="L182" t="str">
        <f t="shared" si="6"/>
        <v>无限挑战146000</v>
      </c>
    </row>
    <row r="183" ht="16.5" customHeight="1" spans="6:12">
      <c r="F183" s="3"/>
      <c r="G183" t="str">
        <v>钻石</v>
      </c>
      <c r="H183">
        <f t="shared" si="5"/>
        <v>2</v>
      </c>
      <c r="I183">
        <v>100</v>
      </c>
      <c r="J183">
        <v>23000147</v>
      </c>
      <c r="K183">
        <f t="array" ref="K183">INDEX(无限挑战!$F$78:$F$374,MATCH(J183,无限挑战!$N$78:$N$374,0))</f>
        <v>147000</v>
      </c>
      <c r="L183" t="str">
        <f t="shared" si="6"/>
        <v>无限挑战147000</v>
      </c>
    </row>
    <row r="184" ht="16.5" customHeight="1" spans="6:12">
      <c r="F184" s="3"/>
      <c r="G184" t="str">
        <v>角色抽卡券普通</v>
      </c>
      <c r="H184">
        <f t="shared" si="5"/>
        <v>106</v>
      </c>
      <c r="I184">
        <v>1</v>
      </c>
      <c r="J184">
        <v>23000148</v>
      </c>
      <c r="K184">
        <f t="array" ref="K184">INDEX(无限挑战!$F$78:$F$374,MATCH(J184,无限挑战!$N$78:$N$374,0))</f>
        <v>148000</v>
      </c>
      <c r="L184" t="str">
        <f t="shared" si="6"/>
        <v>无限挑战148000</v>
      </c>
    </row>
    <row r="185" ht="16.5" customHeight="1" spans="6:12">
      <c r="F185" s="3"/>
      <c r="G185" t="str">
        <v>角色抽卡券普通</v>
      </c>
      <c r="H185">
        <f t="shared" si="5"/>
        <v>106</v>
      </c>
      <c r="I185">
        <v>1</v>
      </c>
      <c r="J185">
        <v>23000149</v>
      </c>
      <c r="K185">
        <f t="array" ref="K185">INDEX(无限挑战!$F$78:$F$374,MATCH(J185,无限挑战!$N$78:$N$374,0))</f>
        <v>149000</v>
      </c>
      <c r="L185" t="str">
        <f t="shared" si="6"/>
        <v>无限挑战149000</v>
      </c>
    </row>
    <row r="186" ht="16.5" customHeight="1" spans="6:12">
      <c r="F186" s="3"/>
      <c r="G186" t="str">
        <v>钻石</v>
      </c>
      <c r="H186">
        <f t="shared" si="5"/>
        <v>2</v>
      </c>
      <c r="I186">
        <v>100</v>
      </c>
      <c r="J186">
        <v>23000150</v>
      </c>
      <c r="K186">
        <f t="array" ref="K186">INDEX(无限挑战!$F$78:$F$374,MATCH(J186,无限挑战!$N$78:$N$374,0))</f>
        <v>150000</v>
      </c>
      <c r="L186" t="str">
        <f t="shared" si="6"/>
        <v>无限挑战150000</v>
      </c>
    </row>
    <row r="187" ht="16.5" customHeight="1" spans="6:12">
      <c r="F187" s="3"/>
      <c r="G187" t="str">
        <v>角色抽卡券普通</v>
      </c>
      <c r="H187">
        <f t="shared" si="5"/>
        <v>106</v>
      </c>
      <c r="I187">
        <v>1</v>
      </c>
      <c r="J187">
        <v>23000151</v>
      </c>
      <c r="K187">
        <f t="array" ref="K187">INDEX(无限挑战!$F$78:$F$374,MATCH(J187,无限挑战!$N$78:$N$374,0))</f>
        <v>151000</v>
      </c>
      <c r="L187" t="str">
        <f t="shared" si="6"/>
        <v>无限挑战151000</v>
      </c>
    </row>
    <row r="188" ht="16.5" customHeight="1" spans="6:12">
      <c r="F188" s="3"/>
      <c r="G188" t="str">
        <v>角色抽卡券普通</v>
      </c>
      <c r="H188">
        <f t="shared" si="5"/>
        <v>106</v>
      </c>
      <c r="I188">
        <v>1</v>
      </c>
      <c r="J188">
        <v>23000152</v>
      </c>
      <c r="K188">
        <f t="array" ref="K188">INDEX(无限挑战!$F$78:$F$374,MATCH(J188,无限挑战!$N$78:$N$374,0))</f>
        <v>152000</v>
      </c>
      <c r="L188" t="str">
        <f t="shared" si="6"/>
        <v>无限挑战152000</v>
      </c>
    </row>
    <row r="189" ht="16.5" customHeight="1" spans="6:12">
      <c r="F189" s="3"/>
      <c r="G189" t="str">
        <v>钻石</v>
      </c>
      <c r="H189">
        <f t="shared" si="5"/>
        <v>2</v>
      </c>
      <c r="I189">
        <v>100</v>
      </c>
      <c r="J189">
        <v>23000153</v>
      </c>
      <c r="K189">
        <f t="array" ref="K189">INDEX(无限挑战!$F$78:$F$374,MATCH(J189,无限挑战!$N$78:$N$374,0))</f>
        <v>153000</v>
      </c>
      <c r="L189" t="str">
        <f t="shared" si="6"/>
        <v>无限挑战153000</v>
      </c>
    </row>
    <row r="190" ht="16.5" customHeight="1" spans="6:12">
      <c r="F190" s="3"/>
      <c r="G190" t="str">
        <v>角色抽卡券普通</v>
      </c>
      <c r="H190">
        <f t="shared" si="5"/>
        <v>106</v>
      </c>
      <c r="I190">
        <v>1</v>
      </c>
      <c r="J190">
        <v>23000154</v>
      </c>
      <c r="K190">
        <f t="array" ref="K190">INDEX(无限挑战!$F$78:$F$374,MATCH(J190,无限挑战!$N$78:$N$374,0))</f>
        <v>154000</v>
      </c>
      <c r="L190" t="str">
        <f t="shared" si="6"/>
        <v>无限挑战154000</v>
      </c>
    </row>
    <row r="191" ht="16.5" customHeight="1" spans="6:12">
      <c r="F191" s="3"/>
      <c r="G191" t="str">
        <v>角色抽卡券普通</v>
      </c>
      <c r="H191">
        <f t="shared" si="5"/>
        <v>106</v>
      </c>
      <c r="I191">
        <v>1</v>
      </c>
      <c r="J191">
        <v>23000155</v>
      </c>
      <c r="K191">
        <f t="array" ref="K191">INDEX(无限挑战!$F$78:$F$374,MATCH(J191,无限挑战!$N$78:$N$374,0))</f>
        <v>155000</v>
      </c>
      <c r="L191" t="str">
        <f t="shared" si="6"/>
        <v>无限挑战155000</v>
      </c>
    </row>
    <row r="192" ht="16.5" customHeight="1" spans="6:12">
      <c r="F192" s="3"/>
      <c r="G192" t="str">
        <v>钻石</v>
      </c>
      <c r="H192">
        <f t="shared" si="5"/>
        <v>2</v>
      </c>
      <c r="I192">
        <v>100</v>
      </c>
      <c r="J192">
        <v>23000156</v>
      </c>
      <c r="K192">
        <f t="array" ref="K192">INDEX(无限挑战!$F$78:$F$374,MATCH(J192,无限挑战!$N$78:$N$374,0))</f>
        <v>156000</v>
      </c>
      <c r="L192" t="str">
        <f t="shared" si="6"/>
        <v>无限挑战156000</v>
      </c>
    </row>
    <row r="193" ht="16.5" customHeight="1" spans="6:12">
      <c r="F193" s="3"/>
      <c r="G193" t="str">
        <v>角色抽卡券普通</v>
      </c>
      <c r="H193">
        <f t="shared" si="5"/>
        <v>106</v>
      </c>
      <c r="I193">
        <v>1</v>
      </c>
      <c r="J193">
        <v>23000157</v>
      </c>
      <c r="K193">
        <f t="array" ref="K193">INDEX(无限挑战!$F$78:$F$374,MATCH(J193,无限挑战!$N$78:$N$374,0))</f>
        <v>157000</v>
      </c>
      <c r="L193" t="str">
        <f t="shared" si="6"/>
        <v>无限挑战157000</v>
      </c>
    </row>
    <row r="194" ht="16.5" customHeight="1" spans="6:12">
      <c r="F194" s="3"/>
      <c r="G194" t="str">
        <v>角色抽卡券普通</v>
      </c>
      <c r="H194">
        <f t="shared" si="5"/>
        <v>106</v>
      </c>
      <c r="I194">
        <v>1</v>
      </c>
      <c r="J194">
        <v>23000158</v>
      </c>
      <c r="K194">
        <f t="array" ref="K194">INDEX(无限挑战!$F$78:$F$374,MATCH(J194,无限挑战!$N$78:$N$374,0))</f>
        <v>158000</v>
      </c>
      <c r="L194" t="str">
        <f t="shared" si="6"/>
        <v>无限挑战158000</v>
      </c>
    </row>
    <row r="195" ht="16.5" customHeight="1" spans="6:12">
      <c r="F195" s="3"/>
      <c r="G195" t="str">
        <v>钻石</v>
      </c>
      <c r="H195">
        <f t="shared" si="5"/>
        <v>2</v>
      </c>
      <c r="I195">
        <v>100</v>
      </c>
      <c r="J195">
        <v>23000159</v>
      </c>
      <c r="K195">
        <f t="array" ref="K195">INDEX(无限挑战!$F$78:$F$374,MATCH(J195,无限挑战!$N$78:$N$374,0))</f>
        <v>159000</v>
      </c>
      <c r="L195" t="str">
        <f t="shared" si="6"/>
        <v>无限挑战159000</v>
      </c>
    </row>
    <row r="196" ht="16.5" customHeight="1" spans="6:12">
      <c r="F196" s="3"/>
      <c r="G196" t="str">
        <v>角色抽卡券普通</v>
      </c>
      <c r="H196">
        <f t="shared" ref="H196:H259" si="7">VLOOKUP(G196,$B:$C,2,0)</f>
        <v>106</v>
      </c>
      <c r="I196">
        <v>1</v>
      </c>
      <c r="J196">
        <v>23000160</v>
      </c>
      <c r="K196">
        <f t="array" ref="K196">INDEX(无限挑战!$F$78:$F$374,MATCH(J196,无限挑战!$N$78:$N$374,0))</f>
        <v>160000</v>
      </c>
      <c r="L196" t="str">
        <f t="shared" ref="L196:L259" si="8">_xlfn.CONCAT("无限挑战",K196)</f>
        <v>无限挑战160000</v>
      </c>
    </row>
    <row r="197" ht="16.5" customHeight="1" spans="6:12">
      <c r="F197" s="3"/>
      <c r="G197" t="str">
        <v>角色抽卡券普通</v>
      </c>
      <c r="H197">
        <f t="shared" si="7"/>
        <v>106</v>
      </c>
      <c r="I197">
        <v>1</v>
      </c>
      <c r="J197">
        <v>23000161</v>
      </c>
      <c r="K197">
        <f t="array" ref="K197">INDEX(无限挑战!$F$78:$F$374,MATCH(J197,无限挑战!$N$78:$N$374,0))</f>
        <v>161000</v>
      </c>
      <c r="L197" t="str">
        <f t="shared" si="8"/>
        <v>无限挑战161000</v>
      </c>
    </row>
    <row r="198" ht="16.5" customHeight="1" spans="6:12">
      <c r="F198" s="3"/>
      <c r="G198" t="str">
        <v>钻石</v>
      </c>
      <c r="H198">
        <f t="shared" si="7"/>
        <v>2</v>
      </c>
      <c r="I198">
        <v>100</v>
      </c>
      <c r="J198">
        <v>23000162</v>
      </c>
      <c r="K198">
        <f t="array" ref="K198">INDEX(无限挑战!$F$78:$F$374,MATCH(J198,无限挑战!$N$78:$N$374,0))</f>
        <v>162000</v>
      </c>
      <c r="L198" t="str">
        <f t="shared" si="8"/>
        <v>无限挑战162000</v>
      </c>
    </row>
    <row r="199" ht="16.5" customHeight="1" spans="6:12">
      <c r="F199" s="3"/>
      <c r="G199" t="str">
        <v>角色抽卡券普通</v>
      </c>
      <c r="H199">
        <f t="shared" si="7"/>
        <v>106</v>
      </c>
      <c r="I199">
        <v>1</v>
      </c>
      <c r="J199">
        <v>23000163</v>
      </c>
      <c r="K199">
        <f t="array" ref="K199">INDEX(无限挑战!$F$78:$F$374,MATCH(J199,无限挑战!$N$78:$N$374,0))</f>
        <v>163000</v>
      </c>
      <c r="L199" t="str">
        <f t="shared" si="8"/>
        <v>无限挑战163000</v>
      </c>
    </row>
    <row r="200" ht="16.5" customHeight="1" spans="6:12">
      <c r="F200" s="3"/>
      <c r="G200" t="str">
        <v>角色抽卡券普通</v>
      </c>
      <c r="H200">
        <f t="shared" si="7"/>
        <v>106</v>
      </c>
      <c r="I200">
        <v>1</v>
      </c>
      <c r="J200">
        <v>23000164</v>
      </c>
      <c r="K200">
        <f t="array" ref="K200">INDEX(无限挑战!$F$78:$F$374,MATCH(J200,无限挑战!$N$78:$N$374,0))</f>
        <v>164000</v>
      </c>
      <c r="L200" t="str">
        <f t="shared" si="8"/>
        <v>无限挑战164000</v>
      </c>
    </row>
    <row r="201" ht="16.5" customHeight="1" spans="6:12">
      <c r="F201" s="3"/>
      <c r="G201" t="str">
        <v>钻石</v>
      </c>
      <c r="H201">
        <f t="shared" si="7"/>
        <v>2</v>
      </c>
      <c r="I201">
        <v>100</v>
      </c>
      <c r="J201">
        <v>23000165</v>
      </c>
      <c r="K201">
        <f t="array" ref="K201">INDEX(无限挑战!$F$78:$F$374,MATCH(J201,无限挑战!$N$78:$N$374,0))</f>
        <v>165000</v>
      </c>
      <c r="L201" t="str">
        <f t="shared" si="8"/>
        <v>无限挑战165000</v>
      </c>
    </row>
    <row r="202" ht="16.5" customHeight="1" spans="6:12">
      <c r="F202" s="3"/>
      <c r="G202" t="str">
        <v>角色抽卡券普通</v>
      </c>
      <c r="H202">
        <f t="shared" si="7"/>
        <v>106</v>
      </c>
      <c r="I202">
        <v>1</v>
      </c>
      <c r="J202">
        <v>23000166</v>
      </c>
      <c r="K202">
        <f t="array" ref="K202">INDEX(无限挑战!$F$78:$F$374,MATCH(J202,无限挑战!$N$78:$N$374,0))</f>
        <v>166000</v>
      </c>
      <c r="L202" t="str">
        <f t="shared" si="8"/>
        <v>无限挑战166000</v>
      </c>
    </row>
    <row r="203" ht="16.5" customHeight="1" spans="6:12">
      <c r="F203" s="3"/>
      <c r="G203" t="str">
        <v>角色抽卡券普通</v>
      </c>
      <c r="H203">
        <f t="shared" si="7"/>
        <v>106</v>
      </c>
      <c r="I203">
        <v>1</v>
      </c>
      <c r="J203">
        <v>23000167</v>
      </c>
      <c r="K203">
        <f t="array" ref="K203">INDEX(无限挑战!$F$78:$F$374,MATCH(J203,无限挑战!$N$78:$N$374,0))</f>
        <v>167000</v>
      </c>
      <c r="L203" t="str">
        <f t="shared" si="8"/>
        <v>无限挑战167000</v>
      </c>
    </row>
    <row r="204" ht="16.5" customHeight="1" spans="6:12">
      <c r="F204" s="3"/>
      <c r="G204" t="str">
        <v>钻石</v>
      </c>
      <c r="H204">
        <f t="shared" si="7"/>
        <v>2</v>
      </c>
      <c r="I204">
        <v>100</v>
      </c>
      <c r="J204">
        <v>23000168</v>
      </c>
      <c r="K204">
        <f t="array" ref="K204">INDEX(无限挑战!$F$78:$F$374,MATCH(J204,无限挑战!$N$78:$N$374,0))</f>
        <v>168000</v>
      </c>
      <c r="L204" t="str">
        <f t="shared" si="8"/>
        <v>无限挑战168000</v>
      </c>
    </row>
    <row r="205" ht="16.5" customHeight="1" spans="6:12">
      <c r="F205" s="3"/>
      <c r="G205" t="str">
        <v>角色抽卡券普通</v>
      </c>
      <c r="H205">
        <f t="shared" si="7"/>
        <v>106</v>
      </c>
      <c r="I205">
        <v>1</v>
      </c>
      <c r="J205">
        <v>23000169</v>
      </c>
      <c r="K205">
        <f t="array" ref="K205">INDEX(无限挑战!$F$78:$F$374,MATCH(J205,无限挑战!$N$78:$N$374,0))</f>
        <v>169000</v>
      </c>
      <c r="L205" t="str">
        <f t="shared" si="8"/>
        <v>无限挑战169000</v>
      </c>
    </row>
    <row r="206" ht="16.5" customHeight="1" spans="6:12">
      <c r="F206" s="3"/>
      <c r="G206" t="str">
        <v>角色抽卡券普通</v>
      </c>
      <c r="H206">
        <f t="shared" si="7"/>
        <v>106</v>
      </c>
      <c r="I206">
        <v>1</v>
      </c>
      <c r="J206">
        <v>23000170</v>
      </c>
      <c r="K206">
        <f t="array" ref="K206">INDEX(无限挑战!$F$78:$F$374,MATCH(J206,无限挑战!$N$78:$N$374,0))</f>
        <v>170000</v>
      </c>
      <c r="L206" t="str">
        <f t="shared" si="8"/>
        <v>无限挑战170000</v>
      </c>
    </row>
    <row r="207" ht="16.5" customHeight="1" spans="6:12">
      <c r="F207" s="3"/>
      <c r="G207" t="str">
        <v>钻石</v>
      </c>
      <c r="H207">
        <f t="shared" si="7"/>
        <v>2</v>
      </c>
      <c r="I207">
        <v>100</v>
      </c>
      <c r="J207">
        <v>23000171</v>
      </c>
      <c r="K207">
        <f t="array" ref="K207">INDEX(无限挑战!$F$78:$F$374,MATCH(J207,无限挑战!$N$78:$N$374,0))</f>
        <v>171000</v>
      </c>
      <c r="L207" t="str">
        <f t="shared" si="8"/>
        <v>无限挑战171000</v>
      </c>
    </row>
    <row r="208" ht="16.5" customHeight="1" spans="6:12">
      <c r="F208" s="3"/>
      <c r="G208" t="str">
        <v>角色抽卡券普通</v>
      </c>
      <c r="H208">
        <f t="shared" si="7"/>
        <v>106</v>
      </c>
      <c r="I208">
        <v>1</v>
      </c>
      <c r="J208">
        <v>23000172</v>
      </c>
      <c r="K208">
        <f t="array" ref="K208">INDEX(无限挑战!$F$78:$F$374,MATCH(J208,无限挑战!$N$78:$N$374,0))</f>
        <v>172000</v>
      </c>
      <c r="L208" t="str">
        <f t="shared" si="8"/>
        <v>无限挑战172000</v>
      </c>
    </row>
    <row r="209" ht="16.5" customHeight="1" spans="6:12">
      <c r="F209" s="3"/>
      <c r="G209" t="str">
        <v>角色抽卡券普通</v>
      </c>
      <c r="H209">
        <f t="shared" si="7"/>
        <v>106</v>
      </c>
      <c r="I209">
        <v>1</v>
      </c>
      <c r="J209">
        <v>23000173</v>
      </c>
      <c r="K209">
        <f t="array" ref="K209">INDEX(无限挑战!$F$78:$F$374,MATCH(J209,无限挑战!$N$78:$N$374,0))</f>
        <v>173000</v>
      </c>
      <c r="L209" t="str">
        <f t="shared" si="8"/>
        <v>无限挑战173000</v>
      </c>
    </row>
    <row r="210" ht="16.5" customHeight="1" spans="6:12">
      <c r="F210" s="3"/>
      <c r="G210" t="str">
        <v>钻石</v>
      </c>
      <c r="H210">
        <f t="shared" si="7"/>
        <v>2</v>
      </c>
      <c r="I210">
        <v>100</v>
      </c>
      <c r="J210">
        <v>23000174</v>
      </c>
      <c r="K210">
        <f t="array" ref="K210">INDEX(无限挑战!$F$78:$F$374,MATCH(J210,无限挑战!$N$78:$N$374,0))</f>
        <v>174000</v>
      </c>
      <c r="L210" t="str">
        <f t="shared" si="8"/>
        <v>无限挑战174000</v>
      </c>
    </row>
    <row r="211" ht="16.5" customHeight="1" spans="6:12">
      <c r="F211" s="3"/>
      <c r="G211" t="str">
        <v>角色抽卡券普通</v>
      </c>
      <c r="H211">
        <f t="shared" si="7"/>
        <v>106</v>
      </c>
      <c r="I211">
        <v>1</v>
      </c>
      <c r="J211">
        <v>23000175</v>
      </c>
      <c r="K211">
        <f t="array" ref="K211">INDEX(无限挑战!$F$78:$F$374,MATCH(J211,无限挑战!$N$78:$N$374,0))</f>
        <v>175000</v>
      </c>
      <c r="L211" t="str">
        <f t="shared" si="8"/>
        <v>无限挑战175000</v>
      </c>
    </row>
    <row r="212" ht="16.5" customHeight="1" spans="6:12">
      <c r="F212" s="3"/>
      <c r="G212" t="str">
        <v>角色抽卡券普通</v>
      </c>
      <c r="H212">
        <f t="shared" si="7"/>
        <v>106</v>
      </c>
      <c r="I212">
        <v>1</v>
      </c>
      <c r="J212">
        <v>23000176</v>
      </c>
      <c r="K212">
        <f t="array" ref="K212">INDEX(无限挑战!$F$78:$F$374,MATCH(J212,无限挑战!$N$78:$N$374,0))</f>
        <v>176000</v>
      </c>
      <c r="L212" t="str">
        <f t="shared" si="8"/>
        <v>无限挑战176000</v>
      </c>
    </row>
    <row r="213" ht="16.5" customHeight="1" spans="6:12">
      <c r="F213" s="3"/>
      <c r="G213" t="str">
        <v>钻石</v>
      </c>
      <c r="H213">
        <f t="shared" si="7"/>
        <v>2</v>
      </c>
      <c r="I213">
        <v>100</v>
      </c>
      <c r="J213">
        <v>23000177</v>
      </c>
      <c r="K213">
        <f t="array" ref="K213">INDEX(无限挑战!$F$78:$F$374,MATCH(J213,无限挑战!$N$78:$N$374,0))</f>
        <v>177000</v>
      </c>
      <c r="L213" t="str">
        <f t="shared" si="8"/>
        <v>无限挑战177000</v>
      </c>
    </row>
    <row r="214" ht="16.5" customHeight="1" spans="6:12">
      <c r="F214" s="3"/>
      <c r="G214" t="str">
        <v>角色抽卡券普通</v>
      </c>
      <c r="H214">
        <f t="shared" si="7"/>
        <v>106</v>
      </c>
      <c r="I214">
        <v>1</v>
      </c>
      <c r="J214">
        <v>23000178</v>
      </c>
      <c r="K214">
        <f t="array" ref="K214">INDEX(无限挑战!$F$78:$F$374,MATCH(J214,无限挑战!$N$78:$N$374,0))</f>
        <v>178000</v>
      </c>
      <c r="L214" t="str">
        <f t="shared" si="8"/>
        <v>无限挑战178000</v>
      </c>
    </row>
    <row r="215" ht="16.5" customHeight="1" spans="6:12">
      <c r="F215" s="3"/>
      <c r="G215" t="str">
        <v>角色抽卡券普通</v>
      </c>
      <c r="H215">
        <f t="shared" si="7"/>
        <v>106</v>
      </c>
      <c r="I215">
        <v>1</v>
      </c>
      <c r="J215">
        <v>23000179</v>
      </c>
      <c r="K215">
        <f t="array" ref="K215">INDEX(无限挑战!$F$78:$F$374,MATCH(J215,无限挑战!$N$78:$N$374,0))</f>
        <v>179000</v>
      </c>
      <c r="L215" t="str">
        <f t="shared" si="8"/>
        <v>无限挑战179000</v>
      </c>
    </row>
    <row r="216" ht="16.5" customHeight="1" spans="6:12">
      <c r="F216" s="3"/>
      <c r="G216" t="str">
        <v>钻石</v>
      </c>
      <c r="H216">
        <f t="shared" si="7"/>
        <v>2</v>
      </c>
      <c r="I216">
        <v>100</v>
      </c>
      <c r="J216">
        <v>23000180</v>
      </c>
      <c r="K216">
        <f t="array" ref="K216">INDEX(无限挑战!$F$78:$F$374,MATCH(J216,无限挑战!$N$78:$N$374,0))</f>
        <v>180000</v>
      </c>
      <c r="L216" t="str">
        <f t="shared" si="8"/>
        <v>无限挑战180000</v>
      </c>
    </row>
    <row r="217" ht="16.5" customHeight="1" spans="6:12">
      <c r="F217" s="3"/>
      <c r="G217" t="str">
        <v>角色抽卡券普通</v>
      </c>
      <c r="H217">
        <f t="shared" si="7"/>
        <v>106</v>
      </c>
      <c r="I217">
        <v>1</v>
      </c>
      <c r="J217">
        <v>23000181</v>
      </c>
      <c r="K217">
        <f t="array" ref="K217">INDEX(无限挑战!$F$78:$F$374,MATCH(J217,无限挑战!$N$78:$N$374,0))</f>
        <v>181000</v>
      </c>
      <c r="L217" t="str">
        <f t="shared" si="8"/>
        <v>无限挑战181000</v>
      </c>
    </row>
    <row r="218" ht="16.5" customHeight="1" spans="6:12">
      <c r="F218" s="3"/>
      <c r="G218" t="str">
        <v>角色抽卡券普通</v>
      </c>
      <c r="H218">
        <f t="shared" si="7"/>
        <v>106</v>
      </c>
      <c r="I218">
        <v>1</v>
      </c>
      <c r="J218">
        <v>23000182</v>
      </c>
      <c r="K218">
        <f t="array" ref="K218">INDEX(无限挑战!$F$78:$F$374,MATCH(J218,无限挑战!$N$78:$N$374,0))</f>
        <v>182000</v>
      </c>
      <c r="L218" t="str">
        <f t="shared" si="8"/>
        <v>无限挑战182000</v>
      </c>
    </row>
    <row r="219" ht="16.5" customHeight="1" spans="6:12">
      <c r="F219" s="3"/>
      <c r="G219" t="str">
        <v>钻石</v>
      </c>
      <c r="H219">
        <f t="shared" si="7"/>
        <v>2</v>
      </c>
      <c r="I219">
        <v>100</v>
      </c>
      <c r="J219">
        <v>23000183</v>
      </c>
      <c r="K219">
        <f t="array" ref="K219">INDEX(无限挑战!$F$78:$F$374,MATCH(J219,无限挑战!$N$78:$N$374,0))</f>
        <v>183000</v>
      </c>
      <c r="L219" t="str">
        <f t="shared" si="8"/>
        <v>无限挑战183000</v>
      </c>
    </row>
    <row r="220" ht="16.5" customHeight="1" spans="6:12">
      <c r="F220" s="3"/>
      <c r="G220" t="str">
        <v>角色抽卡券普通</v>
      </c>
      <c r="H220">
        <f t="shared" si="7"/>
        <v>106</v>
      </c>
      <c r="I220">
        <v>1</v>
      </c>
      <c r="J220">
        <v>23000184</v>
      </c>
      <c r="K220">
        <f t="array" ref="K220">INDEX(无限挑战!$F$78:$F$374,MATCH(J220,无限挑战!$N$78:$N$374,0))</f>
        <v>184000</v>
      </c>
      <c r="L220" t="str">
        <f t="shared" si="8"/>
        <v>无限挑战184000</v>
      </c>
    </row>
    <row r="221" ht="16.5" customHeight="1" spans="6:12">
      <c r="F221" s="3"/>
      <c r="G221" t="str">
        <v>角色抽卡券普通</v>
      </c>
      <c r="H221">
        <f t="shared" si="7"/>
        <v>106</v>
      </c>
      <c r="I221">
        <v>1</v>
      </c>
      <c r="J221">
        <v>23000185</v>
      </c>
      <c r="K221">
        <f t="array" ref="K221">INDEX(无限挑战!$F$78:$F$374,MATCH(J221,无限挑战!$N$78:$N$374,0))</f>
        <v>185000</v>
      </c>
      <c r="L221" t="str">
        <f t="shared" si="8"/>
        <v>无限挑战185000</v>
      </c>
    </row>
    <row r="222" ht="16.5" customHeight="1" spans="6:12">
      <c r="F222" s="3"/>
      <c r="G222" t="str">
        <v>钻石</v>
      </c>
      <c r="H222">
        <f t="shared" si="7"/>
        <v>2</v>
      </c>
      <c r="I222">
        <v>100</v>
      </c>
      <c r="J222">
        <v>23000186</v>
      </c>
      <c r="K222">
        <f t="array" ref="K222">INDEX(无限挑战!$F$78:$F$374,MATCH(J222,无限挑战!$N$78:$N$374,0))</f>
        <v>186000</v>
      </c>
      <c r="L222" t="str">
        <f t="shared" si="8"/>
        <v>无限挑战186000</v>
      </c>
    </row>
    <row r="223" ht="16.5" customHeight="1" spans="6:12">
      <c r="F223" s="3"/>
      <c r="G223" t="str">
        <v>角色抽卡券普通</v>
      </c>
      <c r="H223">
        <f t="shared" si="7"/>
        <v>106</v>
      </c>
      <c r="I223">
        <v>1</v>
      </c>
      <c r="J223">
        <v>23000187</v>
      </c>
      <c r="K223">
        <f t="array" ref="K223">INDEX(无限挑战!$F$78:$F$374,MATCH(J223,无限挑战!$N$78:$N$374,0))</f>
        <v>187000</v>
      </c>
      <c r="L223" t="str">
        <f t="shared" si="8"/>
        <v>无限挑战187000</v>
      </c>
    </row>
    <row r="224" ht="16.5" customHeight="1" spans="6:12">
      <c r="F224" s="3"/>
      <c r="G224" t="str">
        <v>角色抽卡券普通</v>
      </c>
      <c r="H224">
        <f t="shared" si="7"/>
        <v>106</v>
      </c>
      <c r="I224">
        <v>1</v>
      </c>
      <c r="J224">
        <v>23000188</v>
      </c>
      <c r="K224">
        <f t="array" ref="K224">INDEX(无限挑战!$F$78:$F$374,MATCH(J224,无限挑战!$N$78:$N$374,0))</f>
        <v>188000</v>
      </c>
      <c r="L224" t="str">
        <f t="shared" si="8"/>
        <v>无限挑战188000</v>
      </c>
    </row>
    <row r="225" ht="16.5" customHeight="1" spans="6:12">
      <c r="F225" s="3"/>
      <c r="G225" t="str">
        <v>钻石</v>
      </c>
      <c r="H225">
        <f t="shared" si="7"/>
        <v>2</v>
      </c>
      <c r="I225">
        <v>100</v>
      </c>
      <c r="J225">
        <v>23000189</v>
      </c>
      <c r="K225">
        <f t="array" ref="K225">INDEX(无限挑战!$F$78:$F$374,MATCH(J225,无限挑战!$N$78:$N$374,0))</f>
        <v>189000</v>
      </c>
      <c r="L225" t="str">
        <f t="shared" si="8"/>
        <v>无限挑战189000</v>
      </c>
    </row>
    <row r="226" ht="16.5" customHeight="1" spans="6:12">
      <c r="F226" s="3"/>
      <c r="G226" t="str">
        <v>角色抽卡券普通</v>
      </c>
      <c r="H226">
        <f t="shared" si="7"/>
        <v>106</v>
      </c>
      <c r="I226">
        <v>1</v>
      </c>
      <c r="J226">
        <v>23000190</v>
      </c>
      <c r="K226">
        <f t="array" ref="K226">INDEX(无限挑战!$F$78:$F$374,MATCH(J226,无限挑战!$N$78:$N$374,0))</f>
        <v>190000</v>
      </c>
      <c r="L226" t="str">
        <f t="shared" si="8"/>
        <v>无限挑战190000</v>
      </c>
    </row>
    <row r="227" ht="16.5" customHeight="1" spans="6:12">
      <c r="F227" s="3"/>
      <c r="G227" t="str">
        <v>角色抽卡券普通</v>
      </c>
      <c r="H227">
        <f t="shared" si="7"/>
        <v>106</v>
      </c>
      <c r="I227">
        <v>1</v>
      </c>
      <c r="J227">
        <v>23000191</v>
      </c>
      <c r="K227">
        <f t="array" ref="K227">INDEX(无限挑战!$F$78:$F$374,MATCH(J227,无限挑战!$N$78:$N$374,0))</f>
        <v>191000</v>
      </c>
      <c r="L227" t="str">
        <f t="shared" si="8"/>
        <v>无限挑战191000</v>
      </c>
    </row>
    <row r="228" ht="16.5" customHeight="1" spans="6:12">
      <c r="F228" s="3"/>
      <c r="G228" t="str">
        <v>钻石</v>
      </c>
      <c r="H228">
        <f t="shared" si="7"/>
        <v>2</v>
      </c>
      <c r="I228">
        <v>100</v>
      </c>
      <c r="J228">
        <v>23000192</v>
      </c>
      <c r="K228">
        <f t="array" ref="K228">INDEX(无限挑战!$F$78:$F$374,MATCH(J228,无限挑战!$N$78:$N$374,0))</f>
        <v>192000</v>
      </c>
      <c r="L228" t="str">
        <f t="shared" si="8"/>
        <v>无限挑战192000</v>
      </c>
    </row>
    <row r="229" ht="16.5" customHeight="1" spans="6:12">
      <c r="F229" s="3"/>
      <c r="G229" t="str">
        <v>角色抽卡券普通</v>
      </c>
      <c r="H229">
        <f t="shared" si="7"/>
        <v>106</v>
      </c>
      <c r="I229">
        <v>1</v>
      </c>
      <c r="J229">
        <v>23000193</v>
      </c>
      <c r="K229">
        <f t="array" ref="K229">INDEX(无限挑战!$F$78:$F$374,MATCH(J229,无限挑战!$N$78:$N$374,0))</f>
        <v>193000</v>
      </c>
      <c r="L229" t="str">
        <f t="shared" si="8"/>
        <v>无限挑战193000</v>
      </c>
    </row>
    <row r="230" ht="16.5" customHeight="1" spans="6:12">
      <c r="F230" s="3"/>
      <c r="G230" t="str">
        <v>角色抽卡券普通</v>
      </c>
      <c r="H230">
        <f t="shared" si="7"/>
        <v>106</v>
      </c>
      <c r="I230">
        <v>1</v>
      </c>
      <c r="J230">
        <v>23000194</v>
      </c>
      <c r="K230">
        <f t="array" ref="K230">INDEX(无限挑战!$F$78:$F$374,MATCH(J230,无限挑战!$N$78:$N$374,0))</f>
        <v>194000</v>
      </c>
      <c r="L230" t="str">
        <f t="shared" si="8"/>
        <v>无限挑战194000</v>
      </c>
    </row>
    <row r="231" ht="16.5" customHeight="1" spans="6:12">
      <c r="F231" s="3"/>
      <c r="G231" t="str">
        <v>钻石</v>
      </c>
      <c r="H231">
        <f t="shared" si="7"/>
        <v>2</v>
      </c>
      <c r="I231">
        <v>100</v>
      </c>
      <c r="J231">
        <v>23000195</v>
      </c>
      <c r="K231">
        <f t="array" ref="K231">INDEX(无限挑战!$F$78:$F$374,MATCH(J231,无限挑战!$N$78:$N$374,0))</f>
        <v>195000</v>
      </c>
      <c r="L231" t="str">
        <f t="shared" si="8"/>
        <v>无限挑战195000</v>
      </c>
    </row>
    <row r="232" ht="16.5" customHeight="1" spans="6:12">
      <c r="F232" s="3"/>
      <c r="G232" t="str">
        <v>角色抽卡券普通</v>
      </c>
      <c r="H232">
        <f t="shared" si="7"/>
        <v>106</v>
      </c>
      <c r="I232">
        <v>1</v>
      </c>
      <c r="J232">
        <v>23000196</v>
      </c>
      <c r="K232">
        <f t="array" ref="K232">INDEX(无限挑战!$F$78:$F$374,MATCH(J232,无限挑战!$N$78:$N$374,0))</f>
        <v>196000</v>
      </c>
      <c r="L232" t="str">
        <f t="shared" si="8"/>
        <v>无限挑战196000</v>
      </c>
    </row>
    <row r="233" ht="16.5" customHeight="1" spans="6:12">
      <c r="F233" s="3"/>
      <c r="G233" t="str">
        <v>角色抽卡券普通</v>
      </c>
      <c r="H233">
        <f t="shared" si="7"/>
        <v>106</v>
      </c>
      <c r="I233">
        <v>1</v>
      </c>
      <c r="J233">
        <v>23000197</v>
      </c>
      <c r="K233">
        <f t="array" ref="K233">INDEX(无限挑战!$F$78:$F$374,MATCH(J233,无限挑战!$N$78:$N$374,0))</f>
        <v>197000</v>
      </c>
      <c r="L233" t="str">
        <f t="shared" si="8"/>
        <v>无限挑战197000</v>
      </c>
    </row>
    <row r="234" ht="16.5" customHeight="1" spans="6:12">
      <c r="F234" s="3"/>
      <c r="G234" t="str">
        <v>钻石</v>
      </c>
      <c r="H234">
        <f t="shared" si="7"/>
        <v>2</v>
      </c>
      <c r="I234">
        <v>100</v>
      </c>
      <c r="J234">
        <v>23000198</v>
      </c>
      <c r="K234">
        <f t="array" ref="K234">INDEX(无限挑战!$F$78:$F$374,MATCH(J234,无限挑战!$N$78:$N$374,0))</f>
        <v>198000</v>
      </c>
      <c r="L234" t="str">
        <f t="shared" si="8"/>
        <v>无限挑战198000</v>
      </c>
    </row>
    <row r="235" ht="16.5" customHeight="1" spans="6:12">
      <c r="F235" s="3"/>
      <c r="G235" t="str">
        <v>角色抽卡券普通</v>
      </c>
      <c r="H235">
        <f t="shared" si="7"/>
        <v>106</v>
      </c>
      <c r="I235">
        <v>1</v>
      </c>
      <c r="J235">
        <v>23000199</v>
      </c>
      <c r="K235">
        <f t="array" ref="K235">INDEX(无限挑战!$F$78:$F$374,MATCH(J235,无限挑战!$N$78:$N$374,0))</f>
        <v>199000</v>
      </c>
      <c r="L235" t="str">
        <f t="shared" si="8"/>
        <v>无限挑战199000</v>
      </c>
    </row>
    <row r="236" ht="16.5" customHeight="1" spans="6:12">
      <c r="F236" s="3"/>
      <c r="G236" t="str">
        <v>角色抽卡券普通</v>
      </c>
      <c r="H236">
        <f t="shared" si="7"/>
        <v>106</v>
      </c>
      <c r="I236">
        <v>1</v>
      </c>
      <c r="J236">
        <v>23000200</v>
      </c>
      <c r="K236">
        <f t="array" ref="K236">INDEX(无限挑战!$F$78:$F$374,MATCH(J236,无限挑战!$N$78:$N$374,0))</f>
        <v>200000</v>
      </c>
      <c r="L236" t="str">
        <f t="shared" si="8"/>
        <v>无限挑战200000</v>
      </c>
    </row>
    <row r="237" ht="16.5" customHeight="1" spans="6:12">
      <c r="F237" s="3"/>
      <c r="G237" t="str">
        <v>钻石</v>
      </c>
      <c r="H237">
        <f t="shared" si="7"/>
        <v>2</v>
      </c>
      <c r="I237">
        <v>100</v>
      </c>
      <c r="J237">
        <v>23000201</v>
      </c>
      <c r="K237">
        <f t="array" ref="K237">INDEX(无限挑战!$F$78:$F$374,MATCH(J237,无限挑战!$N$78:$N$374,0))</f>
        <v>201000</v>
      </c>
      <c r="L237" t="str">
        <f t="shared" si="8"/>
        <v>无限挑战201000</v>
      </c>
    </row>
    <row r="238" ht="16.5" customHeight="1" spans="6:12">
      <c r="F238" s="3"/>
      <c r="G238" t="str">
        <v>角色抽卡券普通</v>
      </c>
      <c r="H238">
        <f t="shared" si="7"/>
        <v>106</v>
      </c>
      <c r="I238">
        <v>1</v>
      </c>
      <c r="J238">
        <v>23000202</v>
      </c>
      <c r="K238">
        <f t="array" ref="K238">INDEX(无限挑战!$F$78:$F$374,MATCH(J238,无限挑战!$N$78:$N$374,0))</f>
        <v>202000</v>
      </c>
      <c r="L238" t="str">
        <f t="shared" si="8"/>
        <v>无限挑战202000</v>
      </c>
    </row>
    <row r="239" ht="16.5" customHeight="1" spans="6:12">
      <c r="F239" s="3"/>
      <c r="G239" t="str">
        <v>角色抽卡券普通</v>
      </c>
      <c r="H239">
        <f t="shared" si="7"/>
        <v>106</v>
      </c>
      <c r="I239">
        <v>1</v>
      </c>
      <c r="J239">
        <v>23000203</v>
      </c>
      <c r="K239">
        <f t="array" ref="K239">INDEX(无限挑战!$F$78:$F$374,MATCH(J239,无限挑战!$N$78:$N$374,0))</f>
        <v>203000</v>
      </c>
      <c r="L239" t="str">
        <f t="shared" si="8"/>
        <v>无限挑战203000</v>
      </c>
    </row>
    <row r="240" ht="16.5" customHeight="1" spans="6:12">
      <c r="F240" s="3"/>
      <c r="G240" t="str">
        <v>钻石</v>
      </c>
      <c r="H240">
        <f t="shared" si="7"/>
        <v>2</v>
      </c>
      <c r="I240">
        <v>100</v>
      </c>
      <c r="J240">
        <v>23000204</v>
      </c>
      <c r="K240">
        <f t="array" ref="K240">INDEX(无限挑战!$F$78:$F$374,MATCH(J240,无限挑战!$N$78:$N$374,0))</f>
        <v>204000</v>
      </c>
      <c r="L240" t="str">
        <f t="shared" si="8"/>
        <v>无限挑战204000</v>
      </c>
    </row>
    <row r="241" ht="16.5" customHeight="1" spans="6:12">
      <c r="F241" s="3"/>
      <c r="G241" t="str">
        <v>角色抽卡券普通</v>
      </c>
      <c r="H241">
        <f t="shared" si="7"/>
        <v>106</v>
      </c>
      <c r="I241">
        <v>1</v>
      </c>
      <c r="J241">
        <v>23000205</v>
      </c>
      <c r="K241">
        <f t="array" ref="K241">INDEX(无限挑战!$F$78:$F$374,MATCH(J241,无限挑战!$N$78:$N$374,0))</f>
        <v>205000</v>
      </c>
      <c r="L241" t="str">
        <f t="shared" si="8"/>
        <v>无限挑战205000</v>
      </c>
    </row>
    <row r="242" ht="16.5" customHeight="1" spans="6:12">
      <c r="F242" s="3"/>
      <c r="G242" t="str">
        <v>角色抽卡券普通</v>
      </c>
      <c r="H242">
        <f t="shared" si="7"/>
        <v>106</v>
      </c>
      <c r="I242">
        <v>1</v>
      </c>
      <c r="J242">
        <v>23000206</v>
      </c>
      <c r="K242">
        <f t="array" ref="K242">INDEX(无限挑战!$F$78:$F$374,MATCH(J242,无限挑战!$N$78:$N$374,0))</f>
        <v>206000</v>
      </c>
      <c r="L242" t="str">
        <f t="shared" si="8"/>
        <v>无限挑战206000</v>
      </c>
    </row>
    <row r="243" ht="16.5" customHeight="1" spans="6:12">
      <c r="F243" s="3"/>
      <c r="G243" t="str">
        <v>钻石</v>
      </c>
      <c r="H243">
        <f t="shared" si="7"/>
        <v>2</v>
      </c>
      <c r="I243">
        <v>100</v>
      </c>
      <c r="J243">
        <v>23000207</v>
      </c>
      <c r="K243">
        <f t="array" ref="K243">INDEX(无限挑战!$F$78:$F$374,MATCH(J243,无限挑战!$N$78:$N$374,0))</f>
        <v>207000</v>
      </c>
      <c r="L243" t="str">
        <f t="shared" si="8"/>
        <v>无限挑战207000</v>
      </c>
    </row>
    <row r="244" ht="16.5" customHeight="1" spans="6:12">
      <c r="F244" s="3"/>
      <c r="G244" t="str">
        <v>角色抽卡券普通</v>
      </c>
      <c r="H244">
        <f t="shared" si="7"/>
        <v>106</v>
      </c>
      <c r="I244">
        <v>1</v>
      </c>
      <c r="J244">
        <v>23000208</v>
      </c>
      <c r="K244">
        <f t="array" ref="K244">INDEX(无限挑战!$F$78:$F$374,MATCH(J244,无限挑战!$N$78:$N$374,0))</f>
        <v>208000</v>
      </c>
      <c r="L244" t="str">
        <f t="shared" si="8"/>
        <v>无限挑战208000</v>
      </c>
    </row>
    <row r="245" ht="16.5" customHeight="1" spans="6:12">
      <c r="F245" s="3"/>
      <c r="G245" t="str">
        <v>角色抽卡券普通</v>
      </c>
      <c r="H245">
        <f t="shared" si="7"/>
        <v>106</v>
      </c>
      <c r="I245">
        <v>1</v>
      </c>
      <c r="J245">
        <v>23000209</v>
      </c>
      <c r="K245">
        <f t="array" ref="K245">INDEX(无限挑战!$F$78:$F$374,MATCH(J245,无限挑战!$N$78:$N$374,0))</f>
        <v>209000</v>
      </c>
      <c r="L245" t="str">
        <f t="shared" si="8"/>
        <v>无限挑战209000</v>
      </c>
    </row>
    <row r="246" ht="16.5" customHeight="1" spans="6:12">
      <c r="F246" s="3"/>
      <c r="G246" t="str">
        <v>钻石</v>
      </c>
      <c r="H246">
        <f t="shared" si="7"/>
        <v>2</v>
      </c>
      <c r="I246">
        <v>100</v>
      </c>
      <c r="J246">
        <v>23000210</v>
      </c>
      <c r="K246">
        <f t="array" ref="K246">INDEX(无限挑战!$F$78:$F$374,MATCH(J246,无限挑战!$N$78:$N$374,0))</f>
        <v>210000</v>
      </c>
      <c r="L246" t="str">
        <f t="shared" si="8"/>
        <v>无限挑战210000</v>
      </c>
    </row>
    <row r="247" ht="16.5" customHeight="1" spans="6:12">
      <c r="F247" s="3"/>
      <c r="G247" t="str">
        <v>角色抽卡券普通</v>
      </c>
      <c r="H247">
        <f t="shared" si="7"/>
        <v>106</v>
      </c>
      <c r="I247">
        <v>1</v>
      </c>
      <c r="J247">
        <v>23000211</v>
      </c>
      <c r="K247">
        <f t="array" ref="K247">INDEX(无限挑战!$F$78:$F$374,MATCH(J247,无限挑战!$N$78:$N$374,0))</f>
        <v>211000</v>
      </c>
      <c r="L247" t="str">
        <f t="shared" si="8"/>
        <v>无限挑战211000</v>
      </c>
    </row>
    <row r="248" ht="16.5" customHeight="1" spans="6:12">
      <c r="F248" s="3"/>
      <c r="G248" t="str">
        <v>角色抽卡券普通</v>
      </c>
      <c r="H248">
        <f t="shared" si="7"/>
        <v>106</v>
      </c>
      <c r="I248">
        <v>1</v>
      </c>
      <c r="J248">
        <v>23000212</v>
      </c>
      <c r="K248">
        <f t="array" ref="K248">INDEX(无限挑战!$F$78:$F$374,MATCH(J248,无限挑战!$N$78:$N$374,0))</f>
        <v>212000</v>
      </c>
      <c r="L248" t="str">
        <f t="shared" si="8"/>
        <v>无限挑战212000</v>
      </c>
    </row>
    <row r="249" ht="16.5" customHeight="1" spans="6:12">
      <c r="F249" s="3"/>
      <c r="G249" t="str">
        <v>钻石</v>
      </c>
      <c r="H249">
        <f t="shared" si="7"/>
        <v>2</v>
      </c>
      <c r="I249">
        <v>100</v>
      </c>
      <c r="J249">
        <v>23000213</v>
      </c>
      <c r="K249">
        <f t="array" ref="K249">INDEX(无限挑战!$F$78:$F$374,MATCH(J249,无限挑战!$N$78:$N$374,0))</f>
        <v>213000</v>
      </c>
      <c r="L249" t="str">
        <f t="shared" si="8"/>
        <v>无限挑战213000</v>
      </c>
    </row>
    <row r="250" ht="16.5" customHeight="1" spans="6:12">
      <c r="F250" s="3"/>
      <c r="G250" t="str">
        <v>角色抽卡券普通</v>
      </c>
      <c r="H250">
        <f t="shared" si="7"/>
        <v>106</v>
      </c>
      <c r="I250">
        <v>1</v>
      </c>
      <c r="J250">
        <v>23000214</v>
      </c>
      <c r="K250">
        <f t="array" ref="K250">INDEX(无限挑战!$F$78:$F$374,MATCH(J250,无限挑战!$N$78:$N$374,0))</f>
        <v>214000</v>
      </c>
      <c r="L250" t="str">
        <f t="shared" si="8"/>
        <v>无限挑战214000</v>
      </c>
    </row>
    <row r="251" ht="16.5" customHeight="1" spans="6:12">
      <c r="F251" s="3"/>
      <c r="G251" t="str">
        <v>角色抽卡券普通</v>
      </c>
      <c r="H251">
        <f t="shared" si="7"/>
        <v>106</v>
      </c>
      <c r="I251">
        <v>1</v>
      </c>
      <c r="J251">
        <v>23000215</v>
      </c>
      <c r="K251">
        <f t="array" ref="K251">INDEX(无限挑战!$F$78:$F$374,MATCH(J251,无限挑战!$N$78:$N$374,0))</f>
        <v>215000</v>
      </c>
      <c r="L251" t="str">
        <f t="shared" si="8"/>
        <v>无限挑战215000</v>
      </c>
    </row>
    <row r="252" ht="16.5" customHeight="1" spans="6:12">
      <c r="F252" s="3"/>
      <c r="G252" t="str">
        <v>钻石</v>
      </c>
      <c r="H252">
        <f t="shared" si="7"/>
        <v>2</v>
      </c>
      <c r="I252">
        <v>100</v>
      </c>
      <c r="J252">
        <v>23000216</v>
      </c>
      <c r="K252">
        <f t="array" ref="K252">INDEX(无限挑战!$F$78:$F$374,MATCH(J252,无限挑战!$N$78:$N$374,0))</f>
        <v>216000</v>
      </c>
      <c r="L252" t="str">
        <f t="shared" si="8"/>
        <v>无限挑战216000</v>
      </c>
    </row>
    <row r="253" ht="16.5" customHeight="1" spans="6:12">
      <c r="F253" s="3"/>
      <c r="G253" t="str">
        <v>角色抽卡券普通</v>
      </c>
      <c r="H253">
        <f t="shared" si="7"/>
        <v>106</v>
      </c>
      <c r="I253">
        <v>1</v>
      </c>
      <c r="J253">
        <v>23000217</v>
      </c>
      <c r="K253">
        <f t="array" ref="K253">INDEX(无限挑战!$F$78:$F$374,MATCH(J253,无限挑战!$N$78:$N$374,0))</f>
        <v>217000</v>
      </c>
      <c r="L253" t="str">
        <f t="shared" si="8"/>
        <v>无限挑战217000</v>
      </c>
    </row>
    <row r="254" ht="16.5" customHeight="1" spans="6:12">
      <c r="F254" s="3"/>
      <c r="G254" t="str">
        <v>角色抽卡券普通</v>
      </c>
      <c r="H254">
        <f t="shared" si="7"/>
        <v>106</v>
      </c>
      <c r="I254">
        <v>1</v>
      </c>
      <c r="J254">
        <v>23000218</v>
      </c>
      <c r="K254">
        <f t="array" ref="K254">INDEX(无限挑战!$F$78:$F$374,MATCH(J254,无限挑战!$N$78:$N$374,0))</f>
        <v>218000</v>
      </c>
      <c r="L254" t="str">
        <f t="shared" si="8"/>
        <v>无限挑战218000</v>
      </c>
    </row>
    <row r="255" ht="16.5" customHeight="1" spans="6:12">
      <c r="F255" s="3"/>
      <c r="G255" t="str">
        <v>钻石</v>
      </c>
      <c r="H255">
        <f t="shared" si="7"/>
        <v>2</v>
      </c>
      <c r="I255">
        <v>100</v>
      </c>
      <c r="J255">
        <v>23000219</v>
      </c>
      <c r="K255">
        <f t="array" ref="K255">INDEX(无限挑战!$F$78:$F$374,MATCH(J255,无限挑战!$N$78:$N$374,0))</f>
        <v>219000</v>
      </c>
      <c r="L255" t="str">
        <f t="shared" si="8"/>
        <v>无限挑战219000</v>
      </c>
    </row>
    <row r="256" ht="16.5" customHeight="1" spans="6:12">
      <c r="F256" s="3"/>
      <c r="G256" t="str">
        <v>角色抽卡券普通</v>
      </c>
      <c r="H256">
        <f t="shared" si="7"/>
        <v>106</v>
      </c>
      <c r="I256">
        <v>1</v>
      </c>
      <c r="J256">
        <v>23000220</v>
      </c>
      <c r="K256">
        <f t="array" ref="K256">INDEX(无限挑战!$F$78:$F$374,MATCH(J256,无限挑战!$N$78:$N$374,0))</f>
        <v>220000</v>
      </c>
      <c r="L256" t="str">
        <f t="shared" si="8"/>
        <v>无限挑战220000</v>
      </c>
    </row>
    <row r="257" ht="16.5" customHeight="1" spans="6:12">
      <c r="F257" s="3"/>
      <c r="G257" t="str">
        <v>角色抽卡券普通</v>
      </c>
      <c r="H257">
        <f t="shared" si="7"/>
        <v>106</v>
      </c>
      <c r="I257">
        <v>1</v>
      </c>
      <c r="J257">
        <v>23000221</v>
      </c>
      <c r="K257">
        <f t="array" ref="K257">INDEX(无限挑战!$F$78:$F$374,MATCH(J257,无限挑战!$N$78:$N$374,0))</f>
        <v>221000</v>
      </c>
      <c r="L257" t="str">
        <f t="shared" si="8"/>
        <v>无限挑战221000</v>
      </c>
    </row>
    <row r="258" ht="16.5" customHeight="1" spans="6:12">
      <c r="F258" s="3"/>
      <c r="G258" t="str">
        <v>钻石</v>
      </c>
      <c r="H258">
        <f t="shared" si="7"/>
        <v>2</v>
      </c>
      <c r="I258">
        <v>100</v>
      </c>
      <c r="J258">
        <v>23000222</v>
      </c>
      <c r="K258">
        <f t="array" ref="K258">INDEX(无限挑战!$F$78:$F$374,MATCH(J258,无限挑战!$N$78:$N$374,0))</f>
        <v>222000</v>
      </c>
      <c r="L258" t="str">
        <f t="shared" si="8"/>
        <v>无限挑战222000</v>
      </c>
    </row>
    <row r="259" ht="16.5" customHeight="1" spans="6:12">
      <c r="F259" s="3"/>
      <c r="G259" t="str">
        <v>角色抽卡券普通</v>
      </c>
      <c r="H259">
        <f t="shared" si="7"/>
        <v>106</v>
      </c>
      <c r="I259">
        <v>1</v>
      </c>
      <c r="J259">
        <v>23000223</v>
      </c>
      <c r="K259">
        <f t="array" ref="K259">INDEX(无限挑战!$F$78:$F$374,MATCH(J259,无限挑战!$N$78:$N$374,0))</f>
        <v>223000</v>
      </c>
      <c r="L259" t="str">
        <f t="shared" si="8"/>
        <v>无限挑战223000</v>
      </c>
    </row>
    <row r="260" ht="16.5" customHeight="1" spans="6:12">
      <c r="F260" s="3"/>
      <c r="G260" t="str">
        <v>角色抽卡券普通</v>
      </c>
      <c r="H260">
        <f t="shared" ref="H260:H323" si="9">VLOOKUP(G260,$B:$C,2,0)</f>
        <v>106</v>
      </c>
      <c r="I260">
        <v>1</v>
      </c>
      <c r="J260">
        <v>23000224</v>
      </c>
      <c r="K260">
        <f t="array" ref="K260">INDEX(无限挑战!$F$78:$F$374,MATCH(J260,无限挑战!$N$78:$N$374,0))</f>
        <v>224000</v>
      </c>
      <c r="L260" t="str">
        <f t="shared" ref="L260:L323" si="10">_xlfn.CONCAT("无限挑战",K260)</f>
        <v>无限挑战224000</v>
      </c>
    </row>
    <row r="261" ht="16.5" customHeight="1" spans="6:12">
      <c r="F261" s="3"/>
      <c r="G261" t="str">
        <v>钻石</v>
      </c>
      <c r="H261">
        <f t="shared" si="9"/>
        <v>2</v>
      </c>
      <c r="I261">
        <v>100</v>
      </c>
      <c r="J261">
        <v>23000225</v>
      </c>
      <c r="K261">
        <f t="array" ref="K261">INDEX(无限挑战!$F$78:$F$374,MATCH(J261,无限挑战!$N$78:$N$374,0))</f>
        <v>225000</v>
      </c>
      <c r="L261" t="str">
        <f t="shared" si="10"/>
        <v>无限挑战225000</v>
      </c>
    </row>
    <row r="262" ht="16.5" customHeight="1" spans="6:12">
      <c r="F262" s="3"/>
      <c r="G262" t="str">
        <v>角色抽卡券普通</v>
      </c>
      <c r="H262">
        <f t="shared" si="9"/>
        <v>106</v>
      </c>
      <c r="I262">
        <v>1</v>
      </c>
      <c r="J262">
        <v>23000226</v>
      </c>
      <c r="K262">
        <f t="array" ref="K262">INDEX(无限挑战!$F$78:$F$374,MATCH(J262,无限挑战!$N$78:$N$374,0))</f>
        <v>226000</v>
      </c>
      <c r="L262" t="str">
        <f t="shared" si="10"/>
        <v>无限挑战226000</v>
      </c>
    </row>
    <row r="263" ht="16.5" customHeight="1" spans="6:12">
      <c r="F263" s="3"/>
      <c r="G263" t="str">
        <v>角色抽卡券普通</v>
      </c>
      <c r="H263">
        <f t="shared" si="9"/>
        <v>106</v>
      </c>
      <c r="I263">
        <v>1</v>
      </c>
      <c r="J263">
        <v>23000227</v>
      </c>
      <c r="K263">
        <f t="array" ref="K263">INDEX(无限挑战!$F$78:$F$374,MATCH(J263,无限挑战!$N$78:$N$374,0))</f>
        <v>227000</v>
      </c>
      <c r="L263" t="str">
        <f t="shared" si="10"/>
        <v>无限挑战227000</v>
      </c>
    </row>
    <row r="264" ht="16.5" customHeight="1" spans="6:12">
      <c r="F264" s="3"/>
      <c r="G264" t="str">
        <v>钻石</v>
      </c>
      <c r="H264">
        <f t="shared" si="9"/>
        <v>2</v>
      </c>
      <c r="I264">
        <v>100</v>
      </c>
      <c r="J264">
        <v>23000228</v>
      </c>
      <c r="K264">
        <f t="array" ref="K264">INDEX(无限挑战!$F$78:$F$374,MATCH(J264,无限挑战!$N$78:$N$374,0))</f>
        <v>228000</v>
      </c>
      <c r="L264" t="str">
        <f t="shared" si="10"/>
        <v>无限挑战228000</v>
      </c>
    </row>
    <row r="265" ht="16.5" customHeight="1" spans="6:12">
      <c r="F265" s="3"/>
      <c r="G265" t="str">
        <v>角色抽卡券普通</v>
      </c>
      <c r="H265">
        <f t="shared" si="9"/>
        <v>106</v>
      </c>
      <c r="I265">
        <v>1</v>
      </c>
      <c r="J265">
        <v>23000229</v>
      </c>
      <c r="K265">
        <f t="array" ref="K265">INDEX(无限挑战!$F$78:$F$374,MATCH(J265,无限挑战!$N$78:$N$374,0))</f>
        <v>229000</v>
      </c>
      <c r="L265" t="str">
        <f t="shared" si="10"/>
        <v>无限挑战229000</v>
      </c>
    </row>
    <row r="266" ht="16.5" customHeight="1" spans="6:12">
      <c r="F266" s="3"/>
      <c r="G266" t="str">
        <v>角色抽卡券普通</v>
      </c>
      <c r="H266">
        <f t="shared" si="9"/>
        <v>106</v>
      </c>
      <c r="I266">
        <v>1</v>
      </c>
      <c r="J266">
        <v>23000230</v>
      </c>
      <c r="K266">
        <f t="array" ref="K266">INDEX(无限挑战!$F$78:$F$374,MATCH(J266,无限挑战!$N$78:$N$374,0))</f>
        <v>230000</v>
      </c>
      <c r="L266" t="str">
        <f t="shared" si="10"/>
        <v>无限挑战230000</v>
      </c>
    </row>
    <row r="267" ht="16.5" customHeight="1" spans="6:12">
      <c r="F267" s="3"/>
      <c r="G267" t="str">
        <v>钻石</v>
      </c>
      <c r="H267">
        <f t="shared" si="9"/>
        <v>2</v>
      </c>
      <c r="I267">
        <v>100</v>
      </c>
      <c r="J267">
        <v>23000231</v>
      </c>
      <c r="K267">
        <f t="array" ref="K267">INDEX(无限挑战!$F$78:$F$374,MATCH(J267,无限挑战!$N$78:$N$374,0))</f>
        <v>231000</v>
      </c>
      <c r="L267" t="str">
        <f t="shared" si="10"/>
        <v>无限挑战231000</v>
      </c>
    </row>
    <row r="268" ht="16.5" customHeight="1" spans="6:12">
      <c r="F268" s="3"/>
      <c r="G268" t="str">
        <v>角色抽卡券普通</v>
      </c>
      <c r="H268">
        <f t="shared" si="9"/>
        <v>106</v>
      </c>
      <c r="I268">
        <v>1</v>
      </c>
      <c r="J268">
        <v>23000232</v>
      </c>
      <c r="K268">
        <f t="array" ref="K268">INDEX(无限挑战!$F$78:$F$374,MATCH(J268,无限挑战!$N$78:$N$374,0))</f>
        <v>232000</v>
      </c>
      <c r="L268" t="str">
        <f t="shared" si="10"/>
        <v>无限挑战232000</v>
      </c>
    </row>
    <row r="269" ht="16.5" customHeight="1" spans="6:12">
      <c r="F269" s="3"/>
      <c r="G269" t="str">
        <v>角色抽卡券普通</v>
      </c>
      <c r="H269">
        <f t="shared" si="9"/>
        <v>106</v>
      </c>
      <c r="I269">
        <v>1</v>
      </c>
      <c r="J269">
        <v>23000233</v>
      </c>
      <c r="K269">
        <f t="array" ref="K269">INDEX(无限挑战!$F$78:$F$374,MATCH(J269,无限挑战!$N$78:$N$374,0))</f>
        <v>233000</v>
      </c>
      <c r="L269" t="str">
        <f t="shared" si="10"/>
        <v>无限挑战233000</v>
      </c>
    </row>
    <row r="270" ht="16.5" customHeight="1" spans="6:12">
      <c r="F270" s="3"/>
      <c r="G270" t="str">
        <v>钻石</v>
      </c>
      <c r="H270">
        <f t="shared" si="9"/>
        <v>2</v>
      </c>
      <c r="I270">
        <v>100</v>
      </c>
      <c r="J270">
        <v>23000234</v>
      </c>
      <c r="K270">
        <f t="array" ref="K270">INDEX(无限挑战!$F$78:$F$374,MATCH(J270,无限挑战!$N$78:$N$374,0))</f>
        <v>234000</v>
      </c>
      <c r="L270" t="str">
        <f t="shared" si="10"/>
        <v>无限挑战234000</v>
      </c>
    </row>
    <row r="271" ht="16.5" customHeight="1" spans="6:12">
      <c r="F271" s="3"/>
      <c r="G271" t="str">
        <v>角色抽卡券普通</v>
      </c>
      <c r="H271">
        <f t="shared" si="9"/>
        <v>106</v>
      </c>
      <c r="I271">
        <v>1</v>
      </c>
      <c r="J271">
        <v>23000235</v>
      </c>
      <c r="K271">
        <f t="array" ref="K271">INDEX(无限挑战!$F$78:$F$374,MATCH(J271,无限挑战!$N$78:$N$374,0))</f>
        <v>235000</v>
      </c>
      <c r="L271" t="str">
        <f t="shared" si="10"/>
        <v>无限挑战235000</v>
      </c>
    </row>
    <row r="272" ht="16.5" customHeight="1" spans="6:12">
      <c r="F272" s="3"/>
      <c r="G272" t="str">
        <v>角色抽卡券普通</v>
      </c>
      <c r="H272">
        <f t="shared" si="9"/>
        <v>106</v>
      </c>
      <c r="I272">
        <v>1</v>
      </c>
      <c r="J272">
        <v>23000236</v>
      </c>
      <c r="K272">
        <f t="array" ref="K272">INDEX(无限挑战!$F$78:$F$374,MATCH(J272,无限挑战!$N$78:$N$374,0))</f>
        <v>236000</v>
      </c>
      <c r="L272" t="str">
        <f t="shared" si="10"/>
        <v>无限挑战236000</v>
      </c>
    </row>
    <row r="273" ht="16.5" customHeight="1" spans="6:12">
      <c r="F273" s="3"/>
      <c r="G273" t="str">
        <v>钻石</v>
      </c>
      <c r="H273">
        <f t="shared" si="9"/>
        <v>2</v>
      </c>
      <c r="I273">
        <v>100</v>
      </c>
      <c r="J273">
        <v>23000237</v>
      </c>
      <c r="K273">
        <f t="array" ref="K273">INDEX(无限挑战!$F$78:$F$374,MATCH(J273,无限挑战!$N$78:$N$374,0))</f>
        <v>237000</v>
      </c>
      <c r="L273" t="str">
        <f t="shared" si="10"/>
        <v>无限挑战237000</v>
      </c>
    </row>
    <row r="274" ht="16.5" customHeight="1" spans="6:12">
      <c r="F274" s="3"/>
      <c r="G274" t="str">
        <v>角色抽卡券普通</v>
      </c>
      <c r="H274">
        <f t="shared" si="9"/>
        <v>106</v>
      </c>
      <c r="I274">
        <v>1</v>
      </c>
      <c r="J274">
        <v>23000238</v>
      </c>
      <c r="K274">
        <f t="array" ref="K274">INDEX(无限挑战!$F$78:$F$374,MATCH(J274,无限挑战!$N$78:$N$374,0))</f>
        <v>238000</v>
      </c>
      <c r="L274" t="str">
        <f t="shared" si="10"/>
        <v>无限挑战238000</v>
      </c>
    </row>
    <row r="275" ht="16.5" customHeight="1" spans="6:12">
      <c r="F275" s="3"/>
      <c r="G275" t="str">
        <v>角色抽卡券普通</v>
      </c>
      <c r="H275">
        <f t="shared" si="9"/>
        <v>106</v>
      </c>
      <c r="I275">
        <v>1</v>
      </c>
      <c r="J275">
        <v>23000239</v>
      </c>
      <c r="K275">
        <f t="array" ref="K275">INDEX(无限挑战!$F$78:$F$374,MATCH(J275,无限挑战!$N$78:$N$374,0))</f>
        <v>239000</v>
      </c>
      <c r="L275" t="str">
        <f t="shared" si="10"/>
        <v>无限挑战239000</v>
      </c>
    </row>
    <row r="276" ht="16.5" customHeight="1" spans="6:12">
      <c r="F276" s="3"/>
      <c r="G276" t="str">
        <v>钻石</v>
      </c>
      <c r="H276">
        <f t="shared" si="9"/>
        <v>2</v>
      </c>
      <c r="I276">
        <v>100</v>
      </c>
      <c r="J276">
        <v>23000240</v>
      </c>
      <c r="K276">
        <f t="array" ref="K276">INDEX(无限挑战!$F$78:$F$374,MATCH(J276,无限挑战!$N$78:$N$374,0))</f>
        <v>240000</v>
      </c>
      <c r="L276" t="str">
        <f t="shared" si="10"/>
        <v>无限挑战240000</v>
      </c>
    </row>
    <row r="277" ht="16.5" customHeight="1" spans="6:12">
      <c r="F277" s="3"/>
      <c r="G277" t="str">
        <v>角色抽卡券普通</v>
      </c>
      <c r="H277">
        <f t="shared" si="9"/>
        <v>106</v>
      </c>
      <c r="I277">
        <v>1</v>
      </c>
      <c r="J277">
        <v>23000241</v>
      </c>
      <c r="K277">
        <f t="array" ref="K277">INDEX(无限挑战!$F$78:$F$374,MATCH(J277,无限挑战!$N$78:$N$374,0))</f>
        <v>241000</v>
      </c>
      <c r="L277" t="str">
        <f t="shared" si="10"/>
        <v>无限挑战241000</v>
      </c>
    </row>
    <row r="278" ht="16.5" customHeight="1" spans="6:12">
      <c r="F278" s="3"/>
      <c r="G278" t="str">
        <v>角色抽卡券普通</v>
      </c>
      <c r="H278">
        <f t="shared" si="9"/>
        <v>106</v>
      </c>
      <c r="I278">
        <v>1</v>
      </c>
      <c r="J278">
        <v>23000242</v>
      </c>
      <c r="K278">
        <f t="array" ref="K278">INDEX(无限挑战!$F$78:$F$374,MATCH(J278,无限挑战!$N$78:$N$374,0))</f>
        <v>242000</v>
      </c>
      <c r="L278" t="str">
        <f t="shared" si="10"/>
        <v>无限挑战242000</v>
      </c>
    </row>
    <row r="279" ht="16.5" customHeight="1" spans="6:12">
      <c r="F279" s="3"/>
      <c r="G279" t="str">
        <v>钻石</v>
      </c>
      <c r="H279">
        <f t="shared" si="9"/>
        <v>2</v>
      </c>
      <c r="I279">
        <v>100</v>
      </c>
      <c r="J279">
        <v>23000243</v>
      </c>
      <c r="K279">
        <f t="array" ref="K279">INDEX(无限挑战!$F$78:$F$374,MATCH(J279,无限挑战!$N$78:$N$374,0))</f>
        <v>243000</v>
      </c>
      <c r="L279" t="str">
        <f t="shared" si="10"/>
        <v>无限挑战243000</v>
      </c>
    </row>
    <row r="280" ht="16.5" customHeight="1" spans="6:12">
      <c r="F280" s="3"/>
      <c r="G280" t="str">
        <v>角色抽卡券普通</v>
      </c>
      <c r="H280">
        <f t="shared" si="9"/>
        <v>106</v>
      </c>
      <c r="I280">
        <v>1</v>
      </c>
      <c r="J280">
        <v>23000244</v>
      </c>
      <c r="K280">
        <f t="array" ref="K280">INDEX(无限挑战!$F$78:$F$374,MATCH(J280,无限挑战!$N$78:$N$374,0))</f>
        <v>244000</v>
      </c>
      <c r="L280" t="str">
        <f t="shared" si="10"/>
        <v>无限挑战244000</v>
      </c>
    </row>
    <row r="281" ht="16.5" customHeight="1" spans="6:12">
      <c r="F281" s="3"/>
      <c r="G281" t="str">
        <v>角色抽卡券普通</v>
      </c>
      <c r="H281">
        <f t="shared" si="9"/>
        <v>106</v>
      </c>
      <c r="I281">
        <v>1</v>
      </c>
      <c r="J281">
        <v>23000245</v>
      </c>
      <c r="K281">
        <f t="array" ref="K281">INDEX(无限挑战!$F$78:$F$374,MATCH(J281,无限挑战!$N$78:$N$374,0))</f>
        <v>245000</v>
      </c>
      <c r="L281" t="str">
        <f t="shared" si="10"/>
        <v>无限挑战245000</v>
      </c>
    </row>
    <row r="282" ht="16.5" customHeight="1" spans="6:12">
      <c r="F282" s="3"/>
      <c r="G282" t="str">
        <v>钻石</v>
      </c>
      <c r="H282">
        <f t="shared" si="9"/>
        <v>2</v>
      </c>
      <c r="I282">
        <v>100</v>
      </c>
      <c r="J282">
        <v>23000246</v>
      </c>
      <c r="K282">
        <f t="array" ref="K282">INDEX(无限挑战!$F$78:$F$374,MATCH(J282,无限挑战!$N$78:$N$374,0))</f>
        <v>246000</v>
      </c>
      <c r="L282" t="str">
        <f t="shared" si="10"/>
        <v>无限挑战246000</v>
      </c>
    </row>
    <row r="283" ht="16.5" customHeight="1" spans="6:12">
      <c r="F283" s="3"/>
      <c r="G283" t="str">
        <v>角色抽卡券普通</v>
      </c>
      <c r="H283">
        <f t="shared" si="9"/>
        <v>106</v>
      </c>
      <c r="I283">
        <v>1</v>
      </c>
      <c r="J283">
        <v>23000247</v>
      </c>
      <c r="K283">
        <f t="array" ref="K283">INDEX(无限挑战!$F$78:$F$374,MATCH(J283,无限挑战!$N$78:$N$374,0))</f>
        <v>247000</v>
      </c>
      <c r="L283" t="str">
        <f t="shared" si="10"/>
        <v>无限挑战247000</v>
      </c>
    </row>
    <row r="284" ht="16.5" customHeight="1" spans="6:12">
      <c r="F284" s="3"/>
      <c r="G284" t="str">
        <v>角色抽卡券普通</v>
      </c>
      <c r="H284">
        <f t="shared" si="9"/>
        <v>106</v>
      </c>
      <c r="I284">
        <v>1</v>
      </c>
      <c r="J284">
        <v>23000248</v>
      </c>
      <c r="K284">
        <f t="array" ref="K284">INDEX(无限挑战!$F$78:$F$374,MATCH(J284,无限挑战!$N$78:$N$374,0))</f>
        <v>248000</v>
      </c>
      <c r="L284" t="str">
        <f t="shared" si="10"/>
        <v>无限挑战248000</v>
      </c>
    </row>
    <row r="285" ht="16.5" customHeight="1" spans="6:12">
      <c r="F285" s="3"/>
      <c r="G285" t="str">
        <v>钻石</v>
      </c>
      <c r="H285">
        <f t="shared" si="9"/>
        <v>2</v>
      </c>
      <c r="I285">
        <v>100</v>
      </c>
      <c r="J285">
        <v>23000249</v>
      </c>
      <c r="K285">
        <f t="array" ref="K285">INDEX(无限挑战!$F$78:$F$374,MATCH(J285,无限挑战!$N$78:$N$374,0))</f>
        <v>249000</v>
      </c>
      <c r="L285" t="str">
        <f t="shared" si="10"/>
        <v>无限挑战249000</v>
      </c>
    </row>
    <row r="286" ht="16.5" customHeight="1" spans="6:12">
      <c r="F286" s="3"/>
      <c r="G286" t="str">
        <v>角色抽卡券普通</v>
      </c>
      <c r="H286">
        <f t="shared" si="9"/>
        <v>106</v>
      </c>
      <c r="I286">
        <v>1</v>
      </c>
      <c r="J286">
        <v>23000250</v>
      </c>
      <c r="K286">
        <f t="array" ref="K286">INDEX(无限挑战!$F$78:$F$374,MATCH(J286,无限挑战!$N$78:$N$374,0))</f>
        <v>250000</v>
      </c>
      <c r="L286" t="str">
        <f t="shared" si="10"/>
        <v>无限挑战250000</v>
      </c>
    </row>
    <row r="287" ht="16.5" customHeight="1" spans="6:12">
      <c r="F287" s="3"/>
      <c r="G287" t="str">
        <v>角色抽卡券普通</v>
      </c>
      <c r="H287">
        <f t="shared" si="9"/>
        <v>106</v>
      </c>
      <c r="I287">
        <v>1</v>
      </c>
      <c r="J287">
        <v>23000251</v>
      </c>
      <c r="K287">
        <f t="array" ref="K287">INDEX(无限挑战!$F$78:$F$374,MATCH(J287,无限挑战!$N$78:$N$374,0))</f>
        <v>251000</v>
      </c>
      <c r="L287" t="str">
        <f t="shared" si="10"/>
        <v>无限挑战251000</v>
      </c>
    </row>
    <row r="288" ht="16.5" customHeight="1" spans="6:12">
      <c r="F288" s="3"/>
      <c r="G288" t="str">
        <v>钻石</v>
      </c>
      <c r="H288">
        <f t="shared" si="9"/>
        <v>2</v>
      </c>
      <c r="I288">
        <v>100</v>
      </c>
      <c r="J288">
        <v>23000252</v>
      </c>
      <c r="K288">
        <f t="array" ref="K288">INDEX(无限挑战!$F$78:$F$374,MATCH(J288,无限挑战!$N$78:$N$374,0))</f>
        <v>252000</v>
      </c>
      <c r="L288" t="str">
        <f t="shared" si="10"/>
        <v>无限挑战252000</v>
      </c>
    </row>
    <row r="289" ht="16.5" customHeight="1" spans="6:12">
      <c r="F289" s="3"/>
      <c r="G289" t="str">
        <v>角色抽卡券普通</v>
      </c>
      <c r="H289">
        <f t="shared" si="9"/>
        <v>106</v>
      </c>
      <c r="I289">
        <v>1</v>
      </c>
      <c r="J289">
        <v>23000253</v>
      </c>
      <c r="K289">
        <f t="array" ref="K289">INDEX(无限挑战!$F$78:$F$374,MATCH(J289,无限挑战!$N$78:$N$374,0))</f>
        <v>253000</v>
      </c>
      <c r="L289" t="str">
        <f t="shared" si="10"/>
        <v>无限挑战253000</v>
      </c>
    </row>
    <row r="290" ht="16.5" customHeight="1" spans="6:12">
      <c r="F290" s="3"/>
      <c r="G290" t="str">
        <v>角色抽卡券普通</v>
      </c>
      <c r="H290">
        <f t="shared" si="9"/>
        <v>106</v>
      </c>
      <c r="I290">
        <v>1</v>
      </c>
      <c r="J290">
        <v>23000254</v>
      </c>
      <c r="K290">
        <f t="array" ref="K290">INDEX(无限挑战!$F$78:$F$374,MATCH(J290,无限挑战!$N$78:$N$374,0))</f>
        <v>254000</v>
      </c>
      <c r="L290" t="str">
        <f t="shared" si="10"/>
        <v>无限挑战254000</v>
      </c>
    </row>
    <row r="291" ht="16.5" customHeight="1" spans="6:12">
      <c r="F291" s="3"/>
      <c r="G291" t="str">
        <v>钻石</v>
      </c>
      <c r="H291">
        <f t="shared" si="9"/>
        <v>2</v>
      </c>
      <c r="I291">
        <v>100</v>
      </c>
      <c r="J291">
        <v>23000255</v>
      </c>
      <c r="K291">
        <f t="array" ref="K291">INDEX(无限挑战!$F$78:$F$374,MATCH(J291,无限挑战!$N$78:$N$374,0))</f>
        <v>255000</v>
      </c>
      <c r="L291" t="str">
        <f t="shared" si="10"/>
        <v>无限挑战255000</v>
      </c>
    </row>
    <row r="292" ht="16.5" customHeight="1" spans="6:12">
      <c r="F292" s="3"/>
      <c r="G292" t="str">
        <v>角色抽卡券普通</v>
      </c>
      <c r="H292">
        <f t="shared" si="9"/>
        <v>106</v>
      </c>
      <c r="I292">
        <v>1</v>
      </c>
      <c r="J292">
        <v>23000256</v>
      </c>
      <c r="K292">
        <f t="array" ref="K292">INDEX(无限挑战!$F$78:$F$374,MATCH(J292,无限挑战!$N$78:$N$374,0))</f>
        <v>256000</v>
      </c>
      <c r="L292" t="str">
        <f t="shared" si="10"/>
        <v>无限挑战256000</v>
      </c>
    </row>
    <row r="293" ht="16.5" customHeight="1" spans="6:12">
      <c r="F293" s="3"/>
      <c r="G293" t="str">
        <v>角色抽卡券普通</v>
      </c>
      <c r="H293">
        <f t="shared" si="9"/>
        <v>106</v>
      </c>
      <c r="I293">
        <v>1</v>
      </c>
      <c r="J293">
        <v>23000257</v>
      </c>
      <c r="K293">
        <f t="array" ref="K293">INDEX(无限挑战!$F$78:$F$374,MATCH(J293,无限挑战!$N$78:$N$374,0))</f>
        <v>257000</v>
      </c>
      <c r="L293" t="str">
        <f t="shared" si="10"/>
        <v>无限挑战257000</v>
      </c>
    </row>
    <row r="294" ht="16.5" customHeight="1" spans="6:12">
      <c r="F294" s="3"/>
      <c r="G294" t="str">
        <v>钻石</v>
      </c>
      <c r="H294">
        <f t="shared" si="9"/>
        <v>2</v>
      </c>
      <c r="I294">
        <v>100</v>
      </c>
      <c r="J294">
        <v>23000258</v>
      </c>
      <c r="K294">
        <f t="array" ref="K294">INDEX(无限挑战!$F$78:$F$374,MATCH(J294,无限挑战!$N$78:$N$374,0))</f>
        <v>258000</v>
      </c>
      <c r="L294" t="str">
        <f t="shared" si="10"/>
        <v>无限挑战258000</v>
      </c>
    </row>
    <row r="295" ht="16.5" customHeight="1" spans="6:12">
      <c r="F295" s="3"/>
      <c r="G295" t="str">
        <v>角色抽卡券普通</v>
      </c>
      <c r="H295">
        <f t="shared" si="9"/>
        <v>106</v>
      </c>
      <c r="I295">
        <v>1</v>
      </c>
      <c r="J295">
        <v>23000259</v>
      </c>
      <c r="K295">
        <f t="array" ref="K295">INDEX(无限挑战!$F$78:$F$374,MATCH(J295,无限挑战!$N$78:$N$374,0))</f>
        <v>259000</v>
      </c>
      <c r="L295" t="str">
        <f t="shared" si="10"/>
        <v>无限挑战259000</v>
      </c>
    </row>
    <row r="296" ht="16.5" customHeight="1" spans="6:12">
      <c r="F296" s="3"/>
      <c r="G296" t="str">
        <v>角色抽卡券普通</v>
      </c>
      <c r="H296">
        <f t="shared" si="9"/>
        <v>106</v>
      </c>
      <c r="I296">
        <v>1</v>
      </c>
      <c r="J296">
        <v>23000260</v>
      </c>
      <c r="K296">
        <f t="array" ref="K296">INDEX(无限挑战!$F$78:$F$374,MATCH(J296,无限挑战!$N$78:$N$374,0))</f>
        <v>260000</v>
      </c>
      <c r="L296" t="str">
        <f t="shared" si="10"/>
        <v>无限挑战260000</v>
      </c>
    </row>
    <row r="297" ht="16.5" customHeight="1" spans="6:12">
      <c r="F297" s="3"/>
      <c r="G297" t="str">
        <v>钻石</v>
      </c>
      <c r="H297">
        <f t="shared" si="9"/>
        <v>2</v>
      </c>
      <c r="I297">
        <v>100</v>
      </c>
      <c r="J297">
        <v>23000261</v>
      </c>
      <c r="K297">
        <f t="array" ref="K297">INDEX(无限挑战!$F$78:$F$374,MATCH(J297,无限挑战!$N$78:$N$374,0))</f>
        <v>261000</v>
      </c>
      <c r="L297" t="str">
        <f t="shared" si="10"/>
        <v>无限挑战261000</v>
      </c>
    </row>
    <row r="298" ht="16.5" customHeight="1" spans="6:12">
      <c r="F298" s="3"/>
      <c r="G298" t="str">
        <v>角色抽卡券普通</v>
      </c>
      <c r="H298">
        <f t="shared" si="9"/>
        <v>106</v>
      </c>
      <c r="I298">
        <v>1</v>
      </c>
      <c r="J298">
        <v>23000262</v>
      </c>
      <c r="K298">
        <f t="array" ref="K298">INDEX(无限挑战!$F$78:$F$374,MATCH(J298,无限挑战!$N$78:$N$374,0))</f>
        <v>262000</v>
      </c>
      <c r="L298" t="str">
        <f t="shared" si="10"/>
        <v>无限挑战262000</v>
      </c>
    </row>
    <row r="299" ht="16.5" customHeight="1" spans="6:12">
      <c r="F299" s="3"/>
      <c r="G299" t="str">
        <v>角色抽卡券普通</v>
      </c>
      <c r="H299">
        <f t="shared" si="9"/>
        <v>106</v>
      </c>
      <c r="I299">
        <v>1</v>
      </c>
      <c r="J299">
        <v>23000263</v>
      </c>
      <c r="K299">
        <f t="array" ref="K299">INDEX(无限挑战!$F$78:$F$374,MATCH(J299,无限挑战!$N$78:$N$374,0))</f>
        <v>263000</v>
      </c>
      <c r="L299" t="str">
        <f t="shared" si="10"/>
        <v>无限挑战263000</v>
      </c>
    </row>
    <row r="300" ht="16.5" customHeight="1" spans="6:12">
      <c r="F300" s="3"/>
      <c r="G300" t="str">
        <v>钻石</v>
      </c>
      <c r="H300">
        <f t="shared" si="9"/>
        <v>2</v>
      </c>
      <c r="I300">
        <v>100</v>
      </c>
      <c r="J300">
        <v>23000264</v>
      </c>
      <c r="K300">
        <f t="array" ref="K300">INDEX(无限挑战!$F$78:$F$374,MATCH(J300,无限挑战!$N$78:$N$374,0))</f>
        <v>264000</v>
      </c>
      <c r="L300" t="str">
        <f t="shared" si="10"/>
        <v>无限挑战264000</v>
      </c>
    </row>
    <row r="301" spans="6:12">
      <c r="G301" t="str">
        <v>角色抽卡券普通</v>
      </c>
      <c r="H301">
        <f t="shared" si="9"/>
        <v>106</v>
      </c>
      <c r="I301">
        <v>1</v>
      </c>
      <c r="J301">
        <v>23000265</v>
      </c>
      <c r="K301">
        <f t="array" ref="K301">INDEX(无限挑战!$F$78:$F$374,MATCH(J301,无限挑战!$N$78:$N$374,0))</f>
        <v>265000</v>
      </c>
      <c r="L301" t="str">
        <f t="shared" si="10"/>
        <v>无限挑战265000</v>
      </c>
    </row>
    <row r="302" spans="6:12">
      <c r="G302" t="str">
        <v>角色抽卡券普通</v>
      </c>
      <c r="H302">
        <f t="shared" si="9"/>
        <v>106</v>
      </c>
      <c r="I302">
        <v>1</v>
      </c>
      <c r="J302">
        <v>23000266</v>
      </c>
      <c r="K302">
        <f t="array" ref="K302">INDEX(无限挑战!$F$78:$F$374,MATCH(J302,无限挑战!$N$78:$N$374,0))</f>
        <v>266000</v>
      </c>
      <c r="L302" t="str">
        <f t="shared" si="10"/>
        <v>无限挑战266000</v>
      </c>
    </row>
    <row r="303" spans="6:12">
      <c r="G303" t="str">
        <v>钻石</v>
      </c>
      <c r="H303">
        <f t="shared" si="9"/>
        <v>2</v>
      </c>
      <c r="I303">
        <v>100</v>
      </c>
      <c r="J303">
        <v>23000267</v>
      </c>
      <c r="K303">
        <f t="array" ref="K303">INDEX(无限挑战!$F$78:$F$374,MATCH(J303,无限挑战!$N$78:$N$374,0))</f>
        <v>267000</v>
      </c>
      <c r="L303" t="str">
        <f t="shared" si="10"/>
        <v>无限挑战267000</v>
      </c>
    </row>
    <row r="304" spans="6:12">
      <c r="G304" t="str">
        <v>角色抽卡券普通</v>
      </c>
      <c r="H304">
        <f t="shared" si="9"/>
        <v>106</v>
      </c>
      <c r="I304">
        <v>1</v>
      </c>
      <c r="J304">
        <v>23000268</v>
      </c>
      <c r="K304">
        <f t="array" ref="K304">INDEX(无限挑战!$F$78:$F$374,MATCH(J304,无限挑战!$N$78:$N$374,0))</f>
        <v>268000</v>
      </c>
      <c r="L304" t="str">
        <f t="shared" si="10"/>
        <v>无限挑战268000</v>
      </c>
    </row>
    <row r="305" spans="7:12">
      <c r="G305" t="str">
        <v>角色抽卡券普通</v>
      </c>
      <c r="H305">
        <f t="shared" si="9"/>
        <v>106</v>
      </c>
      <c r="I305">
        <v>1</v>
      </c>
      <c r="J305">
        <v>23000269</v>
      </c>
      <c r="K305">
        <f t="array" ref="K305">INDEX(无限挑战!$F$78:$F$374,MATCH(J305,无限挑战!$N$78:$N$374,0))</f>
        <v>269000</v>
      </c>
      <c r="L305" t="str">
        <f t="shared" si="10"/>
        <v>无限挑战269000</v>
      </c>
    </row>
    <row r="306" spans="7:12">
      <c r="G306" t="str">
        <v>钻石</v>
      </c>
      <c r="H306">
        <f t="shared" si="9"/>
        <v>2</v>
      </c>
      <c r="I306">
        <v>100</v>
      </c>
      <c r="J306">
        <v>23000270</v>
      </c>
      <c r="K306">
        <f t="array" ref="K306">INDEX(无限挑战!$F$78:$F$374,MATCH(J306,无限挑战!$N$78:$N$374,0))</f>
        <v>270000</v>
      </c>
      <c r="L306" t="str">
        <f t="shared" si="10"/>
        <v>无限挑战270000</v>
      </c>
    </row>
    <row r="307" spans="7:12">
      <c r="G307" t="str">
        <v>角色抽卡券普通</v>
      </c>
      <c r="H307">
        <f t="shared" si="9"/>
        <v>106</v>
      </c>
      <c r="I307">
        <v>1</v>
      </c>
      <c r="J307">
        <v>23000271</v>
      </c>
      <c r="K307">
        <f t="array" ref="K307">INDEX(无限挑战!$F$78:$F$374,MATCH(J307,无限挑战!$N$78:$N$374,0))</f>
        <v>271000</v>
      </c>
      <c r="L307" t="str">
        <f t="shared" si="10"/>
        <v>无限挑战271000</v>
      </c>
    </row>
    <row r="308" spans="7:12">
      <c r="G308" t="str">
        <v>角色抽卡券普通</v>
      </c>
      <c r="H308">
        <f t="shared" si="9"/>
        <v>106</v>
      </c>
      <c r="I308">
        <v>1</v>
      </c>
      <c r="J308">
        <v>23000272</v>
      </c>
      <c r="K308">
        <f t="array" ref="K308">INDEX(无限挑战!$F$78:$F$374,MATCH(J308,无限挑战!$N$78:$N$374,0))</f>
        <v>272000</v>
      </c>
      <c r="L308" t="str">
        <f t="shared" si="10"/>
        <v>无限挑战272000</v>
      </c>
    </row>
    <row r="309" spans="7:12">
      <c r="G309" t="str">
        <v>钻石</v>
      </c>
      <c r="H309">
        <f t="shared" si="9"/>
        <v>2</v>
      </c>
      <c r="I309">
        <v>100</v>
      </c>
      <c r="J309">
        <v>23000273</v>
      </c>
      <c r="K309">
        <f t="array" ref="K309">INDEX(无限挑战!$F$78:$F$374,MATCH(J309,无限挑战!$N$78:$N$374,0))</f>
        <v>273000</v>
      </c>
      <c r="L309" t="str">
        <f t="shared" si="10"/>
        <v>无限挑战273000</v>
      </c>
    </row>
    <row r="310" spans="7:12">
      <c r="G310" t="str">
        <v>角色抽卡券普通</v>
      </c>
      <c r="H310">
        <f t="shared" si="9"/>
        <v>106</v>
      </c>
      <c r="I310">
        <v>1</v>
      </c>
      <c r="J310">
        <v>23000274</v>
      </c>
      <c r="K310">
        <f t="array" ref="K310">INDEX(无限挑战!$F$78:$F$374,MATCH(J310,无限挑战!$N$78:$N$374,0))</f>
        <v>274000</v>
      </c>
      <c r="L310" t="str">
        <f t="shared" si="10"/>
        <v>无限挑战274000</v>
      </c>
    </row>
    <row r="311" spans="7:12">
      <c r="G311" t="str">
        <v>角色抽卡券普通</v>
      </c>
      <c r="H311">
        <f t="shared" si="9"/>
        <v>106</v>
      </c>
      <c r="I311">
        <v>1</v>
      </c>
      <c r="J311">
        <v>23000275</v>
      </c>
      <c r="K311">
        <f t="array" ref="K311">INDEX(无限挑战!$F$78:$F$374,MATCH(J311,无限挑战!$N$78:$N$374,0))</f>
        <v>275000</v>
      </c>
      <c r="L311" t="str">
        <f t="shared" si="10"/>
        <v>无限挑战275000</v>
      </c>
    </row>
    <row r="312" spans="7:12">
      <c r="G312" t="str">
        <v>钻石</v>
      </c>
      <c r="H312">
        <f t="shared" si="9"/>
        <v>2</v>
      </c>
      <c r="I312">
        <v>100</v>
      </c>
      <c r="J312">
        <v>23000276</v>
      </c>
      <c r="K312">
        <f t="array" ref="K312">INDEX(无限挑战!$F$78:$F$374,MATCH(J312,无限挑战!$N$78:$N$374,0))</f>
        <v>276000</v>
      </c>
      <c r="L312" t="str">
        <f t="shared" si="10"/>
        <v>无限挑战276000</v>
      </c>
    </row>
    <row r="313" spans="7:12">
      <c r="G313" t="str">
        <v>角色抽卡券普通</v>
      </c>
      <c r="H313">
        <f t="shared" si="9"/>
        <v>106</v>
      </c>
      <c r="I313">
        <v>1</v>
      </c>
      <c r="J313">
        <v>23000277</v>
      </c>
      <c r="K313">
        <f t="array" ref="K313">INDEX(无限挑战!$F$78:$F$374,MATCH(J313,无限挑战!$N$78:$N$374,0))</f>
        <v>277000</v>
      </c>
      <c r="L313" t="str">
        <f t="shared" si="10"/>
        <v>无限挑战277000</v>
      </c>
    </row>
    <row r="314" spans="7:12">
      <c r="G314" t="str">
        <v>角色抽卡券普通</v>
      </c>
      <c r="H314">
        <f t="shared" si="9"/>
        <v>106</v>
      </c>
      <c r="I314">
        <v>1</v>
      </c>
      <c r="J314">
        <v>23000278</v>
      </c>
      <c r="K314">
        <f t="array" ref="K314">INDEX(无限挑战!$F$78:$F$374,MATCH(J314,无限挑战!$N$78:$N$374,0))</f>
        <v>278000</v>
      </c>
      <c r="L314" t="str">
        <f t="shared" si="10"/>
        <v>无限挑战278000</v>
      </c>
    </row>
    <row r="315" spans="7:12">
      <c r="G315" t="str">
        <v>钻石</v>
      </c>
      <c r="H315">
        <f t="shared" si="9"/>
        <v>2</v>
      </c>
      <c r="I315">
        <v>100</v>
      </c>
      <c r="J315">
        <v>23000279</v>
      </c>
      <c r="K315">
        <f t="array" ref="K315">INDEX(无限挑战!$F$78:$F$374,MATCH(J315,无限挑战!$N$78:$N$374,0))</f>
        <v>279000</v>
      </c>
      <c r="L315" t="str">
        <f t="shared" si="10"/>
        <v>无限挑战279000</v>
      </c>
    </row>
    <row r="316" spans="7:12">
      <c r="G316" t="str">
        <v>角色抽卡券普通</v>
      </c>
      <c r="H316">
        <f t="shared" si="9"/>
        <v>106</v>
      </c>
      <c r="I316">
        <v>1</v>
      </c>
      <c r="J316">
        <v>23000280</v>
      </c>
      <c r="K316">
        <f t="array" ref="K316">INDEX(无限挑战!$F$78:$F$374,MATCH(J316,无限挑战!$N$78:$N$374,0))</f>
        <v>280000</v>
      </c>
      <c r="L316" t="str">
        <f t="shared" si="10"/>
        <v>无限挑战280000</v>
      </c>
    </row>
    <row r="317" spans="7:12">
      <c r="G317" t="str">
        <v>角色抽卡券普通</v>
      </c>
      <c r="H317">
        <f t="shared" si="9"/>
        <v>106</v>
      </c>
      <c r="I317">
        <v>1</v>
      </c>
      <c r="J317">
        <v>23000281</v>
      </c>
      <c r="K317">
        <f t="array" ref="K317">INDEX(无限挑战!$F$78:$F$374,MATCH(J317,无限挑战!$N$78:$N$374,0))</f>
        <v>281000</v>
      </c>
      <c r="L317" t="str">
        <f t="shared" si="10"/>
        <v>无限挑战281000</v>
      </c>
    </row>
    <row r="318" spans="7:12">
      <c r="G318" t="str">
        <v>钻石</v>
      </c>
      <c r="H318">
        <f t="shared" si="9"/>
        <v>2</v>
      </c>
      <c r="I318">
        <v>100</v>
      </c>
      <c r="J318">
        <v>23000282</v>
      </c>
      <c r="K318">
        <f t="array" ref="K318">INDEX(无限挑战!$F$78:$F$374,MATCH(J318,无限挑战!$N$78:$N$374,0))</f>
        <v>282000</v>
      </c>
      <c r="L318" t="str">
        <f t="shared" si="10"/>
        <v>无限挑战282000</v>
      </c>
    </row>
    <row r="319" spans="7:12">
      <c r="G319" t="str">
        <v>角色抽卡券普通</v>
      </c>
      <c r="H319">
        <f t="shared" si="9"/>
        <v>106</v>
      </c>
      <c r="I319">
        <v>1</v>
      </c>
      <c r="J319">
        <v>23000283</v>
      </c>
      <c r="K319">
        <f t="array" ref="K319">INDEX(无限挑战!$F$78:$F$374,MATCH(J319,无限挑战!$N$78:$N$374,0))</f>
        <v>283000</v>
      </c>
      <c r="L319" t="str">
        <f t="shared" si="10"/>
        <v>无限挑战283000</v>
      </c>
    </row>
    <row r="320" spans="7:12">
      <c r="G320" t="str">
        <v>角色抽卡券普通</v>
      </c>
      <c r="H320">
        <f t="shared" si="9"/>
        <v>106</v>
      </c>
      <c r="I320">
        <v>1</v>
      </c>
      <c r="J320">
        <v>23000284</v>
      </c>
      <c r="K320">
        <f t="array" ref="K320">INDEX(无限挑战!$F$78:$F$374,MATCH(J320,无限挑战!$N$78:$N$374,0))</f>
        <v>284000</v>
      </c>
      <c r="L320" t="str">
        <f t="shared" si="10"/>
        <v>无限挑战284000</v>
      </c>
    </row>
    <row r="321" spans="7:12">
      <c r="G321" t="str">
        <v>钻石</v>
      </c>
      <c r="H321">
        <f t="shared" si="9"/>
        <v>2</v>
      </c>
      <c r="I321">
        <v>100</v>
      </c>
      <c r="J321">
        <v>23000285</v>
      </c>
      <c r="K321">
        <f t="array" ref="K321">INDEX(无限挑战!$F$78:$F$374,MATCH(J321,无限挑战!$N$78:$N$374,0))</f>
        <v>285000</v>
      </c>
      <c r="L321" t="str">
        <f t="shared" si="10"/>
        <v>无限挑战285000</v>
      </c>
    </row>
    <row r="322" spans="7:12">
      <c r="G322" t="str">
        <v>角色抽卡券普通</v>
      </c>
      <c r="H322">
        <f t="shared" si="9"/>
        <v>106</v>
      </c>
      <c r="I322">
        <v>1</v>
      </c>
      <c r="J322">
        <v>23000286</v>
      </c>
      <c r="K322">
        <f t="array" ref="K322">INDEX(无限挑战!$F$78:$F$374,MATCH(J322,无限挑战!$N$78:$N$374,0))</f>
        <v>286000</v>
      </c>
      <c r="L322" t="str">
        <f t="shared" si="10"/>
        <v>无限挑战286000</v>
      </c>
    </row>
    <row r="323" spans="7:12">
      <c r="G323" t="str">
        <v>角色抽卡券普通</v>
      </c>
      <c r="H323">
        <f t="shared" si="9"/>
        <v>106</v>
      </c>
      <c r="I323">
        <v>1</v>
      </c>
      <c r="J323">
        <v>23000287</v>
      </c>
      <c r="K323">
        <f t="array" ref="K323">INDEX(无限挑战!$F$78:$F$374,MATCH(J323,无限挑战!$N$78:$N$374,0))</f>
        <v>287000</v>
      </c>
      <c r="L323" t="str">
        <f t="shared" si="10"/>
        <v>无限挑战287000</v>
      </c>
    </row>
    <row r="324" spans="7:12">
      <c r="G324" t="str">
        <v>钻石</v>
      </c>
      <c r="H324">
        <f t="shared" ref="H324:H333" si="11">VLOOKUP(G324,$B:$C,2,0)</f>
        <v>2</v>
      </c>
      <c r="I324">
        <v>100</v>
      </c>
      <c r="J324">
        <v>23000288</v>
      </c>
      <c r="K324">
        <f t="array" ref="K324">INDEX(无限挑战!$F$78:$F$374,MATCH(J324,无限挑战!$N$78:$N$374,0))</f>
        <v>288000</v>
      </c>
      <c r="L324" t="str">
        <f t="shared" ref="L324:L333" si="12">_xlfn.CONCAT("无限挑战",K324)</f>
        <v>无限挑战288000</v>
      </c>
    </row>
    <row r="325" spans="7:12">
      <c r="G325" t="str">
        <v>角色抽卡券普通</v>
      </c>
      <c r="H325">
        <f t="shared" si="11"/>
        <v>106</v>
      </c>
      <c r="I325">
        <v>1</v>
      </c>
      <c r="J325">
        <v>23000289</v>
      </c>
      <c r="K325">
        <f t="array" ref="K325">INDEX(无限挑战!$F$78:$F$374,MATCH(J325,无限挑战!$N$78:$N$374,0))</f>
        <v>289000</v>
      </c>
      <c r="L325" t="str">
        <f t="shared" si="12"/>
        <v>无限挑战289000</v>
      </c>
    </row>
    <row r="326" spans="7:12">
      <c r="G326" t="str">
        <v>角色抽卡券普通</v>
      </c>
      <c r="H326">
        <f t="shared" si="11"/>
        <v>106</v>
      </c>
      <c r="I326">
        <v>1</v>
      </c>
      <c r="J326">
        <v>23000290</v>
      </c>
      <c r="K326">
        <f t="array" ref="K326">INDEX(无限挑战!$F$78:$F$374,MATCH(J326,无限挑战!$N$78:$N$374,0))</f>
        <v>290000</v>
      </c>
      <c r="L326" t="str">
        <f t="shared" si="12"/>
        <v>无限挑战290000</v>
      </c>
    </row>
    <row r="327" spans="7:12">
      <c r="G327" t="str">
        <v>钻石</v>
      </c>
      <c r="H327">
        <f t="shared" si="11"/>
        <v>2</v>
      </c>
      <c r="I327">
        <v>100</v>
      </c>
      <c r="J327">
        <v>23000291</v>
      </c>
      <c r="K327">
        <f t="array" ref="K327">INDEX(无限挑战!$F$78:$F$374,MATCH(J327,无限挑战!$N$78:$N$374,0))</f>
        <v>291000</v>
      </c>
      <c r="L327" t="str">
        <f t="shared" si="12"/>
        <v>无限挑战291000</v>
      </c>
    </row>
    <row r="328" spans="7:12">
      <c r="G328" t="str">
        <v>角色抽卡券普通</v>
      </c>
      <c r="H328">
        <f t="shared" si="11"/>
        <v>106</v>
      </c>
      <c r="I328">
        <v>1</v>
      </c>
      <c r="J328">
        <v>23000292</v>
      </c>
      <c r="K328">
        <f t="array" ref="K328">INDEX(无限挑战!$F$78:$F$374,MATCH(J328,无限挑战!$N$78:$N$374,0))</f>
        <v>292000</v>
      </c>
      <c r="L328" t="str">
        <f t="shared" si="12"/>
        <v>无限挑战292000</v>
      </c>
    </row>
    <row r="329" spans="7:12">
      <c r="G329" t="str">
        <v>角色抽卡券普通</v>
      </c>
      <c r="H329">
        <f t="shared" si="11"/>
        <v>106</v>
      </c>
      <c r="I329">
        <v>1</v>
      </c>
      <c r="J329">
        <v>23000293</v>
      </c>
      <c r="K329">
        <f t="array" ref="K329">INDEX(无限挑战!$F$78:$F$374,MATCH(J329,无限挑战!$N$78:$N$374,0))</f>
        <v>293000</v>
      </c>
      <c r="L329" t="str">
        <f t="shared" si="12"/>
        <v>无限挑战293000</v>
      </c>
    </row>
    <row r="330" spans="7:12">
      <c r="G330" t="str">
        <v>钻石</v>
      </c>
      <c r="H330">
        <f t="shared" si="11"/>
        <v>2</v>
      </c>
      <c r="I330">
        <v>100</v>
      </c>
      <c r="J330">
        <v>23000294</v>
      </c>
      <c r="K330">
        <f t="array" ref="K330">INDEX(无限挑战!$F$78:$F$374,MATCH(J330,无限挑战!$N$78:$N$374,0))</f>
        <v>294000</v>
      </c>
      <c r="L330" t="str">
        <f t="shared" si="12"/>
        <v>无限挑战294000</v>
      </c>
    </row>
    <row r="331" spans="7:12">
      <c r="G331" t="str">
        <v>角色抽卡券普通</v>
      </c>
      <c r="H331">
        <f t="shared" si="11"/>
        <v>106</v>
      </c>
      <c r="I331">
        <v>1</v>
      </c>
      <c r="J331">
        <v>23000295</v>
      </c>
      <c r="K331">
        <f t="array" ref="K331">INDEX(无限挑战!$F$78:$F$374,MATCH(J331,无限挑战!$N$78:$N$374,0))</f>
        <v>295000</v>
      </c>
      <c r="L331" t="str">
        <f t="shared" si="12"/>
        <v>无限挑战295000</v>
      </c>
    </row>
    <row r="332" spans="7:12">
      <c r="G332" t="str">
        <v>角色抽卡券普通</v>
      </c>
      <c r="H332">
        <f t="shared" si="11"/>
        <v>106</v>
      </c>
      <c r="I332">
        <v>1</v>
      </c>
      <c r="J332">
        <v>23000296</v>
      </c>
      <c r="K332">
        <f t="array" ref="K332">INDEX(无限挑战!$F$78:$F$374,MATCH(J332,无限挑战!$N$78:$N$374,0))</f>
        <v>296000</v>
      </c>
      <c r="L332" t="str">
        <f t="shared" si="12"/>
        <v>无限挑战296000</v>
      </c>
    </row>
    <row r="333" spans="7:12">
      <c r="G333" t="str">
        <v>钻石</v>
      </c>
      <c r="H333">
        <f t="shared" si="11"/>
        <v>2</v>
      </c>
      <c r="I333">
        <v>100</v>
      </c>
      <c r="J333">
        <v>23000297</v>
      </c>
      <c r="K333">
        <f t="array" ref="K333">INDEX(无限挑战!$F$78:$F$374,MATCH(J333,无限挑战!$N$78:$N$374,0))</f>
        <v>297000</v>
      </c>
      <c r="L333" t="str">
        <f t="shared" si="12"/>
        <v>无限挑战297000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B2:M108"/>
  <sheetViews>
    <sheetView topLeftCell="A44" workbookViewId="0">
      <selection activeCell="M51" sqref="M51"/>
    </sheetView>
  </sheetViews>
  <sheetFormatPr defaultColWidth="9" defaultRowHeight="16.5"/>
  <cols>
    <col min="1" max="1" width="9" style="3" customWidth="1"/>
    <col min="2" max="2" width="12.625" style="3" customWidth="1"/>
    <col min="3" max="3" width="15.625" style="3" customWidth="1"/>
    <col min="4" max="4" width="16.25" style="3" customWidth="1"/>
    <col min="5" max="5" width="15" style="3" customWidth="1"/>
    <col min="6" max="6" width="17.125" style="3" customWidth="1"/>
    <col min="7" max="7" width="14.75" style="3" customWidth="1"/>
    <col min="8" max="8" width="12" style="3" customWidth="1"/>
    <col min="9" max="9" width="21.25" style="3" customWidth="1"/>
    <col min="10" max="10" width="10.875" style="3" customWidth="1"/>
    <col min="11" max="16384" width="9" style="3" customWidth="1"/>
  </cols>
  <sheetData>
    <row r="2" spans="2:9">
      <c r="B2" s="3" t="s">
        <v>1707</v>
      </c>
    </row>
    <row r="4" spans="2:9">
      <c r="B4" s="3" t="s">
        <v>1708</v>
      </c>
      <c r="I4" s="3" t="s">
        <v>1709</v>
      </c>
    </row>
    <row r="5" spans="2:9">
      <c r="I5" s="3" t="s">
        <v>1710</v>
      </c>
    </row>
    <row r="6" spans="2:9">
      <c r="B6" s="77" t="s">
        <v>1711</v>
      </c>
      <c r="I6" s="3" t="s">
        <v>1712</v>
      </c>
    </row>
    <row r="7" spans="2:9">
      <c r="B7" s="77" t="s">
        <v>1713</v>
      </c>
      <c r="I7" s="3" t="s">
        <v>1714</v>
      </c>
    </row>
    <row r="8" spans="2:9">
      <c r="B8" s="77" t="s">
        <v>1715</v>
      </c>
      <c r="I8" s="3" t="s">
        <v>1716</v>
      </c>
    </row>
    <row r="9" spans="2:9">
      <c r="B9" s="77" t="s">
        <v>1717</v>
      </c>
      <c r="I9" s="3" t="s">
        <v>1718</v>
      </c>
    </row>
    <row r="10" spans="2:9">
      <c r="B10" s="77" t="s">
        <v>1719</v>
      </c>
    </row>
    <row r="12" spans="2:9">
      <c r="B12" s="3" t="s">
        <v>1720</v>
      </c>
    </row>
    <row r="14" spans="2:9">
      <c r="B14" s="209" t="s">
        <v>1721</v>
      </c>
    </row>
    <row r="15" spans="2:9">
      <c r="B15" s="209" t="s">
        <v>1722</v>
      </c>
    </row>
    <row r="16" spans="2:9">
      <c r="B16" s="209" t="s">
        <v>1723</v>
      </c>
    </row>
    <row r="17" spans="2:4">
      <c r="B17" s="209" t="s">
        <v>1724</v>
      </c>
    </row>
    <row r="18" spans="2:4">
      <c r="B18" s="209" t="s">
        <v>1725</v>
      </c>
    </row>
    <row r="19" spans="2:4">
      <c r="B19" s="209" t="s">
        <v>1726</v>
      </c>
    </row>
    <row r="21" spans="2:4">
      <c r="B21" s="3" t="s">
        <v>1727</v>
      </c>
    </row>
    <row r="23" spans="2:4">
      <c r="B23" s="3" t="s">
        <v>1728</v>
      </c>
    </row>
    <row r="25" spans="2:4">
      <c r="B25" s="3" t="s">
        <v>1729</v>
      </c>
      <c r="C25" s="5">
        <v>3</v>
      </c>
    </row>
    <row r="26" spans="2:4">
      <c r="B26" s="3" t="s">
        <v>1730</v>
      </c>
      <c r="C26" s="5">
        <v>2</v>
      </c>
    </row>
    <row r="27" spans="2:4">
      <c r="B27" s="3" t="s">
        <v>1731</v>
      </c>
      <c r="C27" s="5">
        <v>5</v>
      </c>
    </row>
    <row r="28" spans="2:4">
      <c r="B28" s="3" t="s">
        <v>1732</v>
      </c>
      <c r="C28" s="5">
        <v>50</v>
      </c>
      <c r="D28" s="3" t="s">
        <v>5</v>
      </c>
    </row>
    <row r="30" spans="2:4">
      <c r="B30" s="3" t="s">
        <v>1733</v>
      </c>
      <c r="C30" s="5">
        <v>14</v>
      </c>
    </row>
    <row r="31" spans="2:4">
      <c r="B31" s="3" t="s">
        <v>1734</v>
      </c>
      <c r="C31" s="5">
        <v>1000</v>
      </c>
    </row>
    <row r="33" spans="2:11">
      <c r="B33" s="3" t="s">
        <v>1735</v>
      </c>
      <c r="C33" s="3" t="s">
        <v>1736</v>
      </c>
    </row>
    <row r="34" spans="2:11">
      <c r="C34" s="3" t="s">
        <v>1737</v>
      </c>
    </row>
    <row r="36" spans="2:11">
      <c r="B36" s="3" t="s">
        <v>1738</v>
      </c>
    </row>
    <row r="38" spans="2:11">
      <c r="B38" s="16" t="s">
        <v>1739</v>
      </c>
    </row>
    <row r="39" spans="2:11">
      <c r="B39" s="188" t="s">
        <v>1740</v>
      </c>
      <c r="C39" s="188" t="s">
        <v>1123</v>
      </c>
      <c r="D39" s="188" t="s">
        <v>1697</v>
      </c>
      <c r="E39" s="188" t="s">
        <v>1444</v>
      </c>
      <c r="F39" s="188" t="s">
        <v>1125</v>
      </c>
      <c r="G39" s="188" t="s">
        <v>1699</v>
      </c>
    </row>
    <row r="40" spans="2:11">
      <c r="B40" s="16" t="s">
        <v>607</v>
      </c>
      <c r="C40" s="16">
        <v>5</v>
      </c>
      <c r="D40" s="16">
        <f>VLOOKUP(B40,道具定价!$C:$F,4,0)*C40</f>
        <v>50</v>
      </c>
      <c r="E40" s="16" t="s">
        <v>736</v>
      </c>
      <c r="F40" s="16">
        <v>50</v>
      </c>
      <c r="G40" s="16">
        <f>VLOOKUP(E40,道具定价!$C:$F,4,0)*F40</f>
        <v>50</v>
      </c>
    </row>
    <row r="42" spans="2:11">
      <c r="B42" s="16" t="s">
        <v>1741</v>
      </c>
    </row>
    <row r="43" spans="2:11">
      <c r="B43" s="188" t="s">
        <v>1740</v>
      </c>
      <c r="C43" s="188" t="s">
        <v>1123</v>
      </c>
      <c r="D43" s="188" t="s">
        <v>1697</v>
      </c>
      <c r="E43" s="188" t="s">
        <v>1444</v>
      </c>
      <c r="F43" s="188" t="s">
        <v>1125</v>
      </c>
      <c r="G43" s="188" t="s">
        <v>1699</v>
      </c>
    </row>
    <row r="44" spans="2:11">
      <c r="B44" s="16" t="s">
        <v>607</v>
      </c>
      <c r="C44" s="16">
        <v>2</v>
      </c>
      <c r="D44" s="16">
        <f>VLOOKUP(B44,道具定价!$C:$F,4,0)*C44</f>
        <v>20</v>
      </c>
      <c r="E44" s="16" t="s">
        <v>736</v>
      </c>
      <c r="F44" s="16">
        <v>30</v>
      </c>
      <c r="G44" s="16">
        <f>VLOOKUP(E44,道具定价!$C:$F,4,0)*F44</f>
        <v>30</v>
      </c>
    </row>
    <row r="46" spans="2:11">
      <c r="B46" s="3" t="s">
        <v>1742</v>
      </c>
    </row>
    <row r="48" ht="33" customHeight="1" spans="2:11">
      <c r="B48" s="189" t="s">
        <v>1743</v>
      </c>
      <c r="C48" s="189" t="s">
        <v>1744</v>
      </c>
      <c r="D48" s="189" t="s">
        <v>1745</v>
      </c>
      <c r="E48" s="189" t="s">
        <v>1746</v>
      </c>
      <c r="F48" s="189" t="s">
        <v>1747</v>
      </c>
      <c r="G48" s="189" t="s">
        <v>1746</v>
      </c>
      <c r="H48" s="189" t="s">
        <v>1748</v>
      </c>
      <c r="I48" s="189" t="s">
        <v>1749</v>
      </c>
      <c r="J48" s="189" t="s">
        <v>1750</v>
      </c>
      <c r="K48" s="189" t="s">
        <v>1751</v>
      </c>
    </row>
    <row r="49" spans="2:13">
      <c r="B49" s="208" t="s">
        <v>1752</v>
      </c>
      <c r="C49" s="208">
        <v>0</v>
      </c>
      <c r="H49" s="16" t="s">
        <v>5</v>
      </c>
      <c r="I49" s="3">
        <v>100</v>
      </c>
      <c r="J49" s="16" t="s">
        <v>607</v>
      </c>
      <c r="K49">
        <v>100</v>
      </c>
      <c r="M49"/>
    </row>
    <row r="50" spans="2:13">
      <c r="B50" s="208" t="s">
        <v>1753</v>
      </c>
      <c r="C50" s="208">
        <v>1000</v>
      </c>
      <c r="D50" s="16" t="s">
        <v>735</v>
      </c>
      <c r="E50" s="16">
        <v>1</v>
      </c>
      <c r="F50" s="16"/>
      <c r="H50" s="16" t="s">
        <v>5</v>
      </c>
      <c r="I50" s="3">
        <v>100</v>
      </c>
      <c r="J50" s="16" t="s">
        <v>607</v>
      </c>
      <c r="K50">
        <v>200</v>
      </c>
    </row>
    <row r="51" spans="2:13">
      <c r="B51" s="208" t="s">
        <v>1754</v>
      </c>
      <c r="C51" s="208">
        <v>1100</v>
      </c>
      <c r="D51" s="16" t="s">
        <v>607</v>
      </c>
      <c r="E51" s="16">
        <v>400</v>
      </c>
      <c r="F51" s="16"/>
      <c r="H51" s="16" t="s">
        <v>5</v>
      </c>
      <c r="I51" s="3">
        <v>100</v>
      </c>
      <c r="J51" s="16" t="s">
        <v>607</v>
      </c>
      <c r="K51">
        <v>250</v>
      </c>
    </row>
    <row r="52" spans="2:13">
      <c r="B52" s="208" t="s">
        <v>1755</v>
      </c>
      <c r="C52" s="208">
        <v>1200</v>
      </c>
      <c r="D52" s="16" t="s">
        <v>5</v>
      </c>
      <c r="E52" s="16">
        <v>600</v>
      </c>
      <c r="F52" s="16"/>
      <c r="H52" s="16" t="s">
        <v>5</v>
      </c>
      <c r="I52" s="3">
        <v>100</v>
      </c>
      <c r="J52" s="16" t="s">
        <v>607</v>
      </c>
      <c r="K52">
        <v>300</v>
      </c>
    </row>
    <row r="53" spans="2:13">
      <c r="B53" s="208" t="s">
        <v>1756</v>
      </c>
      <c r="C53" s="208">
        <v>1300</v>
      </c>
      <c r="D53" s="16" t="s">
        <v>736</v>
      </c>
      <c r="E53" s="16">
        <v>600</v>
      </c>
      <c r="F53" s="16"/>
      <c r="H53" s="16" t="s">
        <v>5</v>
      </c>
      <c r="I53" s="3">
        <v>100</v>
      </c>
      <c r="J53" s="16" t="s">
        <v>607</v>
      </c>
      <c r="K53">
        <v>350</v>
      </c>
    </row>
    <row r="54" spans="2:13">
      <c r="B54" s="208" t="s">
        <v>1757</v>
      </c>
      <c r="C54" s="208">
        <v>1400</v>
      </c>
      <c r="D54" s="16" t="s">
        <v>607</v>
      </c>
      <c r="E54" s="16">
        <v>600</v>
      </c>
      <c r="F54" s="16"/>
      <c r="H54" s="16" t="s">
        <v>5</v>
      </c>
      <c r="I54" s="3">
        <v>100</v>
      </c>
      <c r="J54" s="16" t="s">
        <v>607</v>
      </c>
      <c r="K54">
        <v>400</v>
      </c>
    </row>
    <row r="55" spans="2:13">
      <c r="B55" s="208" t="s">
        <v>1758</v>
      </c>
      <c r="C55" s="208">
        <v>1500</v>
      </c>
      <c r="D55" s="16" t="s">
        <v>5</v>
      </c>
      <c r="E55" s="16">
        <v>600</v>
      </c>
      <c r="F55" s="16"/>
      <c r="H55" s="16" t="s">
        <v>5</v>
      </c>
      <c r="I55" s="3">
        <v>150</v>
      </c>
      <c r="J55" s="16" t="s">
        <v>607</v>
      </c>
      <c r="K55">
        <v>450</v>
      </c>
    </row>
    <row r="56" spans="2:13">
      <c r="B56" s="208" t="s">
        <v>1759</v>
      </c>
      <c r="C56" s="208">
        <v>1600</v>
      </c>
      <c r="D56" s="16" t="s">
        <v>736</v>
      </c>
      <c r="E56" s="16">
        <v>600</v>
      </c>
      <c r="F56" s="16"/>
      <c r="H56" s="16" t="s">
        <v>5</v>
      </c>
      <c r="I56" s="3">
        <v>150</v>
      </c>
      <c r="J56" s="16" t="s">
        <v>607</v>
      </c>
      <c r="K56">
        <v>500</v>
      </c>
    </row>
    <row r="57" spans="2:13">
      <c r="B57" s="208" t="s">
        <v>1760</v>
      </c>
      <c r="C57" s="208">
        <v>1700</v>
      </c>
      <c r="D57" s="16" t="s">
        <v>607</v>
      </c>
      <c r="E57" s="16">
        <v>600</v>
      </c>
      <c r="F57" s="16"/>
      <c r="H57" s="16" t="s">
        <v>5</v>
      </c>
      <c r="I57" s="3">
        <v>150</v>
      </c>
      <c r="J57" s="16" t="s">
        <v>607</v>
      </c>
      <c r="K57">
        <v>550</v>
      </c>
    </row>
    <row r="58" spans="2:13">
      <c r="B58" s="208" t="s">
        <v>1761</v>
      </c>
      <c r="C58" s="208">
        <v>1800</v>
      </c>
      <c r="D58" s="16" t="s">
        <v>5</v>
      </c>
      <c r="E58" s="16">
        <v>800</v>
      </c>
      <c r="F58" s="16"/>
      <c r="H58" s="16" t="s">
        <v>5</v>
      </c>
      <c r="I58" s="3">
        <v>200</v>
      </c>
      <c r="J58" s="16" t="s">
        <v>607</v>
      </c>
      <c r="K58">
        <v>600</v>
      </c>
    </row>
    <row r="59" spans="2:13">
      <c r="B59" s="208" t="s">
        <v>1762</v>
      </c>
      <c r="C59" s="208">
        <v>1900</v>
      </c>
      <c r="D59" s="16" t="s">
        <v>736</v>
      </c>
      <c r="E59" s="16">
        <v>800</v>
      </c>
      <c r="F59" s="16"/>
      <c r="H59" s="16" t="s">
        <v>5</v>
      </c>
      <c r="I59" s="3">
        <v>200</v>
      </c>
      <c r="J59" s="16" t="s">
        <v>607</v>
      </c>
      <c r="K59">
        <v>650</v>
      </c>
    </row>
    <row r="60" spans="2:13">
      <c r="B60" s="208" t="s">
        <v>1763</v>
      </c>
      <c r="C60" s="208">
        <v>2000</v>
      </c>
      <c r="D60" s="16" t="s">
        <v>607</v>
      </c>
      <c r="E60" s="16">
        <v>800</v>
      </c>
      <c r="F60" s="16"/>
      <c r="H60" s="16" t="s">
        <v>5</v>
      </c>
      <c r="I60" s="3">
        <v>200</v>
      </c>
      <c r="J60" s="16" t="s">
        <v>607</v>
      </c>
      <c r="K60">
        <v>700</v>
      </c>
    </row>
    <row r="61" spans="2:13">
      <c r="B61" s="208" t="s">
        <v>1764</v>
      </c>
      <c r="C61" s="208">
        <v>2100</v>
      </c>
      <c r="D61" s="16" t="s">
        <v>5</v>
      </c>
      <c r="E61" s="16">
        <v>800</v>
      </c>
      <c r="F61" s="16"/>
      <c r="H61" s="16" t="s">
        <v>5</v>
      </c>
      <c r="I61" s="3">
        <v>250</v>
      </c>
      <c r="J61" s="16" t="s">
        <v>607</v>
      </c>
      <c r="K61">
        <v>750</v>
      </c>
    </row>
    <row r="62" ht="17.25" customHeight="1" spans="2:13">
      <c r="B62" s="15" t="s">
        <v>1765</v>
      </c>
      <c r="C62" s="208">
        <v>2200</v>
      </c>
      <c r="D62" s="16" t="s">
        <v>736</v>
      </c>
      <c r="E62" s="16">
        <v>800</v>
      </c>
      <c r="F62" s="16"/>
      <c r="H62" s="16" t="s">
        <v>5</v>
      </c>
      <c r="I62" s="3">
        <v>250</v>
      </c>
      <c r="J62" s="16" t="s">
        <v>607</v>
      </c>
      <c r="K62">
        <v>800</v>
      </c>
    </row>
    <row r="63" ht="17.25" customHeight="1" spans="2:13">
      <c r="B63" s="15" t="s">
        <v>1766</v>
      </c>
      <c r="C63" s="208">
        <v>2300</v>
      </c>
      <c r="D63" s="16" t="s">
        <v>607</v>
      </c>
      <c r="E63" s="16">
        <v>800</v>
      </c>
      <c r="F63" s="16"/>
      <c r="H63" s="16" t="s">
        <v>5</v>
      </c>
      <c r="I63" s="3">
        <v>250</v>
      </c>
      <c r="J63" s="16" t="s">
        <v>607</v>
      </c>
      <c r="K63">
        <v>850</v>
      </c>
    </row>
    <row r="64" ht="17.25" customHeight="1" spans="2:13">
      <c r="B64" s="15" t="s">
        <v>1767</v>
      </c>
      <c r="C64" s="208">
        <v>2400</v>
      </c>
      <c r="D64" s="16" t="s">
        <v>5</v>
      </c>
      <c r="E64" s="16">
        <v>1000</v>
      </c>
      <c r="F64" s="16"/>
      <c r="H64" s="16" t="s">
        <v>5</v>
      </c>
      <c r="I64" s="3">
        <v>300</v>
      </c>
      <c r="J64" s="16" t="s">
        <v>607</v>
      </c>
      <c r="K64">
        <v>900</v>
      </c>
    </row>
    <row r="65" ht="17.25" customHeight="1" spans="2:11">
      <c r="B65" s="15" t="s">
        <v>1768</v>
      </c>
      <c r="C65" s="208">
        <v>2500</v>
      </c>
      <c r="D65" s="16" t="s">
        <v>736</v>
      </c>
      <c r="E65" s="16">
        <v>1000</v>
      </c>
      <c r="F65" s="16"/>
      <c r="H65" s="16" t="s">
        <v>5</v>
      </c>
      <c r="I65" s="3">
        <v>300</v>
      </c>
      <c r="J65" s="16" t="s">
        <v>607</v>
      </c>
      <c r="K65">
        <v>950</v>
      </c>
    </row>
    <row r="66" ht="17.25" customHeight="1" spans="2:11">
      <c r="B66" s="15" t="s">
        <v>1769</v>
      </c>
      <c r="C66" s="208">
        <v>2600</v>
      </c>
      <c r="D66" s="16" t="s">
        <v>607</v>
      </c>
      <c r="E66" s="16">
        <v>1000</v>
      </c>
      <c r="F66" s="16"/>
      <c r="H66" s="16" t="s">
        <v>5</v>
      </c>
      <c r="I66" s="3">
        <v>300</v>
      </c>
      <c r="J66" s="16" t="s">
        <v>607</v>
      </c>
      <c r="K66">
        <v>1000</v>
      </c>
    </row>
    <row r="67" ht="17.25" customHeight="1" spans="2:11">
      <c r="B67" s="15" t="s">
        <v>1770</v>
      </c>
      <c r="C67" s="208">
        <v>2700</v>
      </c>
      <c r="D67" s="16" t="s">
        <v>5</v>
      </c>
      <c r="E67" s="16">
        <v>1000</v>
      </c>
      <c r="F67" s="16"/>
      <c r="H67" s="16" t="s">
        <v>5</v>
      </c>
      <c r="I67" s="3">
        <v>400</v>
      </c>
      <c r="J67" s="16" t="s">
        <v>607</v>
      </c>
      <c r="K67">
        <v>1050</v>
      </c>
    </row>
    <row r="68" ht="17.25" customHeight="1" spans="2:11">
      <c r="B68" s="15" t="s">
        <v>1771</v>
      </c>
      <c r="C68" s="208">
        <v>2800</v>
      </c>
      <c r="D68" s="16" t="s">
        <v>736</v>
      </c>
      <c r="E68" s="16">
        <v>1000</v>
      </c>
      <c r="F68" s="16"/>
      <c r="H68" s="16" t="s">
        <v>5</v>
      </c>
      <c r="I68" s="3">
        <v>400</v>
      </c>
      <c r="J68" s="16" t="s">
        <v>607</v>
      </c>
      <c r="K68">
        <v>1100</v>
      </c>
    </row>
    <row r="69" ht="17.25" customHeight="1" spans="2:11">
      <c r="B69" s="15" t="s">
        <v>1772</v>
      </c>
      <c r="C69" s="208">
        <v>2900</v>
      </c>
      <c r="D69" s="16" t="s">
        <v>607</v>
      </c>
      <c r="E69" s="16">
        <v>1000</v>
      </c>
      <c r="F69" s="16"/>
      <c r="H69" s="16" t="s">
        <v>5</v>
      </c>
      <c r="I69" s="3">
        <v>400</v>
      </c>
      <c r="J69" s="16" t="s">
        <v>607</v>
      </c>
      <c r="K69">
        <v>1150</v>
      </c>
    </row>
    <row r="70" ht="17.25" customHeight="1" spans="2:11">
      <c r="B70" s="15" t="s">
        <v>1159</v>
      </c>
      <c r="C70" s="208">
        <v>3000</v>
      </c>
      <c r="D70" s="16" t="s">
        <v>5</v>
      </c>
      <c r="E70" s="16">
        <v>1500</v>
      </c>
      <c r="F70" s="16"/>
      <c r="H70" s="16" t="s">
        <v>5</v>
      </c>
      <c r="I70" s="3">
        <v>500</v>
      </c>
      <c r="J70" s="16" t="s">
        <v>607</v>
      </c>
      <c r="K70">
        <v>1200</v>
      </c>
    </row>
    <row r="71" spans="2:11">
      <c r="B71" s="208" t="s">
        <v>1773</v>
      </c>
      <c r="H71" s="16" t="s">
        <v>5</v>
      </c>
      <c r="I71" s="3">
        <v>600</v>
      </c>
      <c r="J71" s="16" t="s">
        <v>607</v>
      </c>
      <c r="K71">
        <v>1300</v>
      </c>
    </row>
    <row r="72" spans="2:11">
      <c r="B72" s="208" t="s">
        <v>1774</v>
      </c>
      <c r="H72" s="16" t="s">
        <v>5</v>
      </c>
      <c r="I72" s="3">
        <v>800</v>
      </c>
      <c r="J72" s="16" t="s">
        <v>607</v>
      </c>
      <c r="K72">
        <v>1400</v>
      </c>
    </row>
    <row r="73" spans="2:11">
      <c r="B73" s="208" t="s">
        <v>1775</v>
      </c>
      <c r="H73" s="16" t="s">
        <v>5</v>
      </c>
      <c r="I73" s="3">
        <v>1000</v>
      </c>
      <c r="J73" s="16" t="s">
        <v>607</v>
      </c>
      <c r="K73">
        <v>1500</v>
      </c>
    </row>
    <row r="75" spans="2:11">
      <c r="B75" s="3" t="s">
        <v>1776</v>
      </c>
    </row>
    <row r="77" spans="2:11">
      <c r="B77" s="3" t="s">
        <v>1689</v>
      </c>
    </row>
    <row r="80" spans="2:11">
      <c r="B80" s="3" t="s">
        <v>1777</v>
      </c>
    </row>
    <row r="84" spans="2:12">
      <c r="B84" s="185" t="s">
        <v>1778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</row>
    <row r="85" spans="2:12">
      <c r="B85" s="19" t="s">
        <v>1585</v>
      </c>
      <c r="C85" s="19" t="s">
        <v>1586</v>
      </c>
      <c r="D85" s="19" t="s">
        <v>1587</v>
      </c>
      <c r="E85" s="19" t="s">
        <v>1588</v>
      </c>
      <c r="F85" s="19" t="s">
        <v>1589</v>
      </c>
      <c r="G85" s="19" t="s">
        <v>1590</v>
      </c>
      <c r="H85" s="19" t="s">
        <v>1591</v>
      </c>
      <c r="I85" s="19" t="s">
        <v>1592</v>
      </c>
      <c r="J85" s="19" t="s">
        <v>1593</v>
      </c>
      <c r="K85" s="19" t="s">
        <v>1594</v>
      </c>
      <c r="L85" s="19" t="s">
        <v>1779</v>
      </c>
    </row>
    <row r="86" spans="2:12">
      <c r="B86" s="16">
        <v>1</v>
      </c>
      <c r="C86" s="3" t="s">
        <v>665</v>
      </c>
      <c r="D86" s="179">
        <v>1</v>
      </c>
      <c r="E86" s="16">
        <f>VLOOKUP(C86,道具定价!$C:$F,4,0)*D86</f>
        <v>500</v>
      </c>
      <c r="F86" s="16" t="s">
        <v>607</v>
      </c>
      <c r="G86" s="179">
        <v>150</v>
      </c>
      <c r="H86" s="16">
        <f>VLOOKUP(F86,道具定价!$C:$F,4,0)*G86</f>
        <v>1500</v>
      </c>
      <c r="I86" s="16">
        <f t="shared" ref="I86:I95" si="0">H86/E86</f>
        <v>3</v>
      </c>
      <c r="J86" s="16" t="s">
        <v>1780</v>
      </c>
      <c r="K86" s="3">
        <v>5</v>
      </c>
    </row>
    <row r="87" spans="2:12">
      <c r="B87" s="16">
        <v>2</v>
      </c>
      <c r="C87" s="3" t="s">
        <v>606</v>
      </c>
      <c r="D87" s="179">
        <v>1</v>
      </c>
      <c r="E87" s="16">
        <f>VLOOKUP(C87,道具定价!$C:$F,4,0)*D87</f>
        <v>240</v>
      </c>
      <c r="F87" s="16" t="s">
        <v>607</v>
      </c>
      <c r="G87" s="179">
        <v>30</v>
      </c>
      <c r="H87" s="16">
        <f>VLOOKUP(F87,道具定价!$C:$F,4,0)*G87</f>
        <v>300</v>
      </c>
      <c r="I87" s="16">
        <f t="shared" si="0"/>
        <v>1.25</v>
      </c>
      <c r="J87" s="16" t="s">
        <v>1780</v>
      </c>
      <c r="K87" s="3">
        <v>3</v>
      </c>
    </row>
    <row r="88" spans="2:12">
      <c r="B88" s="16">
        <v>3</v>
      </c>
      <c r="C88" s="3" t="s">
        <v>601</v>
      </c>
      <c r="D88" s="179">
        <v>10000</v>
      </c>
      <c r="E88" s="16">
        <f>VLOOKUP(C88,道具定价!$C:$F,4,0)*D88</f>
        <v>10</v>
      </c>
      <c r="F88" s="16" t="s">
        <v>607</v>
      </c>
      <c r="G88" s="179">
        <v>1</v>
      </c>
      <c r="H88" s="16">
        <f>VLOOKUP(F88,道具定价!$C:$F,4,0)*G88</f>
        <v>10</v>
      </c>
      <c r="I88" s="16">
        <f t="shared" si="0"/>
        <v>1</v>
      </c>
      <c r="J88" s="16" t="s">
        <v>1780</v>
      </c>
      <c r="K88" s="3">
        <v>50</v>
      </c>
    </row>
    <row r="89" spans="2:12">
      <c r="B89" s="16">
        <v>4</v>
      </c>
      <c r="C89" s="3" t="s">
        <v>614</v>
      </c>
      <c r="D89" s="179">
        <v>1</v>
      </c>
      <c r="E89" s="16">
        <f>VLOOKUP(C89,道具定价!$C:$F,4,0)*D89</f>
        <v>10</v>
      </c>
      <c r="F89" s="16" t="s">
        <v>607</v>
      </c>
      <c r="G89" s="179">
        <v>1</v>
      </c>
      <c r="H89" s="16">
        <f>VLOOKUP(F89,道具定价!$C:$F,4,0)*G89</f>
        <v>10</v>
      </c>
      <c r="I89" s="16">
        <f t="shared" si="0"/>
        <v>1</v>
      </c>
      <c r="J89" s="16" t="s">
        <v>1780</v>
      </c>
      <c r="K89" s="3">
        <v>30</v>
      </c>
    </row>
    <row r="90" spans="2:12">
      <c r="B90" s="16">
        <v>5</v>
      </c>
      <c r="C90" s="3" t="s">
        <v>728</v>
      </c>
      <c r="D90" s="179">
        <v>1000</v>
      </c>
      <c r="E90" s="16">
        <f>VLOOKUP(C90,道具定价!$C:$F,4,0)*D90</f>
        <v>10</v>
      </c>
      <c r="F90" s="16" t="s">
        <v>607</v>
      </c>
      <c r="G90" s="179">
        <v>1</v>
      </c>
      <c r="H90" s="16">
        <f>VLOOKUP(F90,道具定价!$C:$F,4,0)*G90</f>
        <v>10</v>
      </c>
      <c r="I90" s="16">
        <f t="shared" si="0"/>
        <v>1</v>
      </c>
      <c r="J90" s="16" t="s">
        <v>1780</v>
      </c>
      <c r="K90" s="3">
        <v>50</v>
      </c>
    </row>
    <row r="91" spans="2:12">
      <c r="B91" s="16">
        <v>6</v>
      </c>
      <c r="C91" s="16" t="s">
        <v>736</v>
      </c>
      <c r="D91" s="179">
        <v>12</v>
      </c>
      <c r="E91" s="16">
        <f>VLOOKUP(C91,道具定价!$C:$F,4,0)*D91</f>
        <v>12</v>
      </c>
      <c r="F91" s="16" t="s">
        <v>607</v>
      </c>
      <c r="G91" s="179">
        <v>1</v>
      </c>
      <c r="H91" s="16">
        <f>VLOOKUP(F91,道具定价!$C:$F,4,0)*G91</f>
        <v>10</v>
      </c>
      <c r="I91" s="16">
        <f t="shared" si="0"/>
        <v>0.833333333333333</v>
      </c>
      <c r="J91" s="16" t="s">
        <v>1780</v>
      </c>
      <c r="K91" s="3">
        <v>500</v>
      </c>
    </row>
    <row r="92" spans="2:12">
      <c r="B92" s="16">
        <v>7</v>
      </c>
      <c r="C92" s="3" t="s">
        <v>735</v>
      </c>
      <c r="D92" s="179">
        <v>1</v>
      </c>
      <c r="E92" s="16">
        <f>VLOOKUP(C92,道具定价!$C:$F,4,0)*D92</f>
        <v>500</v>
      </c>
      <c r="F92" s="16" t="s">
        <v>607</v>
      </c>
      <c r="G92" s="179">
        <v>500</v>
      </c>
      <c r="H92" s="16">
        <f>VLOOKUP(F92,道具定价!$C:$F,4,0)*G92</f>
        <v>5000</v>
      </c>
      <c r="I92" s="16">
        <f t="shared" si="0"/>
        <v>10</v>
      </c>
      <c r="J92" s="16" t="s">
        <v>1781</v>
      </c>
      <c r="K92" s="3">
        <v>1</v>
      </c>
    </row>
    <row r="93" spans="2:12">
      <c r="B93" s="16">
        <v>8</v>
      </c>
      <c r="C93" s="3" t="s">
        <v>735</v>
      </c>
      <c r="D93" s="179">
        <v>1</v>
      </c>
      <c r="E93" s="16">
        <f>VLOOKUP(C93,道具定价!$C:$F,4,0)*D93</f>
        <v>500</v>
      </c>
      <c r="F93" s="16" t="s">
        <v>607</v>
      </c>
      <c r="G93" s="179">
        <v>500</v>
      </c>
      <c r="H93" s="16">
        <f>VLOOKUP(F93,道具定价!$C:$F,4,0)*G93</f>
        <v>5000</v>
      </c>
      <c r="I93" s="16">
        <f t="shared" si="0"/>
        <v>10</v>
      </c>
      <c r="J93" s="16" t="s">
        <v>1781</v>
      </c>
      <c r="K93" s="3">
        <v>1</v>
      </c>
    </row>
    <row r="94" spans="2:12">
      <c r="B94" s="16">
        <v>9</v>
      </c>
      <c r="C94" s="3" t="s">
        <v>735</v>
      </c>
      <c r="D94" s="179">
        <v>1</v>
      </c>
      <c r="E94" s="16">
        <f>VLOOKUP(C94,道具定价!$C:$F,4,0)*D94</f>
        <v>500</v>
      </c>
      <c r="F94" s="16" t="s">
        <v>607</v>
      </c>
      <c r="G94" s="179">
        <v>500</v>
      </c>
      <c r="H94" s="16">
        <f>VLOOKUP(F94,道具定价!$C:$F,4,0)*G94</f>
        <v>5000</v>
      </c>
      <c r="I94" s="16">
        <f t="shared" si="0"/>
        <v>10</v>
      </c>
      <c r="J94" s="16" t="s">
        <v>1781</v>
      </c>
      <c r="K94" s="3">
        <v>1</v>
      </c>
    </row>
    <row r="95" spans="2:12">
      <c r="B95" s="16">
        <v>10</v>
      </c>
      <c r="C95" s="3" t="s">
        <v>670</v>
      </c>
      <c r="D95" s="179">
        <v>1</v>
      </c>
      <c r="E95" s="16">
        <f>VLOOKUP(C95,道具定价!$C:$F,4,0)*D95</f>
        <v>10</v>
      </c>
      <c r="F95" s="16" t="s">
        <v>607</v>
      </c>
      <c r="G95" s="179">
        <v>1</v>
      </c>
      <c r="H95" s="16">
        <f>VLOOKUP(F95,道具定价!$C:$F,4,0)*G95</f>
        <v>10</v>
      </c>
      <c r="I95" s="16">
        <f t="shared" si="0"/>
        <v>1</v>
      </c>
      <c r="J95" s="16" t="s">
        <v>1780</v>
      </c>
      <c r="K95" s="3">
        <v>30</v>
      </c>
    </row>
    <row r="97" spans="2:4">
      <c r="B97" s="3" t="s">
        <v>1782</v>
      </c>
    </row>
    <row r="99" spans="2:4">
      <c r="B99" s="19" t="s">
        <v>1270</v>
      </c>
      <c r="C99" s="189" t="s">
        <v>1740</v>
      </c>
      <c r="D99" s="189" t="s">
        <v>1783</v>
      </c>
    </row>
    <row r="100" spans="2:4">
      <c r="B100" s="200">
        <v>5</v>
      </c>
      <c r="C100" s="203" t="s">
        <v>607</v>
      </c>
      <c r="D100" s="200">
        <v>30</v>
      </c>
    </row>
    <row r="101" spans="2:4">
      <c r="B101" s="200">
        <v>10</v>
      </c>
      <c r="C101" s="203" t="s">
        <v>736</v>
      </c>
      <c r="D101" s="200">
        <v>60</v>
      </c>
    </row>
    <row r="102" spans="2:4">
      <c r="B102" s="200">
        <v>15</v>
      </c>
      <c r="C102" s="203" t="s">
        <v>607</v>
      </c>
      <c r="D102" s="200">
        <v>60</v>
      </c>
    </row>
    <row r="103" spans="2:4">
      <c r="B103" s="200">
        <v>20</v>
      </c>
      <c r="C103" s="203" t="s">
        <v>736</v>
      </c>
      <c r="D103" s="200">
        <v>60</v>
      </c>
    </row>
    <row r="104" spans="2:4">
      <c r="B104" s="200">
        <v>25</v>
      </c>
      <c r="C104" s="203" t="s">
        <v>5</v>
      </c>
      <c r="D104" s="200">
        <v>200</v>
      </c>
    </row>
    <row r="105" spans="2:4">
      <c r="B105" s="200">
        <v>30</v>
      </c>
      <c r="C105" s="203" t="s">
        <v>736</v>
      </c>
      <c r="D105" s="200">
        <v>80</v>
      </c>
    </row>
    <row r="106" spans="2:4">
      <c r="B106" s="200">
        <v>40</v>
      </c>
      <c r="C106" s="203" t="s">
        <v>607</v>
      </c>
      <c r="D106" s="200">
        <v>100</v>
      </c>
    </row>
    <row r="107" spans="2:4">
      <c r="B107" s="200">
        <v>50</v>
      </c>
      <c r="C107" s="203" t="s">
        <v>5</v>
      </c>
      <c r="D107" s="200">
        <v>300</v>
      </c>
    </row>
    <row r="108" spans="2:4">
      <c r="B108" s="200">
        <v>60</v>
      </c>
      <c r="C108" s="203" t="s">
        <v>736</v>
      </c>
      <c r="D108" s="200">
        <v>400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45"/>
  <sheetViews>
    <sheetView workbookViewId="0">
      <selection activeCell="S30" sqref="S30"/>
    </sheetView>
  </sheetViews>
  <sheetFormatPr defaultColWidth="9" defaultRowHeight="13.5"/>
  <cols>
    <col min="2" max="2" width="16" style="14" customWidth="1"/>
    <col min="6" max="6" width="14" style="14" customWidth="1"/>
    <col min="10" max="10" width="16.25" style="14" customWidth="1"/>
    <col min="14" max="14" width="13.625" style="14" customWidth="1"/>
    <col min="18" max="18" width="12.5" style="14" customWidth="1"/>
    <col min="19" max="19" width="11.125" style="14" customWidth="1"/>
    <col min="23" max="23" width="17.125" style="14" customWidth="1"/>
  </cols>
  <sheetData>
    <row r="1" ht="18" customHeight="1" spans="2:24">
      <c r="C1" t="s">
        <v>590</v>
      </c>
      <c r="F1" t="s">
        <v>1784</v>
      </c>
      <c r="J1" s="189" t="s">
        <v>1785</v>
      </c>
      <c r="N1" s="189" t="s">
        <v>1786</v>
      </c>
      <c r="R1" s="189" t="s">
        <v>1787</v>
      </c>
      <c r="U1" t="s">
        <v>1788</v>
      </c>
    </row>
    <row r="2" ht="16.5" customHeight="1" spans="2:24">
      <c r="B2" s="203" t="s">
        <v>607</v>
      </c>
      <c r="C2">
        <v>19</v>
      </c>
      <c r="F2" t="str">
        <f>竞技场!C100</f>
        <v>竞技场代币</v>
      </c>
      <c r="G2">
        <f t="shared" ref="G2:G10" si="0">VLOOKUP(F2,$B:$C,2,0)</f>
        <v>19</v>
      </c>
      <c r="H2">
        <f>竞技场!D100</f>
        <v>30</v>
      </c>
      <c r="J2" s="3" t="str">
        <f t="array" ref="J2:J43">_xlfn.TOCOL(_xlfn.HSTACK(竞技场!D50:D70,竞技场!F50:F70),1)</f>
        <v>B炮台</v>
      </c>
      <c r="K2">
        <f t="shared" ref="K2:K43" si="1">VLOOKUP(J2,$B:$C,2,0)</f>
        <v>96003</v>
      </c>
      <c r="L2" s="3">
        <f t="array" ref="L2:L43">_xlfn.TOCOL(_xlfn.HSTACK(竞技场!E50:E70,竞技场!G50:G70),1)</f>
        <v>1</v>
      </c>
      <c r="N2" s="3" t="str">
        <f t="array" ref="N2:N45">_xlfn.TOCOL(_xlfn.HSTACK(竞技场!H49:H70,竞技场!J49:J70),1)</f>
        <v>钻石</v>
      </c>
      <c r="O2">
        <f t="shared" ref="O2:O45" si="2">VLOOKUP(N2,$B:$C,2,0)</f>
        <v>2</v>
      </c>
      <c r="P2" s="3">
        <f t="array" ref="P2:P45">_xlfn.TOCOL(_xlfn.HSTACK(竞技场!I49:I70,竞技场!K49:K70),1)</f>
        <v>100</v>
      </c>
      <c r="R2" t="str">
        <f>竞技场!C86</f>
        <v>额外星盘点</v>
      </c>
      <c r="S2">
        <f t="shared" ref="S2:S11" si="3">VLOOKUP(R2,$B:$C,2,0)</f>
        <v>103</v>
      </c>
      <c r="T2">
        <f>竞技场!D86</f>
        <v>1</v>
      </c>
      <c r="U2" t="str">
        <f>_xlfn.CONCAT($U$1,竞技场!G86)</f>
        <v>19,150</v>
      </c>
      <c r="V2" t="str">
        <f>竞技场!J86</f>
        <v>赛季限购</v>
      </c>
      <c r="W2" t="str">
        <f t="shared" ref="W2:W11" si="4">VLOOKUP(V2,$B:$C,2,0)</f>
        <v>BuyLimit_FourteenDay</v>
      </c>
      <c r="X2">
        <f>竞技场!K86</f>
        <v>5</v>
      </c>
    </row>
    <row r="3" ht="16.5" customHeight="1" spans="2:24">
      <c r="B3" s="203" t="s">
        <v>736</v>
      </c>
      <c r="C3">
        <v>28</v>
      </c>
      <c r="F3" t="str">
        <f>竞技场!C101</f>
        <v>炮台升级小材料</v>
      </c>
      <c r="G3">
        <f t="shared" si="0"/>
        <v>28</v>
      </c>
      <c r="H3">
        <f>竞技场!D101</f>
        <v>60</v>
      </c>
      <c r="J3" t="str">
        <v>竞技场代币</v>
      </c>
      <c r="K3">
        <f t="shared" si="1"/>
        <v>19</v>
      </c>
      <c r="L3">
        <v>400</v>
      </c>
      <c r="N3" t="str">
        <v>竞技场代币</v>
      </c>
      <c r="O3">
        <f t="shared" si="2"/>
        <v>19</v>
      </c>
      <c r="P3">
        <v>100</v>
      </c>
      <c r="R3" t="str">
        <f>竞技场!C87</f>
        <v>体力药</v>
      </c>
      <c r="S3">
        <f t="shared" si="3"/>
        <v>105</v>
      </c>
      <c r="T3">
        <f>竞技场!D87</f>
        <v>1</v>
      </c>
      <c r="U3" t="str">
        <f>_xlfn.CONCAT($U$1,竞技场!G87)</f>
        <v>19,30</v>
      </c>
      <c r="V3" t="str">
        <f>竞技场!J87</f>
        <v>赛季限购</v>
      </c>
      <c r="W3" t="str">
        <f t="shared" si="4"/>
        <v>BuyLimit_FourteenDay</v>
      </c>
      <c r="X3">
        <f>竞技场!K87</f>
        <v>3</v>
      </c>
    </row>
    <row r="4" ht="16.5" customHeight="1" spans="2:24">
      <c r="B4" s="203" t="s">
        <v>737</v>
      </c>
      <c r="C4">
        <v>31</v>
      </c>
      <c r="F4" t="str">
        <f>竞技场!C102</f>
        <v>竞技场代币</v>
      </c>
      <c r="G4">
        <f t="shared" si="0"/>
        <v>19</v>
      </c>
      <c r="H4">
        <f>竞技场!D102</f>
        <v>60</v>
      </c>
      <c r="J4" t="str">
        <v>钻石</v>
      </c>
      <c r="K4">
        <f t="shared" si="1"/>
        <v>2</v>
      </c>
      <c r="L4">
        <v>600</v>
      </c>
      <c r="N4" t="str">
        <v>钻石</v>
      </c>
      <c r="O4">
        <f t="shared" si="2"/>
        <v>2</v>
      </c>
      <c r="P4">
        <v>100</v>
      </c>
      <c r="R4" t="str">
        <f>竞技场!C88</f>
        <v>金币</v>
      </c>
      <c r="S4">
        <f t="shared" si="3"/>
        <v>1</v>
      </c>
      <c r="T4">
        <f>竞技场!D88</f>
        <v>10000</v>
      </c>
      <c r="U4" t="str">
        <f>_xlfn.CONCAT($U$1,竞技场!G88)</f>
        <v>19,1</v>
      </c>
      <c r="V4" t="str">
        <f>竞技场!J88</f>
        <v>赛季限购</v>
      </c>
      <c r="W4" t="str">
        <f t="shared" si="4"/>
        <v>BuyLimit_FourteenDay</v>
      </c>
      <c r="X4">
        <f>竞技场!K88</f>
        <v>50</v>
      </c>
    </row>
    <row r="5" ht="16.5" customHeight="1" spans="2:24">
      <c r="B5" s="3" t="s">
        <v>665</v>
      </c>
      <c r="C5">
        <v>103</v>
      </c>
      <c r="F5" t="str">
        <f>竞技场!C103</f>
        <v>炮台升级小材料</v>
      </c>
      <c r="G5">
        <f t="shared" si="0"/>
        <v>28</v>
      </c>
      <c r="H5">
        <f>竞技场!D103</f>
        <v>60</v>
      </c>
      <c r="J5" t="str">
        <v>炮台升级小材料</v>
      </c>
      <c r="K5">
        <f t="shared" si="1"/>
        <v>28</v>
      </c>
      <c r="L5">
        <v>600</v>
      </c>
      <c r="N5" t="str">
        <v>竞技场代币</v>
      </c>
      <c r="O5">
        <f t="shared" si="2"/>
        <v>19</v>
      </c>
      <c r="P5">
        <v>200</v>
      </c>
      <c r="R5" t="str">
        <f>竞技场!C89</f>
        <v>角色经验高10000</v>
      </c>
      <c r="S5">
        <f t="shared" si="3"/>
        <v>102</v>
      </c>
      <c r="T5">
        <f>竞技场!D89</f>
        <v>1</v>
      </c>
      <c r="U5" t="str">
        <f>_xlfn.CONCAT($U$1,竞技场!G89)</f>
        <v>19,1</v>
      </c>
      <c r="V5" t="str">
        <f>竞技场!J89</f>
        <v>赛季限购</v>
      </c>
      <c r="W5" t="str">
        <f t="shared" si="4"/>
        <v>BuyLimit_FourteenDay</v>
      </c>
      <c r="X5">
        <f>竞技场!K89</f>
        <v>30</v>
      </c>
    </row>
    <row r="6" ht="17.25" customHeight="1" spans="2:24">
      <c r="B6" s="3" t="s">
        <v>606</v>
      </c>
      <c r="C6" s="15">
        <v>105</v>
      </c>
      <c r="F6" t="str">
        <f>竞技场!C104</f>
        <v>钻石</v>
      </c>
      <c r="G6">
        <f t="shared" si="0"/>
        <v>2</v>
      </c>
      <c r="H6">
        <f>竞技场!D104</f>
        <v>200</v>
      </c>
      <c r="J6" t="str">
        <v>竞技场代币</v>
      </c>
      <c r="K6">
        <f t="shared" si="1"/>
        <v>19</v>
      </c>
      <c r="L6">
        <v>600</v>
      </c>
      <c r="N6" t="str">
        <v>钻石</v>
      </c>
      <c r="O6">
        <f t="shared" si="2"/>
        <v>2</v>
      </c>
      <c r="P6">
        <v>100</v>
      </c>
      <c r="R6" t="str">
        <f>竞技场!C90</f>
        <v>主角装备经验</v>
      </c>
      <c r="S6">
        <f t="shared" si="3"/>
        <v>13</v>
      </c>
      <c r="T6">
        <f>竞技场!D90</f>
        <v>1000</v>
      </c>
      <c r="U6" t="str">
        <f>_xlfn.CONCAT($U$1,竞技场!G90)</f>
        <v>19,1</v>
      </c>
      <c r="V6" t="str">
        <f>竞技场!J90</f>
        <v>赛季限购</v>
      </c>
      <c r="W6" t="str">
        <f t="shared" si="4"/>
        <v>BuyLimit_FourteenDay</v>
      </c>
      <c r="X6">
        <f>竞技场!K90</f>
        <v>50</v>
      </c>
    </row>
    <row r="7" ht="16.5" customHeight="1" spans="2:24">
      <c r="B7" s="3" t="s">
        <v>601</v>
      </c>
      <c r="C7">
        <v>1</v>
      </c>
      <c r="F7" t="str">
        <f>竞技场!C105</f>
        <v>炮台升级小材料</v>
      </c>
      <c r="G7">
        <f t="shared" si="0"/>
        <v>28</v>
      </c>
      <c r="H7">
        <f>竞技场!D105</f>
        <v>80</v>
      </c>
      <c r="J7" t="str">
        <v>钻石</v>
      </c>
      <c r="K7">
        <f t="shared" si="1"/>
        <v>2</v>
      </c>
      <c r="L7">
        <v>600</v>
      </c>
      <c r="N7" t="str">
        <v>竞技场代币</v>
      </c>
      <c r="O7">
        <f t="shared" si="2"/>
        <v>19</v>
      </c>
      <c r="P7">
        <v>250</v>
      </c>
      <c r="R7" t="str">
        <f>竞技场!C91</f>
        <v>炮台升级小材料</v>
      </c>
      <c r="S7">
        <f t="shared" si="3"/>
        <v>28</v>
      </c>
      <c r="T7">
        <f>竞技场!D91</f>
        <v>12</v>
      </c>
      <c r="U7" t="str">
        <f>_xlfn.CONCAT($U$1,竞技场!G91)</f>
        <v>19,1</v>
      </c>
      <c r="V7" t="str">
        <f>竞技场!J91</f>
        <v>赛季限购</v>
      </c>
      <c r="W7" t="str">
        <f t="shared" si="4"/>
        <v>BuyLimit_FourteenDay</v>
      </c>
      <c r="X7">
        <f>竞技场!K91</f>
        <v>500</v>
      </c>
    </row>
    <row r="8" ht="17.25" customHeight="1" spans="2:24">
      <c r="B8" s="3" t="s">
        <v>614</v>
      </c>
      <c r="C8" s="15">
        <v>102</v>
      </c>
      <c r="F8" t="str">
        <f>竞技场!C106</f>
        <v>竞技场代币</v>
      </c>
      <c r="G8">
        <f t="shared" si="0"/>
        <v>19</v>
      </c>
      <c r="H8">
        <f>竞技场!D106</f>
        <v>100</v>
      </c>
      <c r="J8" t="str">
        <v>炮台升级小材料</v>
      </c>
      <c r="K8">
        <f t="shared" si="1"/>
        <v>28</v>
      </c>
      <c r="L8">
        <v>600</v>
      </c>
      <c r="N8" t="str">
        <v>钻石</v>
      </c>
      <c r="O8">
        <f t="shared" si="2"/>
        <v>2</v>
      </c>
      <c r="P8">
        <v>100</v>
      </c>
      <c r="R8" t="str">
        <f>竞技场!C92</f>
        <v>B炮台</v>
      </c>
      <c r="S8">
        <f t="shared" si="3"/>
        <v>96003</v>
      </c>
      <c r="T8">
        <f>竞技场!D92</f>
        <v>1</v>
      </c>
      <c r="U8" t="str">
        <f>_xlfn.CONCAT($U$1,竞技场!G92)</f>
        <v>19,500</v>
      </c>
      <c r="V8" t="str">
        <f>竞技场!J92</f>
        <v>终生限购</v>
      </c>
      <c r="W8" t="str">
        <f t="shared" si="4"/>
        <v>BuyLimit_Ever</v>
      </c>
      <c r="X8">
        <f>竞技场!K92</f>
        <v>1</v>
      </c>
    </row>
    <row r="9" ht="16.5" customHeight="1" spans="2:24">
      <c r="B9" s="3" t="s">
        <v>728</v>
      </c>
      <c r="C9" s="207">
        <v>13</v>
      </c>
      <c r="F9" t="str">
        <f>竞技场!C107</f>
        <v>钻石</v>
      </c>
      <c r="G9">
        <f t="shared" si="0"/>
        <v>2</v>
      </c>
      <c r="H9">
        <f>竞技场!D107</f>
        <v>300</v>
      </c>
      <c r="J9" t="str">
        <v>竞技场代币</v>
      </c>
      <c r="K9">
        <f t="shared" si="1"/>
        <v>19</v>
      </c>
      <c r="L9">
        <v>600</v>
      </c>
      <c r="N9" t="str">
        <v>竞技场代币</v>
      </c>
      <c r="O9">
        <f t="shared" si="2"/>
        <v>19</v>
      </c>
      <c r="P9">
        <v>300</v>
      </c>
      <c r="R9" t="str">
        <f>竞技场!C93</f>
        <v>B炮台</v>
      </c>
      <c r="S9">
        <f t="shared" si="3"/>
        <v>96003</v>
      </c>
      <c r="T9">
        <f>竞技场!D93</f>
        <v>1</v>
      </c>
      <c r="U9" t="str">
        <f>_xlfn.CONCAT($U$1,竞技场!G93)</f>
        <v>19,500</v>
      </c>
      <c r="V9" t="str">
        <f>竞技场!J93</f>
        <v>终生限购</v>
      </c>
      <c r="W9" t="str">
        <f t="shared" si="4"/>
        <v>BuyLimit_Ever</v>
      </c>
      <c r="X9">
        <f>竞技场!K93</f>
        <v>1</v>
      </c>
    </row>
    <row r="10" spans="2:24">
      <c r="B10" t="s">
        <v>5</v>
      </c>
      <c r="C10">
        <v>2</v>
      </c>
      <c r="F10" t="str">
        <f>竞技场!C108</f>
        <v>炮台升级小材料</v>
      </c>
      <c r="G10">
        <f t="shared" si="0"/>
        <v>28</v>
      </c>
      <c r="H10">
        <f>竞技场!D108</f>
        <v>400</v>
      </c>
      <c r="J10" t="str">
        <v>钻石</v>
      </c>
      <c r="K10">
        <f t="shared" si="1"/>
        <v>2</v>
      </c>
      <c r="L10">
        <v>800</v>
      </c>
      <c r="N10" t="str">
        <v>钻石</v>
      </c>
      <c r="O10">
        <f t="shared" si="2"/>
        <v>2</v>
      </c>
      <c r="P10">
        <v>100</v>
      </c>
      <c r="R10" t="str">
        <f>竞技场!C94</f>
        <v>B炮台</v>
      </c>
      <c r="S10">
        <f t="shared" si="3"/>
        <v>96003</v>
      </c>
      <c r="T10">
        <f>竞技场!D94</f>
        <v>1</v>
      </c>
      <c r="U10" t="str">
        <f>_xlfn.CONCAT($U$1,竞技场!G94)</f>
        <v>19,500</v>
      </c>
      <c r="V10" t="str">
        <f>竞技场!J94</f>
        <v>终生限购</v>
      </c>
      <c r="W10" t="str">
        <f t="shared" si="4"/>
        <v>BuyLimit_Ever</v>
      </c>
      <c r="X10">
        <f>竞技场!K94</f>
        <v>1</v>
      </c>
    </row>
    <row r="11" ht="16.5" customHeight="1" spans="2:24">
      <c r="B11" s="16" t="s">
        <v>735</v>
      </c>
      <c r="C11" s="208">
        <v>96003</v>
      </c>
      <c r="J11" t="str">
        <v>炮台升级小材料</v>
      </c>
      <c r="K11">
        <f t="shared" si="1"/>
        <v>28</v>
      </c>
      <c r="L11">
        <v>800</v>
      </c>
      <c r="N11" t="str">
        <v>竞技场代币</v>
      </c>
      <c r="O11">
        <f t="shared" si="2"/>
        <v>19</v>
      </c>
      <c r="P11">
        <v>350</v>
      </c>
      <c r="R11" t="str">
        <f>竞技场!C95</f>
        <v>专武经验高20000</v>
      </c>
      <c r="S11" t="e">
        <f t="shared" si="3"/>
        <v>#N/A</v>
      </c>
      <c r="T11">
        <f>竞技场!D95</f>
        <v>1</v>
      </c>
      <c r="U11" t="str">
        <f>_xlfn.CONCAT($U$1,竞技场!G95)</f>
        <v>19,1</v>
      </c>
      <c r="V11" t="str">
        <f>竞技场!J95</f>
        <v>赛季限购</v>
      </c>
      <c r="W11" t="str">
        <f t="shared" si="4"/>
        <v>BuyLimit_FourteenDay</v>
      </c>
      <c r="X11">
        <f>竞技场!K95</f>
        <v>30</v>
      </c>
    </row>
    <row r="12" ht="16.5" customHeight="1" spans="2:24">
      <c r="B12" s="16" t="s">
        <v>734</v>
      </c>
      <c r="C12" s="208">
        <v>96002</v>
      </c>
      <c r="J12" t="str">
        <v>竞技场代币</v>
      </c>
      <c r="K12">
        <f t="shared" si="1"/>
        <v>19</v>
      </c>
      <c r="L12">
        <v>800</v>
      </c>
      <c r="N12" t="str">
        <v>钻石</v>
      </c>
      <c r="O12">
        <f t="shared" si="2"/>
        <v>2</v>
      </c>
      <c r="P12">
        <v>100</v>
      </c>
    </row>
    <row r="13" ht="16.5" customHeight="1" spans="2:24">
      <c r="B13" s="16" t="s">
        <v>733</v>
      </c>
      <c r="C13" s="208">
        <v>96001</v>
      </c>
      <c r="J13" t="str">
        <v>钻石</v>
      </c>
      <c r="K13">
        <f t="shared" si="1"/>
        <v>2</v>
      </c>
      <c r="L13">
        <v>800</v>
      </c>
      <c r="N13" t="str">
        <v>竞技场代币</v>
      </c>
      <c r="O13">
        <f t="shared" si="2"/>
        <v>19</v>
      </c>
      <c r="P13">
        <v>400</v>
      </c>
      <c r="R13"/>
      <c r="S13"/>
      <c r="W13"/>
    </row>
    <row r="14" spans="2:24">
      <c r="J14" t="str">
        <v>炮台升级小材料</v>
      </c>
      <c r="K14">
        <f t="shared" si="1"/>
        <v>28</v>
      </c>
      <c r="L14">
        <v>800</v>
      </c>
      <c r="N14" t="str">
        <v>钻石</v>
      </c>
      <c r="O14">
        <f t="shared" si="2"/>
        <v>2</v>
      </c>
      <c r="P14">
        <v>150</v>
      </c>
    </row>
    <row r="15" spans="2:24">
      <c r="J15" t="str">
        <v>竞技场代币</v>
      </c>
      <c r="K15">
        <f t="shared" si="1"/>
        <v>19</v>
      </c>
      <c r="L15">
        <v>800</v>
      </c>
      <c r="N15" t="str">
        <v>竞技场代币</v>
      </c>
      <c r="O15">
        <f t="shared" si="2"/>
        <v>19</v>
      </c>
      <c r="P15">
        <v>450</v>
      </c>
    </row>
    <row r="16" spans="2:24">
      <c r="J16" t="str">
        <v>钻石</v>
      </c>
      <c r="K16">
        <f t="shared" si="1"/>
        <v>2</v>
      </c>
      <c r="L16">
        <v>1000</v>
      </c>
      <c r="N16" t="str">
        <v>钻石</v>
      </c>
      <c r="O16">
        <f t="shared" si="2"/>
        <v>2</v>
      </c>
      <c r="P16">
        <v>150</v>
      </c>
    </row>
    <row r="17" spans="2:16">
      <c r="J17" t="str">
        <v>炮台升级小材料</v>
      </c>
      <c r="K17">
        <f t="shared" si="1"/>
        <v>28</v>
      </c>
      <c r="L17">
        <v>1000</v>
      </c>
      <c r="N17" t="str">
        <v>竞技场代币</v>
      </c>
      <c r="O17">
        <f t="shared" si="2"/>
        <v>19</v>
      </c>
      <c r="P17">
        <v>500</v>
      </c>
    </row>
    <row r="18" ht="16.5" customHeight="1" spans="2:16">
      <c r="B18" s="16" t="s">
        <v>1780</v>
      </c>
      <c r="C18" s="192" t="s">
        <v>1789</v>
      </c>
      <c r="J18" t="str">
        <v>竞技场代币</v>
      </c>
      <c r="K18">
        <f t="shared" si="1"/>
        <v>19</v>
      </c>
      <c r="L18">
        <v>1000</v>
      </c>
      <c r="N18" t="str">
        <v>钻石</v>
      </c>
      <c r="O18">
        <f t="shared" si="2"/>
        <v>2</v>
      </c>
      <c r="P18">
        <v>150</v>
      </c>
    </row>
    <row r="19" ht="16.5" customHeight="1" spans="2:16">
      <c r="B19" s="16" t="s">
        <v>1781</v>
      </c>
      <c r="C19" s="192" t="s">
        <v>1790</v>
      </c>
      <c r="J19" t="str">
        <v>钻石</v>
      </c>
      <c r="K19">
        <f t="shared" si="1"/>
        <v>2</v>
      </c>
      <c r="L19">
        <v>1000</v>
      </c>
      <c r="N19" t="str">
        <v>竞技场代币</v>
      </c>
      <c r="O19">
        <f t="shared" si="2"/>
        <v>19</v>
      </c>
      <c r="P19">
        <v>550</v>
      </c>
    </row>
    <row r="20" ht="16.5" customHeight="1" spans="2:16">
      <c r="B20" s="16" t="s">
        <v>1596</v>
      </c>
      <c r="C20" s="193" t="s">
        <v>1791</v>
      </c>
      <c r="J20" t="str">
        <v>炮台升级小材料</v>
      </c>
      <c r="K20">
        <f t="shared" si="1"/>
        <v>28</v>
      </c>
      <c r="L20">
        <v>1000</v>
      </c>
      <c r="N20" t="str">
        <v>钻石</v>
      </c>
      <c r="O20">
        <f t="shared" si="2"/>
        <v>2</v>
      </c>
      <c r="P20">
        <v>200</v>
      </c>
    </row>
    <row r="21" spans="2:16">
      <c r="J21" t="str">
        <v>竞技场代币</v>
      </c>
      <c r="K21">
        <f t="shared" si="1"/>
        <v>19</v>
      </c>
      <c r="L21">
        <v>1000</v>
      </c>
      <c r="N21" t="str">
        <v>竞技场代币</v>
      </c>
      <c r="O21">
        <f t="shared" si="2"/>
        <v>19</v>
      </c>
      <c r="P21">
        <v>600</v>
      </c>
    </row>
    <row r="22" spans="2:16">
      <c r="J22" t="str">
        <v>钻石</v>
      </c>
      <c r="K22">
        <f t="shared" si="1"/>
        <v>2</v>
      </c>
      <c r="L22">
        <v>1500</v>
      </c>
      <c r="N22" t="str">
        <v>钻石</v>
      </c>
      <c r="O22">
        <f t="shared" si="2"/>
        <v>2</v>
      </c>
      <c r="P22">
        <v>200</v>
      </c>
    </row>
    <row r="23" spans="2:16">
      <c r="J23" t="e">
        <v>#N/A</v>
      </c>
      <c r="K23" t="e">
        <f t="shared" si="1"/>
        <v>#N/A</v>
      </c>
      <c r="L23" t="e">
        <v>#N/A</v>
      </c>
      <c r="N23" t="str">
        <v>竞技场代币</v>
      </c>
      <c r="O23">
        <f t="shared" si="2"/>
        <v>19</v>
      </c>
      <c r="P23">
        <v>650</v>
      </c>
    </row>
    <row r="24" spans="2:16">
      <c r="J24" t="e">
        <v>#N/A</v>
      </c>
      <c r="K24" t="e">
        <f t="shared" si="1"/>
        <v>#N/A</v>
      </c>
      <c r="L24" t="e">
        <v>#N/A</v>
      </c>
      <c r="N24" t="str">
        <v>钻石</v>
      </c>
      <c r="O24">
        <f t="shared" si="2"/>
        <v>2</v>
      </c>
      <c r="P24">
        <v>200</v>
      </c>
    </row>
    <row r="25" spans="2:16">
      <c r="J25" t="e">
        <v>#N/A</v>
      </c>
      <c r="K25" t="e">
        <f t="shared" si="1"/>
        <v>#N/A</v>
      </c>
      <c r="L25" t="e">
        <v>#N/A</v>
      </c>
      <c r="N25" t="str">
        <v>竞技场代币</v>
      </c>
      <c r="O25">
        <f t="shared" si="2"/>
        <v>19</v>
      </c>
      <c r="P25">
        <v>700</v>
      </c>
    </row>
    <row r="26" spans="2:16">
      <c r="J26" t="e">
        <v>#N/A</v>
      </c>
      <c r="K26" t="e">
        <f t="shared" si="1"/>
        <v>#N/A</v>
      </c>
      <c r="L26" t="e">
        <v>#N/A</v>
      </c>
      <c r="N26" t="str">
        <v>钻石</v>
      </c>
      <c r="O26">
        <f t="shared" si="2"/>
        <v>2</v>
      </c>
      <c r="P26">
        <v>250</v>
      </c>
    </row>
    <row r="27" spans="2:16">
      <c r="J27" t="e">
        <v>#N/A</v>
      </c>
      <c r="K27" t="e">
        <f t="shared" si="1"/>
        <v>#N/A</v>
      </c>
      <c r="L27" t="e">
        <v>#N/A</v>
      </c>
      <c r="N27" t="str">
        <v>竞技场代币</v>
      </c>
      <c r="O27">
        <f t="shared" si="2"/>
        <v>19</v>
      </c>
      <c r="P27">
        <v>750</v>
      </c>
    </row>
    <row r="28" spans="2:16">
      <c r="J28" t="e">
        <v>#N/A</v>
      </c>
      <c r="K28" t="e">
        <f t="shared" si="1"/>
        <v>#N/A</v>
      </c>
      <c r="L28" t="e">
        <v>#N/A</v>
      </c>
      <c r="N28" t="str">
        <v>钻石</v>
      </c>
      <c r="O28">
        <f t="shared" si="2"/>
        <v>2</v>
      </c>
      <c r="P28">
        <v>250</v>
      </c>
    </row>
    <row r="29" spans="2:16">
      <c r="J29" t="e">
        <v>#N/A</v>
      </c>
      <c r="K29" t="e">
        <f t="shared" si="1"/>
        <v>#N/A</v>
      </c>
      <c r="L29" t="e">
        <v>#N/A</v>
      </c>
      <c r="N29" t="str">
        <v>竞技场代币</v>
      </c>
      <c r="O29">
        <f t="shared" si="2"/>
        <v>19</v>
      </c>
      <c r="P29">
        <v>800</v>
      </c>
    </row>
    <row r="30" spans="2:16">
      <c r="J30" t="e">
        <v>#N/A</v>
      </c>
      <c r="K30" t="e">
        <f t="shared" si="1"/>
        <v>#N/A</v>
      </c>
      <c r="L30" t="e">
        <v>#N/A</v>
      </c>
      <c r="N30" t="str">
        <v>钻石</v>
      </c>
      <c r="O30">
        <f t="shared" si="2"/>
        <v>2</v>
      </c>
      <c r="P30">
        <v>250</v>
      </c>
    </row>
    <row r="31" spans="2:16">
      <c r="J31" t="e">
        <v>#N/A</v>
      </c>
      <c r="K31" t="e">
        <f t="shared" si="1"/>
        <v>#N/A</v>
      </c>
      <c r="L31" t="e">
        <v>#N/A</v>
      </c>
      <c r="N31" t="str">
        <v>竞技场代币</v>
      </c>
      <c r="O31">
        <f t="shared" si="2"/>
        <v>19</v>
      </c>
      <c r="P31">
        <v>850</v>
      </c>
    </row>
    <row r="32" spans="2:16">
      <c r="J32" t="e">
        <v>#N/A</v>
      </c>
      <c r="K32" t="e">
        <f t="shared" si="1"/>
        <v>#N/A</v>
      </c>
      <c r="L32" t="e">
        <v>#N/A</v>
      </c>
      <c r="N32" t="str">
        <v>钻石</v>
      </c>
      <c r="O32">
        <f t="shared" si="2"/>
        <v>2</v>
      </c>
      <c r="P32">
        <v>300</v>
      </c>
    </row>
    <row r="33" spans="10:16">
      <c r="J33" t="e">
        <v>#N/A</v>
      </c>
      <c r="K33" t="e">
        <f t="shared" si="1"/>
        <v>#N/A</v>
      </c>
      <c r="L33" t="e">
        <v>#N/A</v>
      </c>
      <c r="N33" t="str">
        <v>竞技场代币</v>
      </c>
      <c r="O33">
        <f t="shared" si="2"/>
        <v>19</v>
      </c>
      <c r="P33">
        <v>900</v>
      </c>
    </row>
    <row r="34" spans="10:16">
      <c r="J34" t="e">
        <v>#N/A</v>
      </c>
      <c r="K34" t="e">
        <f t="shared" si="1"/>
        <v>#N/A</v>
      </c>
      <c r="L34" t="e">
        <v>#N/A</v>
      </c>
      <c r="N34" t="str">
        <v>钻石</v>
      </c>
      <c r="O34">
        <f t="shared" si="2"/>
        <v>2</v>
      </c>
      <c r="P34">
        <v>300</v>
      </c>
    </row>
    <row r="35" spans="10:16">
      <c r="J35" t="e">
        <v>#N/A</v>
      </c>
      <c r="K35" t="e">
        <f t="shared" si="1"/>
        <v>#N/A</v>
      </c>
      <c r="L35" t="e">
        <v>#N/A</v>
      </c>
      <c r="N35" t="str">
        <v>竞技场代币</v>
      </c>
      <c r="O35">
        <f t="shared" si="2"/>
        <v>19</v>
      </c>
      <c r="P35">
        <v>950</v>
      </c>
    </row>
    <row r="36" spans="10:16">
      <c r="J36" t="e">
        <v>#N/A</v>
      </c>
      <c r="K36" t="e">
        <f t="shared" si="1"/>
        <v>#N/A</v>
      </c>
      <c r="L36" t="e">
        <v>#N/A</v>
      </c>
      <c r="N36" t="str">
        <v>钻石</v>
      </c>
      <c r="O36">
        <f t="shared" si="2"/>
        <v>2</v>
      </c>
      <c r="P36">
        <v>300</v>
      </c>
    </row>
    <row r="37" spans="10:16">
      <c r="J37" t="e">
        <v>#N/A</v>
      </c>
      <c r="K37" t="e">
        <f t="shared" si="1"/>
        <v>#N/A</v>
      </c>
      <c r="L37" t="e">
        <v>#N/A</v>
      </c>
      <c r="N37" t="str">
        <v>竞技场代币</v>
      </c>
      <c r="O37">
        <f t="shared" si="2"/>
        <v>19</v>
      </c>
      <c r="P37">
        <v>1000</v>
      </c>
    </row>
    <row r="38" spans="10:16">
      <c r="J38" t="e">
        <v>#N/A</v>
      </c>
      <c r="K38" t="e">
        <f t="shared" si="1"/>
        <v>#N/A</v>
      </c>
      <c r="L38" t="e">
        <v>#N/A</v>
      </c>
      <c r="N38" t="str">
        <v>钻石</v>
      </c>
      <c r="O38">
        <f t="shared" si="2"/>
        <v>2</v>
      </c>
      <c r="P38">
        <v>400</v>
      </c>
    </row>
    <row r="39" spans="10:16">
      <c r="J39" t="e">
        <v>#N/A</v>
      </c>
      <c r="K39" t="e">
        <f t="shared" si="1"/>
        <v>#N/A</v>
      </c>
      <c r="L39" t="e">
        <v>#N/A</v>
      </c>
      <c r="N39" t="str">
        <v>竞技场代币</v>
      </c>
      <c r="O39">
        <f t="shared" si="2"/>
        <v>19</v>
      </c>
      <c r="P39">
        <v>1050</v>
      </c>
    </row>
    <row r="40" spans="10:16">
      <c r="J40" t="e">
        <v>#N/A</v>
      </c>
      <c r="K40" t="e">
        <f t="shared" si="1"/>
        <v>#N/A</v>
      </c>
      <c r="L40" t="e">
        <v>#N/A</v>
      </c>
      <c r="N40" t="str">
        <v>钻石</v>
      </c>
      <c r="O40">
        <f t="shared" si="2"/>
        <v>2</v>
      </c>
      <c r="P40">
        <v>400</v>
      </c>
    </row>
    <row r="41" spans="10:16">
      <c r="J41" t="e">
        <v>#N/A</v>
      </c>
      <c r="K41" t="e">
        <f t="shared" si="1"/>
        <v>#N/A</v>
      </c>
      <c r="L41" t="e">
        <v>#N/A</v>
      </c>
      <c r="N41" t="str">
        <v>竞技场代币</v>
      </c>
      <c r="O41">
        <f t="shared" si="2"/>
        <v>19</v>
      </c>
      <c r="P41">
        <v>1100</v>
      </c>
    </row>
    <row r="42" spans="10:16">
      <c r="J42" t="e">
        <v>#N/A</v>
      </c>
      <c r="K42" t="e">
        <f t="shared" si="1"/>
        <v>#N/A</v>
      </c>
      <c r="L42" t="e">
        <v>#N/A</v>
      </c>
      <c r="N42" t="str">
        <v>钻石</v>
      </c>
      <c r="O42">
        <f t="shared" si="2"/>
        <v>2</v>
      </c>
      <c r="P42">
        <v>400</v>
      </c>
    </row>
    <row r="43" spans="10:16">
      <c r="J43" t="e">
        <v>#N/A</v>
      </c>
      <c r="K43" t="e">
        <f t="shared" si="1"/>
        <v>#N/A</v>
      </c>
      <c r="L43" t="e">
        <v>#N/A</v>
      </c>
      <c r="N43" t="str">
        <v>竞技场代币</v>
      </c>
      <c r="O43">
        <f t="shared" si="2"/>
        <v>19</v>
      </c>
      <c r="P43">
        <v>1150</v>
      </c>
    </row>
    <row r="44" spans="10:16">
      <c r="N44" t="str">
        <v>钻石</v>
      </c>
      <c r="O44">
        <f t="shared" si="2"/>
        <v>2</v>
      </c>
      <c r="P44">
        <v>500</v>
      </c>
    </row>
    <row r="45" spans="10:16">
      <c r="N45" t="str">
        <v>竞技场代币</v>
      </c>
      <c r="O45">
        <f t="shared" si="2"/>
        <v>19</v>
      </c>
      <c r="P45">
        <v>1200</v>
      </c>
    </row>
  </sheetData>
  <conditionalFormatting sqref="C18">
    <cfRule type="duplicateValues" dxfId="0" priority="1"/>
  </conditionalFormatting>
  <conditionalFormatting sqref="C19">
    <cfRule type="duplicateValues" dxfId="0" priority="3"/>
  </conditionalFormatting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9"/>
  <sheetViews>
    <sheetView topLeftCell="A10" workbookViewId="0">
      <selection activeCell="F36" sqref="F36"/>
    </sheetView>
  </sheetViews>
  <sheetFormatPr defaultColWidth="9" defaultRowHeight="13.5"/>
  <cols>
    <col min="1" max="1" width="15" style="14" customWidth="1"/>
    <col min="2" max="2" width="13" style="14" customWidth="1"/>
    <col min="3" max="3" width="14" style="14" customWidth="1"/>
    <col min="4" max="4" width="12" style="14" customWidth="1"/>
    <col min="5" max="5" width="36" style="14" customWidth="1"/>
    <col min="6" max="6" width="30.125" style="14" customWidth="1"/>
    <col min="7" max="7" width="11" style="14" customWidth="1"/>
    <col min="8" max="10" width="10" style="14" customWidth="1"/>
    <col min="11" max="11" width="16" style="14" customWidth="1"/>
    <col min="12" max="12" width="12" style="14" customWidth="1"/>
    <col min="13" max="13" width="24" style="14" customWidth="1"/>
  </cols>
  <sheetData>
    <row r="1" ht="26" customHeight="1" spans="1:13">
      <c r="A1" s="194" t="s">
        <v>1792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6"/>
    </row>
    <row r="2" ht="32" customHeight="1" spans="1:13">
      <c r="A2" s="197" t="s">
        <v>1793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6"/>
    </row>
    <row r="3" ht="22" customHeight="1"/>
    <row r="4" ht="22" customHeight="1" spans="1:13">
      <c r="A4" s="198" t="s">
        <v>1794</v>
      </c>
      <c r="B4" s="195"/>
      <c r="C4" s="196"/>
      <c r="E4" s="198" t="s">
        <v>1795</v>
      </c>
      <c r="F4" s="195"/>
      <c r="G4" s="195"/>
      <c r="H4" s="195"/>
      <c r="I4" s="195"/>
      <c r="J4" s="195"/>
      <c r="K4" s="195"/>
      <c r="L4" s="195"/>
      <c r="M4" s="196"/>
    </row>
    <row r="5" ht="22" customHeight="1" spans="1:13">
      <c r="A5" s="199" t="s">
        <v>1733</v>
      </c>
      <c r="B5" s="200">
        <f>竞技场!$C$30</f>
        <v>14</v>
      </c>
      <c r="C5" s="201" t="s">
        <v>1796</v>
      </c>
      <c r="E5" s="202" t="s">
        <v>1797</v>
      </c>
      <c r="F5" s="202" t="s">
        <v>1798</v>
      </c>
      <c r="G5" s="202" t="s">
        <v>1799</v>
      </c>
      <c r="H5" s="202" t="s">
        <v>1800</v>
      </c>
      <c r="I5" s="202" t="s">
        <v>1801</v>
      </c>
    </row>
    <row r="6" ht="22" customHeight="1" spans="1:13">
      <c r="A6" s="199" t="s">
        <v>1802</v>
      </c>
      <c r="B6" s="200">
        <f>竞技场!$C$25+竞技场!$C$26</f>
        <v>5</v>
      </c>
      <c r="C6" s="201" t="s">
        <v>1803</v>
      </c>
      <c r="E6" s="203" t="s">
        <v>1804</v>
      </c>
      <c r="F6" s="203" t="s">
        <v>1805</v>
      </c>
      <c r="G6" s="203">
        <v>25</v>
      </c>
      <c r="H6" s="203">
        <v>-10</v>
      </c>
      <c r="I6" s="199" t="s">
        <v>1806</v>
      </c>
    </row>
    <row r="7" ht="22" customHeight="1" spans="1:13">
      <c r="A7" s="199" t="s">
        <v>1807</v>
      </c>
      <c r="B7" s="200">
        <f>1</f>
        <v>1</v>
      </c>
      <c r="C7" s="201" t="s">
        <v>1808</v>
      </c>
      <c r="E7" s="203" t="s">
        <v>1809</v>
      </c>
      <c r="F7" s="203" t="s">
        <v>1810</v>
      </c>
      <c r="G7" s="203">
        <v>22</v>
      </c>
      <c r="H7" s="203">
        <v>-12</v>
      </c>
      <c r="I7" s="199" t="s">
        <v>1811</v>
      </c>
    </row>
    <row r="8" ht="22" customHeight="1" spans="1:13">
      <c r="A8" s="199" t="s">
        <v>1812</v>
      </c>
      <c r="B8" s="200">
        <f>3</f>
        <v>3</v>
      </c>
      <c r="C8" s="201" t="s">
        <v>1808</v>
      </c>
      <c r="E8" s="203" t="s">
        <v>1813</v>
      </c>
      <c r="F8" s="203" t="s">
        <v>1814</v>
      </c>
      <c r="G8" s="203">
        <v>18</v>
      </c>
      <c r="H8" s="203">
        <v>-14</v>
      </c>
      <c r="I8" s="199" t="s">
        <v>1815</v>
      </c>
    </row>
    <row r="9" ht="22" customHeight="1" spans="1:13">
      <c r="A9" s="199" t="s">
        <v>1816</v>
      </c>
      <c r="B9" s="200">
        <f>竞技场!$C$27</f>
        <v>5</v>
      </c>
      <c r="C9" s="201" t="s">
        <v>1796</v>
      </c>
    </row>
    <row r="10" ht="22" customHeight="1" spans="1:13">
      <c r="A10" s="199" t="s">
        <v>1817</v>
      </c>
      <c r="B10" s="204">
        <f>VLOOKUP("竞技场代币",道具定价!$C:$F,4,0)</f>
        <v>10</v>
      </c>
      <c r="C10" s="201" t="s">
        <v>1818</v>
      </c>
    </row>
    <row r="11" ht="22" customHeight="1" spans="1:13">
      <c r="A11" s="199" t="s">
        <v>1819</v>
      </c>
      <c r="B11" s="204">
        <f>VLOOKUP("炮台升级小材料",道具定价!$C:$F,4,0)</f>
        <v>1</v>
      </c>
      <c r="C11" s="201" t="s">
        <v>1818</v>
      </c>
    </row>
    <row r="12" ht="22" customHeight="1" spans="1:13">
      <c r="A12" s="199" t="s">
        <v>1820</v>
      </c>
      <c r="B12" s="204">
        <f>VLOOKUP("炮台升级大材料",道具定价!$C:$F,4,0)</f>
        <v>1000</v>
      </c>
      <c r="C12" s="201" t="s">
        <v>1818</v>
      </c>
    </row>
    <row r="13" ht="22" customHeight="1" spans="1:13">
      <c r="A13" s="199" t="s">
        <v>1821</v>
      </c>
      <c r="B13" s="200">
        <f>'主角等级（从新手引导复制） '!$U$5+'主角等级（从新手引导复制） '!$U$6</f>
        <v>3900</v>
      </c>
      <c r="C13" s="201" t="s">
        <v>1822</v>
      </c>
    </row>
    <row r="14" ht="22" customHeight="1" spans="1:13">
      <c r="A14" s="199" t="s">
        <v>1823</v>
      </c>
      <c r="B14" s="200">
        <f>'主角等级（从新手引导复制） '!$U$16</f>
        <v>4500</v>
      </c>
      <c r="C14" s="201" t="s">
        <v>1824</v>
      </c>
    </row>
    <row r="15" ht="22" customHeight="1" spans="1:13">
      <c r="A15" s="199" t="s">
        <v>1825</v>
      </c>
      <c r="B15" s="200">
        <f>'主角等级（从新手引导复制） '!$U$17</f>
        <v>5700</v>
      </c>
      <c r="C15" s="201" t="s">
        <v>1824</v>
      </c>
    </row>
    <row r="16" ht="22" customHeight="1" spans="1:13">
      <c r="A16" s="199" t="s">
        <v>1826</v>
      </c>
      <c r="B16" s="200">
        <f>'主角等级（从新手引导复制） '!$U$18</f>
        <v>8700</v>
      </c>
      <c r="C16" s="201" t="s">
        <v>1824</v>
      </c>
    </row>
    <row r="17" ht="22" customHeight="1"/>
    <row r="18" ht="22" customHeight="1" spans="1:13">
      <c r="A18" s="198" t="s">
        <v>1827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6"/>
    </row>
    <row r="19" ht="22" customHeight="1" spans="1:13">
      <c r="A19" s="202" t="s">
        <v>1268</v>
      </c>
      <c r="B19" s="202" t="s">
        <v>1828</v>
      </c>
      <c r="C19" s="202" t="s">
        <v>1829</v>
      </c>
      <c r="D19" s="202" t="s">
        <v>1830</v>
      </c>
      <c r="E19" s="202" t="s">
        <v>1831</v>
      </c>
      <c r="F19" s="202" t="s">
        <v>1832</v>
      </c>
      <c r="G19" s="202" t="s">
        <v>1833</v>
      </c>
      <c r="H19" s="202" t="s">
        <v>1834</v>
      </c>
      <c r="I19" s="202" t="s">
        <v>1835</v>
      </c>
      <c r="J19" s="202" t="s">
        <v>1836</v>
      </c>
      <c r="K19" s="202" t="s">
        <v>1837</v>
      </c>
      <c r="L19" s="202" t="s">
        <v>1838</v>
      </c>
      <c r="M19" s="202" t="s">
        <v>1236</v>
      </c>
    </row>
    <row r="20" ht="36" customHeight="1" spans="1:13">
      <c r="A20" s="203" t="s">
        <v>1438</v>
      </c>
      <c r="B20" s="200">
        <f>$B$13</f>
        <v>3900</v>
      </c>
      <c r="C20" s="200">
        <f>B20*$B$5</f>
        <v>54600</v>
      </c>
      <c r="D20" s="200">
        <f>LOOKUP(C20,'主角等级（从新手引导复制） '!$G$5:$G$64,'主角等级（从新手引导复制） '!$B$5:$B$64)</f>
        <v>44</v>
      </c>
      <c r="E20" s="199" t="s">
        <v>1839</v>
      </c>
      <c r="F20" s="200">
        <f>$B$6</f>
        <v>5</v>
      </c>
      <c r="G20" s="200">
        <f>F20*$B$5</f>
        <v>70</v>
      </c>
      <c r="H20" s="205">
        <v>0.46</v>
      </c>
      <c r="I20" s="200">
        <f>ROUND(G20*H20,0)</f>
        <v>32</v>
      </c>
      <c r="J20" s="200">
        <f>G20-I20</f>
        <v>38</v>
      </c>
      <c r="K20" s="203" t="s">
        <v>1840</v>
      </c>
      <c r="L20" s="203" t="s">
        <v>1758</v>
      </c>
      <c r="M20" s="199" t="s">
        <v>1841</v>
      </c>
    </row>
    <row r="21" ht="34" customHeight="1" spans="1:13">
      <c r="A21" s="203" t="s">
        <v>1185</v>
      </c>
      <c r="B21" s="200">
        <f>$B$14</f>
        <v>4500</v>
      </c>
      <c r="C21" s="200">
        <f>B21*$B$5</f>
        <v>63000</v>
      </c>
      <c r="D21" s="200">
        <f>LOOKUP(C21,'主角等级（从新手引导复制） '!$G$5:$G$64,'主角等级（从新手引导复制） '!$B$5:$B$64)</f>
        <v>46</v>
      </c>
      <c r="E21" s="199" t="s">
        <v>1842</v>
      </c>
      <c r="F21" s="200">
        <f>$B$6+$B$7</f>
        <v>6</v>
      </c>
      <c r="G21" s="200">
        <f>F21*$B$5</f>
        <v>84</v>
      </c>
      <c r="H21" s="205">
        <v>0.51</v>
      </c>
      <c r="I21" s="200">
        <f>ROUND(G21*H21,0)</f>
        <v>43</v>
      </c>
      <c r="J21" s="200">
        <f>G21-I21</f>
        <v>41</v>
      </c>
      <c r="K21" s="203" t="s">
        <v>1843</v>
      </c>
      <c r="L21" s="203" t="s">
        <v>1760</v>
      </c>
      <c r="M21" s="199" t="s">
        <v>1844</v>
      </c>
    </row>
    <row r="22" ht="33" customHeight="1" spans="1:13">
      <c r="A22" s="203" t="s">
        <v>1186</v>
      </c>
      <c r="B22" s="200">
        <f>$B$15</f>
        <v>5700</v>
      </c>
      <c r="C22" s="200">
        <f>B22*$B$5</f>
        <v>79800</v>
      </c>
      <c r="D22" s="200">
        <f>LOOKUP(C22,'主角等级（从新手引导复制） '!$G$5:$G$64,'主角等级（从新手引导复制） '!$B$5:$B$64)</f>
        <v>48</v>
      </c>
      <c r="E22" s="199" t="s">
        <v>1845</v>
      </c>
      <c r="F22" s="200">
        <f>$B$6+$B$8</f>
        <v>8</v>
      </c>
      <c r="G22" s="200">
        <f>F22*$B$5</f>
        <v>112</v>
      </c>
      <c r="H22" s="205">
        <v>0.52</v>
      </c>
      <c r="I22" s="200">
        <f>ROUND(G22*H22,0)</f>
        <v>58</v>
      </c>
      <c r="J22" s="200">
        <f>G22-I22</f>
        <v>54</v>
      </c>
      <c r="K22" s="203" t="s">
        <v>1846</v>
      </c>
      <c r="L22" s="203" t="s">
        <v>1763</v>
      </c>
      <c r="M22" s="199" t="s">
        <v>1847</v>
      </c>
    </row>
    <row r="23" ht="39" customHeight="1" spans="1:13">
      <c r="A23" s="203" t="s">
        <v>1187</v>
      </c>
      <c r="B23" s="200">
        <f>$B$16</f>
        <v>8700</v>
      </c>
      <c r="C23" s="200">
        <f>B23*$B$5</f>
        <v>121800</v>
      </c>
      <c r="D23" s="200">
        <f>LOOKUP(C23,'主角等级（从新手引导复制） '!$G$5:$G$64,'主角等级（从新手引导复制） '!$B$5:$B$64)</f>
        <v>52</v>
      </c>
      <c r="E23" s="199" t="s">
        <v>1848</v>
      </c>
      <c r="F23" s="200">
        <f>$B$6+$B$9</f>
        <v>10</v>
      </c>
      <c r="G23" s="200">
        <f>F23*$B$5</f>
        <v>140</v>
      </c>
      <c r="H23" s="205">
        <v>0.61</v>
      </c>
      <c r="I23" s="200">
        <f>ROUND(G23*H23,0)</f>
        <v>85</v>
      </c>
      <c r="J23" s="200">
        <f>G23-I23</f>
        <v>55</v>
      </c>
      <c r="K23" s="203" t="s">
        <v>1849</v>
      </c>
      <c r="L23" s="203" t="s">
        <v>1771</v>
      </c>
      <c r="M23" s="199" t="s">
        <v>1850</v>
      </c>
    </row>
    <row r="24" ht="22" customHeight="1"/>
    <row r="25" ht="22" customHeight="1"/>
    <row r="26" ht="22" customHeight="1" spans="1:13">
      <c r="A26" s="198" t="s">
        <v>1851</v>
      </c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6"/>
    </row>
    <row r="27" ht="22" customHeight="1" spans="1:13">
      <c r="A27" s="202" t="s">
        <v>1268</v>
      </c>
      <c r="B27" s="202" t="s">
        <v>1833</v>
      </c>
      <c r="C27" s="202" t="s">
        <v>1270</v>
      </c>
      <c r="D27" s="202" t="s">
        <v>1271</v>
      </c>
      <c r="E27" s="202" t="s">
        <v>1852</v>
      </c>
      <c r="F27" s="202" t="s">
        <v>1853</v>
      </c>
      <c r="G27" s="202" t="s">
        <v>1854</v>
      </c>
      <c r="H27" s="202" t="s">
        <v>1855</v>
      </c>
      <c r="I27" s="202" t="s">
        <v>1856</v>
      </c>
      <c r="J27" s="202" t="s">
        <v>1857</v>
      </c>
      <c r="K27" s="202" t="s">
        <v>1858</v>
      </c>
      <c r="L27" s="202" t="s">
        <v>1859</v>
      </c>
      <c r="M27" s="202" t="s">
        <v>1860</v>
      </c>
    </row>
    <row r="28" ht="22" customHeight="1" spans="1:13">
      <c r="A28" s="203" t="str">
        <f>A20</f>
        <v>免费</v>
      </c>
      <c r="B28" s="200">
        <f>G20</f>
        <v>70</v>
      </c>
      <c r="C28" s="200">
        <f>I20</f>
        <v>32</v>
      </c>
      <c r="D28" s="200">
        <f>J20</f>
        <v>38</v>
      </c>
      <c r="E28" s="200">
        <f>SUM(竞技场!$D$97,竞技场!$D$99,竞技场!$D$101,竞技场!$D$103)</f>
        <v>120</v>
      </c>
      <c r="F28" s="200">
        <f>SUM(竞技场!$D$98,竞技场!$D$100,竞技场!$D$102)</f>
        <v>90</v>
      </c>
      <c r="G28" s="200">
        <f>C28*竞技场!$C$36+D28*竞技场!$C$40</f>
        <v>190</v>
      </c>
      <c r="H28" s="200">
        <f>C28*竞技场!$F$36+D28*竞技场!$F$40</f>
        <v>1900</v>
      </c>
      <c r="I28" s="200">
        <f>VLOOKUP(L20,竞技场!$B$49:$K$70,6,0)</f>
        <v>0</v>
      </c>
      <c r="J28" s="200">
        <f>VLOOKUP(L20,竞技场!$B$49:$K$70,8,0)</f>
        <v>150</v>
      </c>
      <c r="K28" s="200">
        <f>E28+G28+J28</f>
        <v>460</v>
      </c>
      <c r="L28" s="200">
        <f>F28+H28</f>
        <v>1990</v>
      </c>
      <c r="M28" s="206">
        <f>I28+K28*$B$10+L28*$B$11</f>
        <v>6590</v>
      </c>
    </row>
    <row r="29" ht="22" customHeight="1" spans="1:13">
      <c r="A29" s="203" t="str">
        <f>A21</f>
        <v>小R</v>
      </c>
      <c r="B29" s="200">
        <f>G21</f>
        <v>84</v>
      </c>
      <c r="C29" s="200">
        <f>I21</f>
        <v>43</v>
      </c>
      <c r="D29" s="200">
        <f>J21</f>
        <v>41</v>
      </c>
      <c r="E29" s="200">
        <f>SUM(竞技场!$D$97,竞技场!$D$99,竞技场!$D$101,竞技场!$D$103)</f>
        <v>120</v>
      </c>
      <c r="F29" s="200">
        <f>SUM(竞技场!$D$98,竞技场!$D$100,竞技场!$D$102)</f>
        <v>90</v>
      </c>
      <c r="G29" s="200">
        <f>C29*竞技场!$C$36+D29*竞技场!$C$40</f>
        <v>205</v>
      </c>
      <c r="H29" s="200">
        <f>C29*竞技场!$F$36+D29*竞技场!$F$40</f>
        <v>2050</v>
      </c>
      <c r="I29" s="200">
        <f>VLOOKUP(L21,竞技场!$B$49:$K$70,6,0)</f>
        <v>0</v>
      </c>
      <c r="J29" s="200">
        <f>VLOOKUP(L21,竞技场!$B$49:$K$70,8,0)</f>
        <v>150</v>
      </c>
      <c r="K29" s="200">
        <f>E29+G29+J29</f>
        <v>475</v>
      </c>
      <c r="L29" s="200">
        <f>F29+H29</f>
        <v>2140</v>
      </c>
      <c r="M29" s="206">
        <f>I29+K29*$B$10+L29*$B$11</f>
        <v>6890</v>
      </c>
    </row>
    <row r="30" ht="22" customHeight="1" spans="1:13">
      <c r="A30" s="203" t="str">
        <f>A22</f>
        <v>中R</v>
      </c>
      <c r="B30" s="200">
        <f>G22</f>
        <v>112</v>
      </c>
      <c r="C30" s="200">
        <f>I22</f>
        <v>58</v>
      </c>
      <c r="D30" s="200">
        <f>J22</f>
        <v>54</v>
      </c>
      <c r="E30" s="200">
        <f>SUM(竞技场!$D$97,竞技场!$D$99,竞技场!$D$101,竞技场!$D$103)</f>
        <v>120</v>
      </c>
      <c r="F30" s="200">
        <f>SUM(竞技场!$D$98,竞技场!$D$100,竞技场!$D$102)</f>
        <v>90</v>
      </c>
      <c r="G30" s="200">
        <f>C30*竞技场!$C$36+D30*竞技场!$C$40</f>
        <v>270</v>
      </c>
      <c r="H30" s="200">
        <f>C30*竞技场!$F$36+D30*竞技场!$F$40</f>
        <v>2700</v>
      </c>
      <c r="I30" s="200">
        <f>VLOOKUP(L22,竞技场!$B$49:$K$70,6,0)</f>
        <v>0</v>
      </c>
      <c r="J30" s="200">
        <f>VLOOKUP(L22,竞技场!$B$49:$K$70,8,0)</f>
        <v>200</v>
      </c>
      <c r="K30" s="200">
        <f>E30+G30+J30</f>
        <v>590</v>
      </c>
      <c r="L30" s="200">
        <f>F30+H30</f>
        <v>2790</v>
      </c>
      <c r="M30" s="206">
        <f>I30+K30*$B$10+L30*$B$11</f>
        <v>8690</v>
      </c>
    </row>
    <row r="31" ht="22" customHeight="1" spans="1:13">
      <c r="A31" s="203" t="str">
        <f>A23</f>
        <v>大R</v>
      </c>
      <c r="B31" s="200">
        <f>G23</f>
        <v>140</v>
      </c>
      <c r="C31" s="200">
        <f>I23</f>
        <v>85</v>
      </c>
      <c r="D31" s="200">
        <f>J23</f>
        <v>55</v>
      </c>
      <c r="E31" s="200">
        <f>SUM(竞技场!$D$97,竞技场!$D$99,竞技场!$D$101,竞技场!$D$103)</f>
        <v>120</v>
      </c>
      <c r="F31" s="200">
        <f>SUM(竞技场!$D$98,竞技场!$D$100,竞技场!$D$102)</f>
        <v>90</v>
      </c>
      <c r="G31" s="200">
        <f>C31*竞技场!$C$36+D31*竞技场!$C$40</f>
        <v>275</v>
      </c>
      <c r="H31" s="200">
        <f>C31*竞技场!$F$36+D31*竞技场!$F$40</f>
        <v>2750</v>
      </c>
      <c r="I31" s="200">
        <f>VLOOKUP(L23,竞技场!$B$49:$K$70,6,0)</f>
        <v>0</v>
      </c>
      <c r="J31" s="200">
        <f>VLOOKUP(L23,竞技场!$B$49:$K$70,8,0)</f>
        <v>400</v>
      </c>
      <c r="K31" s="200">
        <f>E31+G31+J31</f>
        <v>795</v>
      </c>
      <c r="L31" s="200">
        <f>F31+H31</f>
        <v>2840</v>
      </c>
      <c r="M31" s="206">
        <f>I31+K31*$B$10+L31*$B$11</f>
        <v>10790</v>
      </c>
    </row>
    <row r="32" ht="22" customHeight="1"/>
    <row r="33" ht="22" customHeight="1"/>
    <row r="34" ht="22" customHeight="1" spans="1:13">
      <c r="A34" s="198" t="s">
        <v>1861</v>
      </c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6"/>
    </row>
    <row r="35" ht="31" customHeight="1" spans="1:13">
      <c r="A35" s="202" t="s">
        <v>1270</v>
      </c>
      <c r="B35" s="202" t="s">
        <v>1441</v>
      </c>
      <c r="C35" s="202" t="s">
        <v>270</v>
      </c>
      <c r="D35" s="202" t="s">
        <v>1862</v>
      </c>
      <c r="E35" s="202" t="s">
        <v>1863</v>
      </c>
      <c r="F35" s="202" t="s">
        <v>1864</v>
      </c>
      <c r="H35" s="202" t="s">
        <v>1268</v>
      </c>
      <c r="I35" s="202" t="s">
        <v>1835</v>
      </c>
      <c r="J35" s="202" t="s">
        <v>1865</v>
      </c>
      <c r="K35" s="202" t="s">
        <v>1866</v>
      </c>
    </row>
    <row r="36" ht="36" customHeight="1" spans="1:13">
      <c r="A36" s="200">
        <v>5</v>
      </c>
      <c r="B36" s="203" t="s">
        <v>607</v>
      </c>
      <c r="C36" s="200">
        <v>10</v>
      </c>
      <c r="D36" s="203">
        <f>VLOOKUP("竞技场代币",道具定价!$C:$F,4,0)</f>
        <v>10</v>
      </c>
      <c r="E36" s="206">
        <f t="shared" ref="E36:E44" si="0">C36*D36</f>
        <v>100</v>
      </c>
      <c r="F36" s="199" t="s">
        <v>1867</v>
      </c>
      <c r="H36" s="203" t="s">
        <v>1438</v>
      </c>
      <c r="I36" s="200">
        <f>I20</f>
        <v>32</v>
      </c>
      <c r="J36" s="203" t="s">
        <v>1868</v>
      </c>
      <c r="K36" s="199" t="s">
        <v>1869</v>
      </c>
    </row>
    <row r="37" ht="36" customHeight="1" spans="1:13">
      <c r="A37" s="200">
        <v>10</v>
      </c>
      <c r="B37" s="203" t="s">
        <v>736</v>
      </c>
      <c r="C37" s="200">
        <v>30</v>
      </c>
      <c r="D37" s="203">
        <f>VLOOKUP("炮台升级小材料",道具定价!$C:$F,4,0)</f>
        <v>1</v>
      </c>
      <c r="E37" s="206">
        <f t="shared" si="0"/>
        <v>30</v>
      </c>
      <c r="F37" s="199" t="s">
        <v>1870</v>
      </c>
      <c r="H37" s="203" t="s">
        <v>1185</v>
      </c>
      <c r="I37" s="200">
        <f>I21</f>
        <v>43</v>
      </c>
      <c r="J37" s="203" t="s">
        <v>1871</v>
      </c>
      <c r="K37" s="199" t="s">
        <v>1872</v>
      </c>
    </row>
    <row r="38" ht="33" customHeight="1" spans="1:13">
      <c r="A38" s="200">
        <v>15</v>
      </c>
      <c r="B38" s="203" t="s">
        <v>607</v>
      </c>
      <c r="C38" s="200">
        <v>20</v>
      </c>
      <c r="D38" s="203">
        <f>VLOOKUP("竞技场代币",道具定价!$C:$F,4,0)</f>
        <v>10</v>
      </c>
      <c r="E38" s="206">
        <f t="shared" si="0"/>
        <v>200</v>
      </c>
      <c r="F38" s="199" t="s">
        <v>1873</v>
      </c>
      <c r="H38" s="203" t="s">
        <v>1186</v>
      </c>
      <c r="I38" s="200">
        <f>I22</f>
        <v>58</v>
      </c>
      <c r="J38" s="203" t="s">
        <v>1874</v>
      </c>
      <c r="K38" s="199" t="s">
        <v>1875</v>
      </c>
    </row>
    <row r="39" ht="37" customHeight="1" spans="1:13">
      <c r="A39" s="200">
        <v>20</v>
      </c>
      <c r="B39" s="203" t="s">
        <v>736</v>
      </c>
      <c r="C39" s="200">
        <v>50</v>
      </c>
      <c r="D39" s="203">
        <f>VLOOKUP("炮台升级小材料",道具定价!$C:$F,4,0)</f>
        <v>1</v>
      </c>
      <c r="E39" s="206">
        <f t="shared" si="0"/>
        <v>50</v>
      </c>
      <c r="F39" s="199" t="s">
        <v>1876</v>
      </c>
      <c r="H39" s="203" t="s">
        <v>1187</v>
      </c>
      <c r="I39" s="200">
        <f>I23</f>
        <v>85</v>
      </c>
      <c r="J39" s="203" t="s">
        <v>1877</v>
      </c>
      <c r="K39" s="199" t="s">
        <v>1878</v>
      </c>
    </row>
    <row r="40" ht="22" customHeight="1" spans="1:13">
      <c r="A40" s="200">
        <v>28</v>
      </c>
      <c r="B40" s="203" t="s">
        <v>607</v>
      </c>
      <c r="C40" s="200">
        <v>30</v>
      </c>
      <c r="D40" s="203">
        <f>VLOOKUP("竞技场代币",道具定价!$C:$F,4,0)</f>
        <v>10</v>
      </c>
      <c r="E40" s="206">
        <f t="shared" si="0"/>
        <v>300</v>
      </c>
      <c r="F40" s="199" t="s">
        <v>1879</v>
      </c>
    </row>
    <row r="41" ht="22" customHeight="1" spans="1:13">
      <c r="A41" s="200">
        <v>36</v>
      </c>
      <c r="B41" s="203" t="s">
        <v>736</v>
      </c>
      <c r="C41" s="200">
        <v>80</v>
      </c>
      <c r="D41" s="203">
        <f>VLOOKUP("炮台升级小材料",道具定价!$C:$F,4,0)</f>
        <v>1</v>
      </c>
      <c r="E41" s="206">
        <f t="shared" si="0"/>
        <v>80</v>
      </c>
      <c r="F41" s="199" t="s">
        <v>1880</v>
      </c>
    </row>
    <row r="42" ht="22" customHeight="1" spans="1:13">
      <c r="A42" s="200">
        <v>48</v>
      </c>
      <c r="B42" s="203" t="s">
        <v>607</v>
      </c>
      <c r="C42" s="200">
        <v>50</v>
      </c>
      <c r="D42" s="203">
        <f>VLOOKUP("竞技场代币",道具定价!$C:$F,4,0)</f>
        <v>10</v>
      </c>
      <c r="E42" s="206">
        <f t="shared" si="0"/>
        <v>500</v>
      </c>
      <c r="F42" s="199" t="s">
        <v>1881</v>
      </c>
    </row>
    <row r="43" ht="22" customHeight="1" spans="1:13">
      <c r="A43" s="200">
        <v>60</v>
      </c>
      <c r="B43" s="203" t="s">
        <v>607</v>
      </c>
      <c r="C43" s="200">
        <v>70</v>
      </c>
      <c r="D43" s="203">
        <f>VLOOKUP("竞技场代币",道具定价!$C:$F,4,0)</f>
        <v>10</v>
      </c>
      <c r="E43" s="206">
        <f t="shared" si="0"/>
        <v>700</v>
      </c>
      <c r="F43" s="199" t="s">
        <v>1882</v>
      </c>
    </row>
    <row r="44" ht="22" customHeight="1" spans="1:13">
      <c r="A44" s="200">
        <v>78</v>
      </c>
      <c r="B44" s="203" t="s">
        <v>737</v>
      </c>
      <c r="C44" s="200">
        <v>1</v>
      </c>
      <c r="D44" s="203">
        <f>VLOOKUP("炮台升级大材料",道具定价!$C:$F,4,0)</f>
        <v>1000</v>
      </c>
      <c r="E44" s="206">
        <f t="shared" si="0"/>
        <v>1000</v>
      </c>
      <c r="F44" s="199" t="s">
        <v>1883</v>
      </c>
    </row>
    <row r="45" ht="22" customHeight="1"/>
    <row r="46" ht="22" customHeight="1"/>
    <row r="47" ht="22" customHeight="1"/>
    <row r="48" ht="22" customHeight="1" spans="1:13">
      <c r="A48" s="198" t="s">
        <v>1884</v>
      </c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6"/>
    </row>
    <row r="49" ht="22" customHeight="1" spans="1:13">
      <c r="A49" s="199" t="s">
        <v>1885</v>
      </c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6"/>
    </row>
    <row r="50" ht="22" customHeight="1" spans="1:13">
      <c r="A50" s="199" t="s">
        <v>1886</v>
      </c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6"/>
    </row>
    <row r="51" ht="22" customHeight="1" spans="1:13">
      <c r="A51" s="199" t="s">
        <v>1887</v>
      </c>
      <c r="B51" s="195"/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6"/>
    </row>
    <row r="52" ht="22" customHeight="1" spans="1:13">
      <c r="A52" s="199" t="s">
        <v>1888</v>
      </c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6"/>
    </row>
    <row r="53" ht="22" customHeight="1" spans="1:13">
      <c r="A53" s="199" t="s">
        <v>1889</v>
      </c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6"/>
    </row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13">
    <mergeCell ref="A1:M1"/>
    <mergeCell ref="A2:M2"/>
    <mergeCell ref="A4:C4"/>
    <mergeCell ref="E4:M4"/>
    <mergeCell ref="A18:M18"/>
    <mergeCell ref="A26:M26"/>
    <mergeCell ref="A34:M34"/>
    <mergeCell ref="A48:M48"/>
    <mergeCell ref="A49:M49"/>
    <mergeCell ref="A50:M50"/>
    <mergeCell ref="A51:M51"/>
    <mergeCell ref="A52:M52"/>
    <mergeCell ref="A53:M53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2:Z229"/>
  <sheetViews>
    <sheetView topLeftCell="A96" workbookViewId="0">
      <selection activeCell="I123" sqref="I123"/>
    </sheetView>
  </sheetViews>
  <sheetFormatPr defaultColWidth="9" defaultRowHeight="16.5"/>
  <cols>
    <col min="1" max="1" width="17.125" style="3" customWidth="1"/>
    <col min="2" max="2" width="9" style="3" customWidth="1"/>
    <col min="3" max="4" width="16.375" style="3" customWidth="1"/>
    <col min="5" max="5" width="14.125" style="3" customWidth="1"/>
    <col min="6" max="6" width="15" style="3" customWidth="1"/>
    <col min="7" max="10" width="10" style="3" customWidth="1"/>
    <col min="11" max="11" width="9.75" style="3" customWidth="1"/>
    <col min="12" max="12" width="14.125" style="3" customWidth="1"/>
    <col min="13" max="13" width="18.125" style="3" customWidth="1"/>
    <col min="14" max="15" width="9" style="3" customWidth="1"/>
    <col min="16" max="16" width="17.5" style="3" customWidth="1"/>
    <col min="17" max="17" width="9" style="3" customWidth="1"/>
    <col min="18" max="18" width="10" style="3" customWidth="1"/>
    <col min="19" max="24" width="9" style="3" customWidth="1"/>
    <col min="25" max="25" width="20.625" style="3" customWidth="1"/>
    <col min="26" max="16384" width="9" style="3" customWidth="1"/>
  </cols>
  <sheetData>
    <row r="2" spans="2:3">
      <c r="B2" s="3" t="s">
        <v>1890</v>
      </c>
    </row>
    <row r="3" spans="2:3">
      <c r="B3" s="3">
        <v>1</v>
      </c>
      <c r="C3" s="3" t="s">
        <v>1891</v>
      </c>
    </row>
    <row r="4" spans="2:3">
      <c r="B4" s="3">
        <v>2</v>
      </c>
      <c r="C4" s="3" t="s">
        <v>1892</v>
      </c>
    </row>
    <row r="5" spans="2:3">
      <c r="B5" s="3">
        <v>3</v>
      </c>
      <c r="C5" s="3" t="s">
        <v>1893</v>
      </c>
    </row>
    <row r="6" spans="2:3">
      <c r="B6" s="3">
        <v>4</v>
      </c>
      <c r="C6" s="3" t="s">
        <v>1894</v>
      </c>
    </row>
    <row r="7" spans="2:3">
      <c r="B7" s="3">
        <v>5</v>
      </c>
      <c r="C7" s="3" t="s">
        <v>1895</v>
      </c>
    </row>
    <row r="9" spans="2:3">
      <c r="B9" s="3" t="s">
        <v>1649</v>
      </c>
    </row>
    <row r="10" spans="2:3">
      <c r="B10" s="3" t="s">
        <v>1896</v>
      </c>
    </row>
    <row r="11" spans="2:3">
      <c r="B11" s="3" t="s">
        <v>1897</v>
      </c>
    </row>
    <row r="12" spans="2:3">
      <c r="B12" s="3">
        <v>2.1</v>
      </c>
      <c r="C12" s="3" t="s">
        <v>200</v>
      </c>
    </row>
    <row r="13" spans="2:3">
      <c r="B13" s="3">
        <v>2.2</v>
      </c>
      <c r="C13" s="3" t="s">
        <v>1898</v>
      </c>
    </row>
    <row r="14" spans="2:3">
      <c r="B14" s="3">
        <v>2.3</v>
      </c>
      <c r="C14" s="3" t="s">
        <v>1690</v>
      </c>
    </row>
    <row r="15" spans="2:3">
      <c r="B15" s="3">
        <v>2.4</v>
      </c>
      <c r="C15" s="3" t="s">
        <v>230</v>
      </c>
    </row>
    <row r="16" spans="2:3">
      <c r="B16" s="3" t="s">
        <v>1899</v>
      </c>
    </row>
    <row r="18" spans="2:13">
      <c r="B18" s="3" t="s">
        <v>1900</v>
      </c>
    </row>
    <row r="20" spans="2:13">
      <c r="B20" s="3" t="s">
        <v>1901</v>
      </c>
      <c r="C20" s="5">
        <v>100</v>
      </c>
    </row>
    <row r="23" spans="2:13">
      <c r="B23" s="188" t="s">
        <v>1902</v>
      </c>
      <c r="C23" s="188" t="s">
        <v>1903</v>
      </c>
      <c r="D23" s="188" t="s">
        <v>1903</v>
      </c>
      <c r="E23" s="188" t="s">
        <v>1904</v>
      </c>
      <c r="F23" s="188" t="s">
        <v>1905</v>
      </c>
      <c r="G23" s="188" t="s">
        <v>1905</v>
      </c>
      <c r="H23" s="188" t="s">
        <v>1906</v>
      </c>
      <c r="I23" s="188" t="s">
        <v>1783</v>
      </c>
      <c r="J23" s="188" t="s">
        <v>1907</v>
      </c>
      <c r="K23" s="188" t="s">
        <v>1908</v>
      </c>
      <c r="L23" s="188" t="s">
        <v>1909</v>
      </c>
      <c r="M23" s="188" t="s">
        <v>1910</v>
      </c>
    </row>
    <row r="24" spans="2:13">
      <c r="B24" s="16">
        <f t="array" ref="B24:B123">_xlfn.SEQUENCE(C20,1,1,1)</f>
        <v>1</v>
      </c>
      <c r="C24" s="3" t="s">
        <v>601</v>
      </c>
      <c r="D24" s="3">
        <v>15000</v>
      </c>
      <c r="E24" s="3">
        <f>VLOOKUP(C24,道具定价!$C:$F,4,0)*D24</f>
        <v>15</v>
      </c>
      <c r="F24" s="3" t="s">
        <v>7</v>
      </c>
      <c r="G24" s="3">
        <v>1</v>
      </c>
      <c r="H24" s="16" t="s">
        <v>605</v>
      </c>
      <c r="I24" s="16">
        <v>5</v>
      </c>
      <c r="J24" s="16">
        <f>SUM($I$24:I24)</f>
        <v>5</v>
      </c>
      <c r="K24" s="3" t="s">
        <v>5</v>
      </c>
      <c r="L24" s="3">
        <v>25</v>
      </c>
      <c r="M24" s="3">
        <v>0</v>
      </c>
    </row>
    <row r="25" spans="2:13">
      <c r="B25" s="16">
        <v>2</v>
      </c>
      <c r="C25" s="3" t="s">
        <v>613</v>
      </c>
      <c r="D25" s="3">
        <v>9</v>
      </c>
      <c r="E25" s="3">
        <f>VLOOKUP(C25,道具定价!$C:$F,4,0)*D25</f>
        <v>18</v>
      </c>
      <c r="F25" s="3" t="s">
        <v>7</v>
      </c>
      <c r="G25" s="3">
        <v>1</v>
      </c>
      <c r="H25" s="16" t="s">
        <v>605</v>
      </c>
      <c r="I25" s="16">
        <v>5</v>
      </c>
      <c r="J25" s="16">
        <f>SUM($I$24:I25)</f>
        <v>10</v>
      </c>
      <c r="K25" s="3" t="s">
        <v>5</v>
      </c>
      <c r="L25" s="3">
        <v>25</v>
      </c>
      <c r="M25" s="3">
        <v>0</v>
      </c>
    </row>
    <row r="26" spans="2:13">
      <c r="B26" s="16">
        <v>3</v>
      </c>
      <c r="C26" s="3" t="s">
        <v>669</v>
      </c>
      <c r="D26" s="3">
        <v>9</v>
      </c>
      <c r="E26" s="3">
        <f>VLOOKUP(C26,道具定价!$C:$F,4,0)*D26</f>
        <v>18</v>
      </c>
      <c r="F26" s="3" t="s">
        <v>7</v>
      </c>
      <c r="G26" s="3">
        <v>1</v>
      </c>
      <c r="H26" s="16" t="s">
        <v>605</v>
      </c>
      <c r="I26" s="16">
        <v>5</v>
      </c>
      <c r="J26" s="16">
        <f>SUM($I$24:I26)</f>
        <v>15</v>
      </c>
      <c r="K26" s="3" t="s">
        <v>5</v>
      </c>
      <c r="L26" s="3">
        <v>25</v>
      </c>
      <c r="M26" s="3">
        <v>0</v>
      </c>
    </row>
    <row r="27" spans="2:13">
      <c r="B27" s="16">
        <v>4</v>
      </c>
      <c r="C27" s="25" t="s">
        <v>605</v>
      </c>
      <c r="D27" s="3">
        <v>60</v>
      </c>
      <c r="E27" s="3">
        <f>VLOOKUP(C27,道具定价!$C:$F,4,0)*D27</f>
        <v>60</v>
      </c>
      <c r="F27" s="3" t="s">
        <v>7</v>
      </c>
      <c r="G27" s="3">
        <v>1</v>
      </c>
      <c r="H27" s="16" t="s">
        <v>605</v>
      </c>
      <c r="I27" s="16">
        <v>5</v>
      </c>
      <c r="J27" s="16">
        <f>SUM($I$24:I27)</f>
        <v>20</v>
      </c>
      <c r="K27" s="3" t="s">
        <v>5</v>
      </c>
      <c r="L27" s="3">
        <v>25</v>
      </c>
      <c r="M27" s="3">
        <v>0</v>
      </c>
    </row>
    <row r="28" spans="2:13">
      <c r="B28" s="16">
        <v>5</v>
      </c>
      <c r="C28" s="3" t="s">
        <v>5</v>
      </c>
      <c r="D28" s="3">
        <v>500</v>
      </c>
      <c r="E28" s="3">
        <f>VLOOKUP(C28,道具定价!$C:$F,4,0)*D28</f>
        <v>500</v>
      </c>
      <c r="F28" s="3" t="s">
        <v>7</v>
      </c>
      <c r="G28" s="3">
        <v>3</v>
      </c>
      <c r="H28" s="16" t="s">
        <v>605</v>
      </c>
      <c r="I28" s="16">
        <v>5</v>
      </c>
      <c r="J28" s="16">
        <f>SUM($I$24:I28)</f>
        <v>25</v>
      </c>
      <c r="K28" s="3" t="s">
        <v>5</v>
      </c>
      <c r="L28" s="3">
        <v>25</v>
      </c>
      <c r="M28" s="3">
        <v>0</v>
      </c>
    </row>
    <row r="29" spans="2:13">
      <c r="B29" s="16">
        <v>6</v>
      </c>
      <c r="C29" s="3" t="s">
        <v>601</v>
      </c>
      <c r="D29" s="3">
        <v>15000</v>
      </c>
      <c r="E29" s="3">
        <f>VLOOKUP(C29,道具定价!$C:$F,4,0)*D29</f>
        <v>15</v>
      </c>
      <c r="F29" s="3" t="s">
        <v>7</v>
      </c>
      <c r="G29" s="3">
        <v>1</v>
      </c>
      <c r="H29" s="16" t="s">
        <v>605</v>
      </c>
      <c r="I29" s="16">
        <v>5</v>
      </c>
      <c r="J29" s="16">
        <f>SUM($I$24:I29)</f>
        <v>30</v>
      </c>
      <c r="K29" s="3" t="s">
        <v>5</v>
      </c>
      <c r="L29" s="3">
        <v>25</v>
      </c>
      <c r="M29" s="3">
        <v>0</v>
      </c>
    </row>
    <row r="30" spans="2:13">
      <c r="B30" s="16">
        <v>7</v>
      </c>
      <c r="C30" s="3" t="s">
        <v>613</v>
      </c>
      <c r="D30" s="3">
        <v>9</v>
      </c>
      <c r="E30" s="3">
        <f>VLOOKUP(C30,道具定价!$C:$F,4,0)*D30</f>
        <v>18</v>
      </c>
      <c r="F30" s="3" t="s">
        <v>7</v>
      </c>
      <c r="G30" s="3">
        <v>1</v>
      </c>
      <c r="H30" s="16" t="s">
        <v>605</v>
      </c>
      <c r="I30" s="16">
        <v>5</v>
      </c>
      <c r="J30" s="16">
        <f>SUM($I$24:I30)</f>
        <v>35</v>
      </c>
      <c r="K30" s="3" t="s">
        <v>5</v>
      </c>
      <c r="L30" s="3">
        <v>25</v>
      </c>
      <c r="M30" s="3">
        <v>0</v>
      </c>
    </row>
    <row r="31" spans="2:13">
      <c r="B31" s="16">
        <v>8</v>
      </c>
      <c r="C31" s="3" t="s">
        <v>669</v>
      </c>
      <c r="D31" s="3">
        <v>9</v>
      </c>
      <c r="E31" s="3">
        <f>VLOOKUP(C31,道具定价!$C:$F,4,0)*D31</f>
        <v>18</v>
      </c>
      <c r="F31" s="3" t="s">
        <v>7</v>
      </c>
      <c r="G31" s="3">
        <v>1</v>
      </c>
      <c r="H31" s="16" t="s">
        <v>605</v>
      </c>
      <c r="I31" s="16">
        <v>5</v>
      </c>
      <c r="J31" s="16">
        <f>SUM($I$24:I31)</f>
        <v>40</v>
      </c>
      <c r="K31" s="3" t="s">
        <v>5</v>
      </c>
      <c r="L31" s="3">
        <v>25</v>
      </c>
      <c r="M31" s="3">
        <v>0</v>
      </c>
    </row>
    <row r="32" spans="2:13">
      <c r="B32" s="16">
        <v>9</v>
      </c>
      <c r="C32" s="25" t="s">
        <v>605</v>
      </c>
      <c r="D32" s="3">
        <v>60</v>
      </c>
      <c r="E32" s="3">
        <v>20</v>
      </c>
      <c r="F32" s="3" t="s">
        <v>7</v>
      </c>
      <c r="G32" s="3">
        <v>1</v>
      </c>
      <c r="H32" s="16" t="s">
        <v>605</v>
      </c>
      <c r="I32" s="16">
        <v>5</v>
      </c>
      <c r="J32" s="16">
        <f>SUM($I$24:I32)</f>
        <v>45</v>
      </c>
      <c r="K32" s="3" t="s">
        <v>5</v>
      </c>
      <c r="L32" s="3">
        <v>25</v>
      </c>
      <c r="M32" s="3">
        <v>0</v>
      </c>
    </row>
    <row r="33" spans="2:26">
      <c r="B33" s="16">
        <v>10</v>
      </c>
      <c r="C33" s="3" t="s">
        <v>9</v>
      </c>
      <c r="D33" s="3">
        <v>10</v>
      </c>
      <c r="E33" s="3">
        <f>VLOOKUP(C33,道具定价!$C:$F,4,0)*D33</f>
        <v>1500</v>
      </c>
      <c r="H33" s="16" t="s">
        <v>605</v>
      </c>
      <c r="I33" s="16">
        <v>25</v>
      </c>
      <c r="J33" s="16">
        <f>SUM($I$24:I33)</f>
        <v>70</v>
      </c>
      <c r="K33" s="3" t="s">
        <v>5</v>
      </c>
      <c r="L33" s="3">
        <v>50</v>
      </c>
      <c r="M33" s="3">
        <v>0</v>
      </c>
    </row>
    <row r="34" spans="2:26">
      <c r="B34" s="16">
        <v>11</v>
      </c>
      <c r="C34" s="3" t="s">
        <v>601</v>
      </c>
      <c r="D34" s="3">
        <v>30000</v>
      </c>
      <c r="E34" s="3">
        <f>VLOOKUP(C34,道具定价!$C:$F,4,0)*D34</f>
        <v>30</v>
      </c>
      <c r="F34" s="3" t="s">
        <v>7</v>
      </c>
      <c r="G34" s="3">
        <v>1</v>
      </c>
      <c r="H34" s="16" t="s">
        <v>605</v>
      </c>
      <c r="I34" s="16">
        <v>5</v>
      </c>
      <c r="J34" s="16">
        <f>SUM($I$24:I34)</f>
        <v>75</v>
      </c>
      <c r="K34" s="3" t="s">
        <v>5</v>
      </c>
      <c r="L34" s="3">
        <v>50</v>
      </c>
      <c r="M34" s="3">
        <v>0</v>
      </c>
    </row>
    <row r="35" spans="2:26">
      <c r="B35" s="16">
        <v>12</v>
      </c>
      <c r="C35" s="3" t="s">
        <v>614</v>
      </c>
      <c r="D35" s="3">
        <v>3</v>
      </c>
      <c r="E35" s="3">
        <f>VLOOKUP(C35,道具定价!$C:$F,4,0)*D35</f>
        <v>30</v>
      </c>
      <c r="F35" s="3" t="s">
        <v>7</v>
      </c>
      <c r="G35" s="3">
        <v>1</v>
      </c>
      <c r="H35" s="16" t="s">
        <v>605</v>
      </c>
      <c r="I35" s="16">
        <v>5</v>
      </c>
      <c r="J35" s="16">
        <f>SUM($I$24:I35)</f>
        <v>80</v>
      </c>
      <c r="K35" s="3" t="s">
        <v>5</v>
      </c>
      <c r="L35" s="3">
        <v>50</v>
      </c>
      <c r="M35" s="3">
        <v>0</v>
      </c>
      <c r="O35" s="3" t="s">
        <v>1911</v>
      </c>
      <c r="P35" s="3" t="s">
        <v>1912</v>
      </c>
    </row>
    <row r="36" spans="2:26">
      <c r="B36" s="16">
        <v>13</v>
      </c>
      <c r="C36" s="3" t="s">
        <v>670</v>
      </c>
      <c r="D36" s="3">
        <v>3</v>
      </c>
      <c r="E36" s="3">
        <f>VLOOKUP(C36,道具定价!$C:$F,4,0)*D36</f>
        <v>30</v>
      </c>
      <c r="F36" s="3" t="s">
        <v>7</v>
      </c>
      <c r="G36" s="3">
        <v>1</v>
      </c>
      <c r="H36" s="16" t="s">
        <v>605</v>
      </c>
      <c r="I36" s="16">
        <v>5</v>
      </c>
      <c r="J36" s="16">
        <f>SUM($I$24:I36)</f>
        <v>85</v>
      </c>
      <c r="K36" s="3" t="s">
        <v>5</v>
      </c>
      <c r="L36" s="3">
        <v>50</v>
      </c>
      <c r="M36" s="3">
        <v>0</v>
      </c>
      <c r="O36" s="19" t="s">
        <v>1585</v>
      </c>
      <c r="P36" s="19" t="s">
        <v>1586</v>
      </c>
      <c r="Q36" s="19" t="s">
        <v>1587</v>
      </c>
      <c r="R36" s="19" t="s">
        <v>1588</v>
      </c>
      <c r="S36" s="19" t="s">
        <v>1589</v>
      </c>
      <c r="T36" s="19" t="s">
        <v>1590</v>
      </c>
      <c r="U36" s="19" t="s">
        <v>1591</v>
      </c>
      <c r="V36" s="19" t="s">
        <v>1592</v>
      </c>
      <c r="W36" s="19" t="s">
        <v>1593</v>
      </c>
      <c r="X36" s="19" t="s">
        <v>1594</v>
      </c>
      <c r="Y36" s="19" t="s">
        <v>1913</v>
      </c>
      <c r="Z36" s="19" t="s">
        <v>1914</v>
      </c>
    </row>
    <row r="37" spans="2:26">
      <c r="B37" s="16">
        <v>14</v>
      </c>
      <c r="C37" s="25" t="s">
        <v>605</v>
      </c>
      <c r="D37" s="3">
        <v>75</v>
      </c>
      <c r="E37" s="3">
        <v>25</v>
      </c>
      <c r="F37" s="3" t="s">
        <v>7</v>
      </c>
      <c r="G37" s="3">
        <v>1</v>
      </c>
      <c r="H37" s="16" t="s">
        <v>605</v>
      </c>
      <c r="I37" s="16">
        <v>5</v>
      </c>
      <c r="J37" s="16">
        <f>SUM($I$24:I37)</f>
        <v>90</v>
      </c>
      <c r="K37" s="3" t="s">
        <v>5</v>
      </c>
      <c r="L37" s="3">
        <v>50</v>
      </c>
      <c r="M37" s="3">
        <v>0</v>
      </c>
      <c r="O37" s="16">
        <v>1</v>
      </c>
      <c r="P37" s="3" t="s">
        <v>702</v>
      </c>
      <c r="Q37" s="16">
        <v>1</v>
      </c>
      <c r="R37" s="16">
        <f>VLOOKUP(P37,道具定价!$C:$F,4,0)*Q37</f>
        <v>10</v>
      </c>
      <c r="S37" s="16" t="s">
        <v>605</v>
      </c>
      <c r="T37" s="16">
        <v>30</v>
      </c>
      <c r="U37" s="16">
        <f>VLOOKUP(S37,道具定价!$C:$F,4,0)*T37</f>
        <v>30</v>
      </c>
      <c r="V37" s="16">
        <f t="shared" ref="V37:V46" si="0">U37/R37</f>
        <v>3</v>
      </c>
      <c r="W37" s="16" t="s">
        <v>1781</v>
      </c>
      <c r="X37" s="16">
        <v>5</v>
      </c>
      <c r="Y37" s="3" t="s">
        <v>1915</v>
      </c>
      <c r="Z37" s="3">
        <v>10</v>
      </c>
    </row>
    <row r="38" spans="2:26">
      <c r="B38" s="16">
        <v>15</v>
      </c>
      <c r="C38" s="3" t="s">
        <v>5</v>
      </c>
      <c r="D38" s="3">
        <v>500</v>
      </c>
      <c r="E38" s="3">
        <f>VLOOKUP(C38,道具定价!$C:$F,4,0)*D38</f>
        <v>500</v>
      </c>
      <c r="F38" s="3" t="s">
        <v>665</v>
      </c>
      <c r="G38" s="3">
        <v>1</v>
      </c>
      <c r="H38" s="16" t="s">
        <v>605</v>
      </c>
      <c r="I38" s="16">
        <v>5</v>
      </c>
      <c r="J38" s="16">
        <f>SUM($I$24:I38)</f>
        <v>95</v>
      </c>
      <c r="K38" s="3" t="s">
        <v>5</v>
      </c>
      <c r="L38" s="3">
        <v>50</v>
      </c>
      <c r="M38" s="3">
        <v>0</v>
      </c>
      <c r="O38" s="16">
        <v>2</v>
      </c>
      <c r="P38" s="3" t="s">
        <v>665</v>
      </c>
      <c r="Q38" s="16">
        <v>1</v>
      </c>
      <c r="R38" s="16">
        <f>VLOOKUP(P38,道具定价!$C:$F,4,0)*Q38</f>
        <v>500</v>
      </c>
      <c r="S38" s="16" t="s">
        <v>605</v>
      </c>
      <c r="T38" s="16">
        <v>500</v>
      </c>
      <c r="U38" s="16">
        <f>VLOOKUP(S38,道具定价!$C:$F,4,0)*T38</f>
        <v>500</v>
      </c>
      <c r="V38" s="16">
        <f t="shared" si="0"/>
        <v>1</v>
      </c>
      <c r="W38" s="16" t="s">
        <v>1781</v>
      </c>
      <c r="X38" s="16">
        <v>3</v>
      </c>
      <c r="Y38" s="3" t="s">
        <v>1915</v>
      </c>
      <c r="Z38" s="3">
        <v>20</v>
      </c>
    </row>
    <row r="39" spans="2:26">
      <c r="B39" s="16">
        <v>16</v>
      </c>
      <c r="C39" s="3" t="s">
        <v>601</v>
      </c>
      <c r="D39" s="3">
        <v>30000</v>
      </c>
      <c r="E39" s="3">
        <f>VLOOKUP(C39,道具定价!$C:$F,4,0)*D39</f>
        <v>30</v>
      </c>
      <c r="F39" s="3" t="s">
        <v>7</v>
      </c>
      <c r="G39" s="3">
        <v>1</v>
      </c>
      <c r="H39" s="16" t="s">
        <v>605</v>
      </c>
      <c r="I39" s="16">
        <v>5</v>
      </c>
      <c r="J39" s="16">
        <f>SUM($I$24:I39)</f>
        <v>100</v>
      </c>
      <c r="K39" s="3" t="s">
        <v>5</v>
      </c>
      <c r="L39" s="3">
        <v>50</v>
      </c>
      <c r="M39" s="3">
        <v>0</v>
      </c>
      <c r="O39" s="16">
        <v>3</v>
      </c>
      <c r="P39" s="3" t="s">
        <v>701</v>
      </c>
      <c r="Q39" s="16">
        <v>1</v>
      </c>
      <c r="R39" s="16">
        <f>VLOOKUP(P39,道具定价!$C:$F,4,0)*Q39</f>
        <v>50</v>
      </c>
      <c r="S39" s="16" t="s">
        <v>605</v>
      </c>
      <c r="T39" s="16">
        <v>50</v>
      </c>
      <c r="U39" s="16">
        <f>VLOOKUP(S39,道具定价!$C:$F,4,0)*T39</f>
        <v>50</v>
      </c>
      <c r="V39" s="16">
        <f t="shared" si="0"/>
        <v>1</v>
      </c>
      <c r="W39" s="16" t="s">
        <v>1781</v>
      </c>
      <c r="X39" s="16">
        <v>2</v>
      </c>
      <c r="Y39" s="3" t="s">
        <v>1915</v>
      </c>
      <c r="Z39" s="3">
        <v>30</v>
      </c>
    </row>
    <row r="40" spans="2:26">
      <c r="B40" s="16">
        <v>17</v>
      </c>
      <c r="C40" s="3" t="s">
        <v>614</v>
      </c>
      <c r="D40" s="3">
        <v>3</v>
      </c>
      <c r="E40" s="3">
        <f>VLOOKUP(C40,道具定价!$C:$F,4,0)*D40</f>
        <v>30</v>
      </c>
      <c r="F40" s="3" t="s">
        <v>7</v>
      </c>
      <c r="G40" s="3">
        <v>1</v>
      </c>
      <c r="H40" s="16" t="s">
        <v>605</v>
      </c>
      <c r="I40" s="16">
        <v>5</v>
      </c>
      <c r="J40" s="16">
        <f>SUM($I$24:I40)</f>
        <v>105</v>
      </c>
      <c r="K40" s="3" t="s">
        <v>5</v>
      </c>
      <c r="L40" s="3">
        <v>50</v>
      </c>
      <c r="M40" s="3">
        <v>0</v>
      </c>
      <c r="O40" s="16">
        <v>4</v>
      </c>
      <c r="P40" s="3" t="s">
        <v>6</v>
      </c>
      <c r="Q40" s="16">
        <v>10</v>
      </c>
      <c r="R40" s="16">
        <f>VLOOKUP(P40,道具定价!$C:$F,4,0)*Q40</f>
        <v>1500</v>
      </c>
      <c r="S40" s="16" t="s">
        <v>605</v>
      </c>
      <c r="T40" s="16">
        <v>500</v>
      </c>
      <c r="U40" s="16">
        <f>VLOOKUP(S40,道具定价!$C:$F,4,0)*T40</f>
        <v>500</v>
      </c>
      <c r="V40" s="16">
        <f t="shared" si="0"/>
        <v>0.333333333333333</v>
      </c>
      <c r="W40" s="16" t="s">
        <v>1781</v>
      </c>
      <c r="X40" s="16">
        <v>1</v>
      </c>
      <c r="Y40" s="3" t="s">
        <v>1915</v>
      </c>
      <c r="Z40" s="3">
        <v>40</v>
      </c>
    </row>
    <row r="41" spans="2:26">
      <c r="B41" s="16">
        <v>18</v>
      </c>
      <c r="C41" s="3" t="s">
        <v>670</v>
      </c>
      <c r="D41" s="3">
        <v>3</v>
      </c>
      <c r="E41" s="3">
        <f>VLOOKUP(C41,道具定价!$C:$F,4,0)*D41</f>
        <v>30</v>
      </c>
      <c r="F41" s="3" t="s">
        <v>7</v>
      </c>
      <c r="G41" s="3">
        <v>1</v>
      </c>
      <c r="H41" s="16" t="s">
        <v>605</v>
      </c>
      <c r="I41" s="16">
        <v>5</v>
      </c>
      <c r="J41" s="16">
        <f>SUM($I$24:I41)</f>
        <v>110</v>
      </c>
      <c r="K41" s="3" t="s">
        <v>5</v>
      </c>
      <c r="L41" s="3">
        <v>50</v>
      </c>
      <c r="M41" s="3">
        <v>0</v>
      </c>
      <c r="O41" s="16">
        <v>5</v>
      </c>
      <c r="P41" s="3" t="s">
        <v>7</v>
      </c>
      <c r="Q41" s="16">
        <v>10</v>
      </c>
      <c r="R41" s="16">
        <f>VLOOKUP(P41,道具定价!$C:$F,4,0)*Q41</f>
        <v>1500</v>
      </c>
      <c r="S41" s="16" t="s">
        <v>605</v>
      </c>
      <c r="T41" s="16">
        <v>500</v>
      </c>
      <c r="U41" s="16">
        <f>VLOOKUP(S41,道具定价!$C:$F,4,0)*T41</f>
        <v>500</v>
      </c>
      <c r="V41" s="16">
        <f t="shared" si="0"/>
        <v>0.333333333333333</v>
      </c>
      <c r="W41" s="16" t="s">
        <v>1781</v>
      </c>
      <c r="X41" s="16">
        <v>1</v>
      </c>
      <c r="Y41" s="3" t="s">
        <v>1915</v>
      </c>
      <c r="Z41" s="3">
        <v>50</v>
      </c>
    </row>
    <row r="42" spans="2:26">
      <c r="B42" s="16">
        <v>19</v>
      </c>
      <c r="C42" s="25" t="s">
        <v>605</v>
      </c>
      <c r="D42" s="3">
        <v>75</v>
      </c>
      <c r="E42" s="3">
        <f>VLOOKUP(C42,道具定价!$C:$F,4,0)*D42</f>
        <v>75</v>
      </c>
      <c r="F42" s="3" t="s">
        <v>7</v>
      </c>
      <c r="G42" s="3">
        <v>1</v>
      </c>
      <c r="H42" s="16" t="s">
        <v>605</v>
      </c>
      <c r="I42" s="16">
        <v>5</v>
      </c>
      <c r="J42" s="16">
        <f>SUM($I$24:I42)</f>
        <v>115</v>
      </c>
      <c r="K42" s="3" t="s">
        <v>5</v>
      </c>
      <c r="L42" s="3">
        <v>50</v>
      </c>
      <c r="M42" s="3">
        <v>0</v>
      </c>
      <c r="O42" s="16">
        <v>6</v>
      </c>
      <c r="P42" s="3" t="s">
        <v>1916</v>
      </c>
      <c r="Q42" s="16">
        <v>1</v>
      </c>
      <c r="R42" s="16" t="e">
        <f>VLOOKUP(P42,道具定价!$C:$F,4,0)*Q42</f>
        <v>#N/A</v>
      </c>
      <c r="S42" s="16" t="s">
        <v>605</v>
      </c>
      <c r="T42" s="16">
        <v>150</v>
      </c>
      <c r="U42" s="16">
        <f>VLOOKUP(S42,道具定价!$C:$F,4,0)*T42</f>
        <v>150</v>
      </c>
      <c r="V42" s="16" t="e">
        <f t="shared" si="0"/>
        <v>#N/A</v>
      </c>
      <c r="W42" s="16" t="s">
        <v>1781</v>
      </c>
      <c r="X42" s="16">
        <v>2</v>
      </c>
      <c r="Y42" s="3" t="s">
        <v>1915</v>
      </c>
      <c r="Z42" s="3">
        <v>60</v>
      </c>
    </row>
    <row r="43" spans="2:26">
      <c r="B43" s="16">
        <v>20</v>
      </c>
      <c r="C43" s="3" t="s">
        <v>8</v>
      </c>
      <c r="D43" s="3">
        <v>10</v>
      </c>
      <c r="E43" s="3">
        <f>VLOOKUP(C43,道具定价!$C:$F,4,0)*D43</f>
        <v>1500</v>
      </c>
      <c r="H43" s="16" t="s">
        <v>605</v>
      </c>
      <c r="I43" s="16">
        <f>I34*5</f>
        <v>25</v>
      </c>
      <c r="J43" s="16">
        <f>SUM($I$24:I43)</f>
        <v>140</v>
      </c>
      <c r="K43" s="3" t="s">
        <v>5</v>
      </c>
      <c r="L43" s="3">
        <v>75</v>
      </c>
      <c r="M43" s="3">
        <v>0</v>
      </c>
      <c r="O43" s="16">
        <v>7</v>
      </c>
      <c r="P43" s="3" t="s">
        <v>8</v>
      </c>
      <c r="Q43" s="16">
        <v>10</v>
      </c>
      <c r="R43" s="16">
        <f>VLOOKUP(P43,道具定价!$C:$F,4,0)*Q43</f>
        <v>1500</v>
      </c>
      <c r="S43" s="16" t="s">
        <v>605</v>
      </c>
      <c r="T43" s="16">
        <v>500</v>
      </c>
      <c r="U43" s="16">
        <f>VLOOKUP(S43,道具定价!$C:$F,4,0)*T43</f>
        <v>500</v>
      </c>
      <c r="V43" s="16">
        <f t="shared" si="0"/>
        <v>0.333333333333333</v>
      </c>
      <c r="W43" s="16" t="s">
        <v>1781</v>
      </c>
      <c r="X43" s="16">
        <v>1</v>
      </c>
      <c r="Y43" s="3" t="s">
        <v>1915</v>
      </c>
      <c r="Z43" s="3">
        <v>70</v>
      </c>
    </row>
    <row r="44" spans="2:26">
      <c r="B44" s="16">
        <v>21</v>
      </c>
      <c r="C44" s="3" t="s">
        <v>601</v>
      </c>
      <c r="D44" s="3">
        <v>60000</v>
      </c>
      <c r="E44" s="3">
        <f>VLOOKUP(C44,道具定价!$C:$F,4,0)*D44</f>
        <v>60</v>
      </c>
      <c r="F44" s="3" t="s">
        <v>7</v>
      </c>
      <c r="G44" s="3">
        <v>1</v>
      </c>
      <c r="H44" s="16" t="s">
        <v>605</v>
      </c>
      <c r="I44" s="16">
        <f t="shared" ref="I44:I52" si="1">I24+5</f>
        <v>10</v>
      </c>
      <c r="J44" s="16">
        <f>SUM($I$24:I44)</f>
        <v>150</v>
      </c>
      <c r="K44" s="3" t="s">
        <v>5</v>
      </c>
      <c r="L44" s="3">
        <v>75</v>
      </c>
      <c r="M44" s="3">
        <v>0</v>
      </c>
      <c r="O44" s="16">
        <v>8</v>
      </c>
      <c r="P44" s="3" t="s">
        <v>9</v>
      </c>
      <c r="Q44" s="16">
        <v>10</v>
      </c>
      <c r="R44" s="16">
        <f>VLOOKUP(P44,道具定价!$C:$F,4,0)*Q44</f>
        <v>1500</v>
      </c>
      <c r="S44" s="16" t="s">
        <v>605</v>
      </c>
      <c r="T44" s="16">
        <v>500</v>
      </c>
      <c r="U44" s="16">
        <f>VLOOKUP(S44,道具定价!$C:$F,4,0)*T44</f>
        <v>500</v>
      </c>
      <c r="V44" s="16">
        <f t="shared" si="0"/>
        <v>0.333333333333333</v>
      </c>
      <c r="W44" s="16" t="s">
        <v>1781</v>
      </c>
      <c r="X44" s="16">
        <v>1</v>
      </c>
      <c r="Y44" s="3" t="s">
        <v>1915</v>
      </c>
      <c r="Z44" s="3">
        <v>80</v>
      </c>
    </row>
    <row r="45" spans="2:26">
      <c r="B45" s="16">
        <v>22</v>
      </c>
      <c r="C45" s="3" t="s">
        <v>614</v>
      </c>
      <c r="D45" s="3">
        <v>6</v>
      </c>
      <c r="E45" s="3">
        <f>VLOOKUP(C45,道具定价!$C:$F,4,0)*D45</f>
        <v>60</v>
      </c>
      <c r="F45" s="3" t="s">
        <v>7</v>
      </c>
      <c r="G45" s="3">
        <v>1</v>
      </c>
      <c r="H45" s="16" t="s">
        <v>605</v>
      </c>
      <c r="I45" s="16">
        <f t="shared" si="1"/>
        <v>10</v>
      </c>
      <c r="J45" s="16">
        <f>SUM($I$24:I45)</f>
        <v>160</v>
      </c>
      <c r="K45" s="3" t="s">
        <v>5</v>
      </c>
      <c r="L45" s="3">
        <v>75</v>
      </c>
      <c r="M45" s="3">
        <v>0</v>
      </c>
      <c r="O45" s="16">
        <v>9</v>
      </c>
      <c r="P45" s="3" t="s">
        <v>684</v>
      </c>
      <c r="Q45" s="16">
        <v>1</v>
      </c>
      <c r="R45" s="16">
        <f>VLOOKUP(P45,道具定价!$C:$F,4,0)*Q45</f>
        <v>5000</v>
      </c>
      <c r="S45" s="16" t="s">
        <v>605</v>
      </c>
      <c r="T45" s="16">
        <v>2000</v>
      </c>
      <c r="U45" s="16">
        <f>VLOOKUP(S45,道具定价!$C:$F,4,0)*T45</f>
        <v>2000</v>
      </c>
      <c r="V45" s="16">
        <f t="shared" si="0"/>
        <v>0.4</v>
      </c>
      <c r="W45" s="16" t="s">
        <v>1781</v>
      </c>
      <c r="X45" s="16">
        <v>6</v>
      </c>
      <c r="Y45" s="3" t="s">
        <v>1915</v>
      </c>
      <c r="Z45" s="3">
        <v>90</v>
      </c>
    </row>
    <row r="46" spans="2:26">
      <c r="B46" s="16">
        <v>23</v>
      </c>
      <c r="C46" s="3" t="s">
        <v>670</v>
      </c>
      <c r="D46" s="3">
        <v>6</v>
      </c>
      <c r="E46" s="3">
        <f>VLOOKUP(C46,道具定价!$C:$F,4,0)*D46</f>
        <v>60</v>
      </c>
      <c r="F46" s="3" t="s">
        <v>7</v>
      </c>
      <c r="G46" s="3">
        <v>1</v>
      </c>
      <c r="H46" s="16" t="s">
        <v>605</v>
      </c>
      <c r="I46" s="16">
        <f t="shared" si="1"/>
        <v>10</v>
      </c>
      <c r="J46" s="16">
        <f>SUM($I$24:I46)</f>
        <v>170</v>
      </c>
      <c r="K46" s="3" t="s">
        <v>5</v>
      </c>
      <c r="L46" s="3">
        <v>75</v>
      </c>
      <c r="M46" s="3">
        <v>0</v>
      </c>
      <c r="O46" s="16">
        <v>10</v>
      </c>
      <c r="P46" s="3" t="s">
        <v>629</v>
      </c>
      <c r="Q46" s="16">
        <v>1</v>
      </c>
      <c r="R46" s="16">
        <f>VLOOKUP(P46,道具定价!$C:$F,4,0)*Q46</f>
        <v>7500</v>
      </c>
      <c r="S46" s="16" t="s">
        <v>605</v>
      </c>
      <c r="T46" s="16">
        <v>3000</v>
      </c>
      <c r="U46" s="16">
        <f>VLOOKUP(S46,道具定价!$C:$F,4,0)*T46</f>
        <v>3000</v>
      </c>
      <c r="V46" s="16">
        <f t="shared" si="0"/>
        <v>0.4</v>
      </c>
      <c r="W46" s="16" t="s">
        <v>1781</v>
      </c>
      <c r="X46" s="16">
        <v>7</v>
      </c>
      <c r="Y46" s="3" t="s">
        <v>1915</v>
      </c>
      <c r="Z46" s="3">
        <v>100</v>
      </c>
    </row>
    <row r="47" spans="2:26">
      <c r="B47" s="16">
        <v>24</v>
      </c>
      <c r="C47" s="25" t="s">
        <v>605</v>
      </c>
      <c r="D47" s="3">
        <v>90</v>
      </c>
      <c r="E47" s="3">
        <f>VLOOKUP(C47,道具定价!$C:$F,4,0)*D47</f>
        <v>90</v>
      </c>
      <c r="F47" s="3" t="s">
        <v>7</v>
      </c>
      <c r="G47" s="3">
        <v>1</v>
      </c>
      <c r="H47" s="16" t="s">
        <v>605</v>
      </c>
      <c r="I47" s="16">
        <f t="shared" si="1"/>
        <v>10</v>
      </c>
      <c r="J47" s="16">
        <f>SUM($I$24:I47)</f>
        <v>180</v>
      </c>
      <c r="K47" s="3" t="s">
        <v>5</v>
      </c>
      <c r="L47" s="3">
        <v>75</v>
      </c>
      <c r="M47" s="3">
        <v>0</v>
      </c>
    </row>
    <row r="48" spans="2:26">
      <c r="B48" s="16">
        <v>25</v>
      </c>
      <c r="C48" s="3" t="s">
        <v>5</v>
      </c>
      <c r="D48" s="3">
        <v>500</v>
      </c>
      <c r="E48" s="3">
        <f>VLOOKUP(C48,道具定价!$C:$F,4,0)*D48</f>
        <v>500</v>
      </c>
      <c r="F48" s="3" t="s">
        <v>7</v>
      </c>
      <c r="G48" s="3">
        <v>3</v>
      </c>
      <c r="H48" s="16" t="s">
        <v>605</v>
      </c>
      <c r="I48" s="16">
        <f t="shared" si="1"/>
        <v>10</v>
      </c>
      <c r="J48" s="16">
        <f>SUM($I$24:I48)</f>
        <v>190</v>
      </c>
      <c r="K48" s="3" t="s">
        <v>5</v>
      </c>
      <c r="L48" s="3">
        <v>75</v>
      </c>
      <c r="M48" s="3">
        <v>0</v>
      </c>
    </row>
    <row r="49" spans="2:26">
      <c r="B49" s="16">
        <v>26</v>
      </c>
      <c r="C49" s="3" t="s">
        <v>601</v>
      </c>
      <c r="D49" s="3">
        <v>60000</v>
      </c>
      <c r="E49" s="3">
        <f>VLOOKUP(C49,道具定价!$C:$F,4,0)*D49</f>
        <v>60</v>
      </c>
      <c r="F49" s="3" t="s">
        <v>7</v>
      </c>
      <c r="G49" s="3">
        <v>1</v>
      </c>
      <c r="H49" s="16" t="s">
        <v>605</v>
      </c>
      <c r="I49" s="16">
        <f t="shared" si="1"/>
        <v>10</v>
      </c>
      <c r="J49" s="16">
        <f>SUM($I$24:I49)</f>
        <v>200</v>
      </c>
      <c r="K49" s="3" t="s">
        <v>5</v>
      </c>
      <c r="L49" s="3">
        <v>75</v>
      </c>
      <c r="M49" s="3">
        <v>0</v>
      </c>
    </row>
    <row r="50" spans="2:26">
      <c r="B50" s="16">
        <v>27</v>
      </c>
      <c r="C50" s="3" t="s">
        <v>614</v>
      </c>
      <c r="D50" s="3">
        <v>6</v>
      </c>
      <c r="E50" s="3">
        <f>VLOOKUP(C50,道具定价!$C:$F,4,0)*D50</f>
        <v>60</v>
      </c>
      <c r="F50" s="3" t="s">
        <v>7</v>
      </c>
      <c r="G50" s="3">
        <v>1</v>
      </c>
      <c r="H50" s="16" t="s">
        <v>605</v>
      </c>
      <c r="I50" s="16">
        <f t="shared" si="1"/>
        <v>10</v>
      </c>
      <c r="J50" s="16">
        <f>SUM($I$24:I50)</f>
        <v>210</v>
      </c>
      <c r="K50" s="3" t="s">
        <v>5</v>
      </c>
      <c r="L50" s="3">
        <v>75</v>
      </c>
      <c r="M50" s="3">
        <v>0</v>
      </c>
      <c r="P50" s="3" t="s">
        <v>1917</v>
      </c>
    </row>
    <row r="51" spans="2:26">
      <c r="B51" s="16">
        <v>28</v>
      </c>
      <c r="C51" s="3" t="s">
        <v>670</v>
      </c>
      <c r="D51" s="3">
        <v>6</v>
      </c>
      <c r="E51" s="3">
        <f>VLOOKUP(C51,道具定价!$C:$F,4,0)*D51</f>
        <v>60</v>
      </c>
      <c r="F51" s="3" t="s">
        <v>7</v>
      </c>
      <c r="G51" s="3">
        <v>1</v>
      </c>
      <c r="H51" s="16" t="s">
        <v>605</v>
      </c>
      <c r="I51" s="16">
        <f t="shared" si="1"/>
        <v>10</v>
      </c>
      <c r="J51" s="16">
        <f>SUM($I$24:I51)</f>
        <v>220</v>
      </c>
      <c r="K51" s="3" t="s">
        <v>5</v>
      </c>
      <c r="L51" s="3">
        <v>75</v>
      </c>
      <c r="M51" s="3">
        <v>0</v>
      </c>
      <c r="O51" s="19" t="s">
        <v>1585</v>
      </c>
      <c r="P51" s="19" t="s">
        <v>1586</v>
      </c>
      <c r="Q51" s="19" t="s">
        <v>1587</v>
      </c>
      <c r="R51" s="19" t="s">
        <v>1588</v>
      </c>
      <c r="S51" s="19" t="s">
        <v>1589</v>
      </c>
      <c r="T51" s="19" t="s">
        <v>1590</v>
      </c>
      <c r="U51" s="19" t="s">
        <v>1591</v>
      </c>
      <c r="V51" s="19" t="s">
        <v>1592</v>
      </c>
      <c r="W51" s="19" t="s">
        <v>1593</v>
      </c>
      <c r="X51" s="19" t="s">
        <v>1594</v>
      </c>
      <c r="Y51" s="19" t="s">
        <v>1913</v>
      </c>
      <c r="Z51" s="19" t="s">
        <v>1914</v>
      </c>
    </row>
    <row r="52" spans="2:26">
      <c r="B52" s="16">
        <v>29</v>
      </c>
      <c r="C52" s="25" t="s">
        <v>605</v>
      </c>
      <c r="D52" s="3">
        <v>90</v>
      </c>
      <c r="E52" s="3">
        <f>VLOOKUP(C52,道具定价!$C:$F,4,0)*D52</f>
        <v>90</v>
      </c>
      <c r="F52" s="3" t="s">
        <v>7</v>
      </c>
      <c r="G52" s="3">
        <v>1</v>
      </c>
      <c r="H52" s="16" t="s">
        <v>605</v>
      </c>
      <c r="I52" s="16">
        <f t="shared" si="1"/>
        <v>10</v>
      </c>
      <c r="J52" s="16">
        <f>SUM($I$24:I52)</f>
        <v>230</v>
      </c>
      <c r="K52" s="3" t="s">
        <v>5</v>
      </c>
      <c r="L52" s="3">
        <v>75</v>
      </c>
      <c r="M52" s="3">
        <v>0</v>
      </c>
      <c r="O52" s="16">
        <v>1</v>
      </c>
      <c r="P52" s="3" t="s">
        <v>9</v>
      </c>
      <c r="Q52" s="16">
        <v>1</v>
      </c>
      <c r="R52" s="16">
        <f>VLOOKUP(P52,道具定价!$C:$F,4,0)*Q52</f>
        <v>150</v>
      </c>
      <c r="S52" s="16" t="s">
        <v>605</v>
      </c>
      <c r="T52" s="16">
        <v>30</v>
      </c>
      <c r="U52" s="16">
        <v>30</v>
      </c>
      <c r="V52" s="16">
        <f t="shared" ref="V52:V59" si="2">U52/R52</f>
        <v>0.2</v>
      </c>
      <c r="W52" s="16" t="s">
        <v>1918</v>
      </c>
      <c r="X52" s="16">
        <v>5</v>
      </c>
      <c r="Y52" s="16" t="s">
        <v>594</v>
      </c>
    </row>
    <row r="53" spans="2:26">
      <c r="B53" s="16">
        <v>30</v>
      </c>
      <c r="C53" s="3" t="s">
        <v>9</v>
      </c>
      <c r="D53" s="3">
        <v>10</v>
      </c>
      <c r="E53" s="3">
        <f>VLOOKUP(C53,道具定价!$C:$F,4,0)*D53</f>
        <v>1500</v>
      </c>
      <c r="H53" s="16" t="s">
        <v>605</v>
      </c>
      <c r="I53" s="16">
        <f>I44*5</f>
        <v>50</v>
      </c>
      <c r="J53" s="16">
        <f>SUM($I$24:I53)</f>
        <v>280</v>
      </c>
      <c r="K53" s="3" t="s">
        <v>5</v>
      </c>
      <c r="L53" s="3">
        <v>100</v>
      </c>
      <c r="M53" s="3">
        <v>0</v>
      </c>
      <c r="O53" s="16">
        <v>2</v>
      </c>
      <c r="P53" s="3" t="s">
        <v>8</v>
      </c>
      <c r="Q53" s="16">
        <v>1</v>
      </c>
      <c r="R53" s="16">
        <f>VLOOKUP(P53,道具定价!$C:$F,4,0)*Q53</f>
        <v>150</v>
      </c>
      <c r="S53" s="16" t="s">
        <v>605</v>
      </c>
      <c r="T53" s="16">
        <v>30</v>
      </c>
      <c r="U53" s="16">
        <v>30</v>
      </c>
      <c r="V53" s="16">
        <f t="shared" si="2"/>
        <v>0.2</v>
      </c>
      <c r="W53" s="16" t="s">
        <v>1918</v>
      </c>
      <c r="X53" s="16">
        <v>5</v>
      </c>
      <c r="Y53" s="16" t="s">
        <v>594</v>
      </c>
    </row>
    <row r="54" spans="2:26">
      <c r="B54" s="16">
        <v>31</v>
      </c>
      <c r="C54" s="3" t="s">
        <v>601</v>
      </c>
      <c r="D54" s="3">
        <v>90000</v>
      </c>
      <c r="E54" s="3">
        <f>VLOOKUP(C54,道具定价!$C:$F,4,0)*D54</f>
        <v>90</v>
      </c>
      <c r="F54" s="3" t="s">
        <v>7</v>
      </c>
      <c r="G54" s="3">
        <v>1</v>
      </c>
      <c r="H54" s="16" t="s">
        <v>605</v>
      </c>
      <c r="I54" s="16">
        <f t="shared" ref="I54:I62" si="3">I34+5</f>
        <v>10</v>
      </c>
      <c r="J54" s="16">
        <f>SUM($I$24:I54)</f>
        <v>290</v>
      </c>
      <c r="K54" s="3" t="s">
        <v>5</v>
      </c>
      <c r="L54" s="3">
        <v>100</v>
      </c>
      <c r="M54" s="3">
        <v>0</v>
      </c>
      <c r="O54" s="16">
        <v>3</v>
      </c>
      <c r="P54" s="3" t="s">
        <v>7</v>
      </c>
      <c r="Q54" s="16">
        <v>1</v>
      </c>
      <c r="R54" s="16">
        <f>VLOOKUP(P54,道具定价!$C:$F,4,0)*Q54</f>
        <v>150</v>
      </c>
      <c r="S54" s="16" t="s">
        <v>605</v>
      </c>
      <c r="T54" s="16">
        <v>30</v>
      </c>
      <c r="U54" s="16">
        <v>30</v>
      </c>
      <c r="V54" s="16">
        <f t="shared" si="2"/>
        <v>0.2</v>
      </c>
      <c r="W54" s="16" t="s">
        <v>1918</v>
      </c>
      <c r="X54" s="16">
        <v>10</v>
      </c>
      <c r="Y54" s="16" t="s">
        <v>594</v>
      </c>
    </row>
    <row r="55" spans="2:26">
      <c r="B55" s="16">
        <v>32</v>
      </c>
      <c r="C55" s="3" t="s">
        <v>614</v>
      </c>
      <c r="D55" s="3">
        <v>9</v>
      </c>
      <c r="E55" s="3">
        <f>VLOOKUP(C55,道具定价!$C:$F,4,0)*D55</f>
        <v>90</v>
      </c>
      <c r="F55" s="3" t="s">
        <v>7</v>
      </c>
      <c r="G55" s="3">
        <v>1</v>
      </c>
      <c r="H55" s="16" t="s">
        <v>605</v>
      </c>
      <c r="I55" s="16">
        <f t="shared" si="3"/>
        <v>10</v>
      </c>
      <c r="J55" s="16">
        <f>SUM($I$24:I55)</f>
        <v>300</v>
      </c>
      <c r="K55" s="3" t="s">
        <v>5</v>
      </c>
      <c r="L55" s="3">
        <v>100</v>
      </c>
      <c r="M55" s="3">
        <v>0</v>
      </c>
      <c r="O55" s="16">
        <v>4</v>
      </c>
      <c r="P55" s="3" t="s">
        <v>6</v>
      </c>
      <c r="Q55" s="16">
        <v>1</v>
      </c>
      <c r="R55" s="16">
        <f>VLOOKUP(P55,道具定价!$C:$F,4,0)*Q55</f>
        <v>150</v>
      </c>
      <c r="S55" s="16" t="s">
        <v>605</v>
      </c>
      <c r="T55" s="16">
        <v>30</v>
      </c>
      <c r="U55" s="16">
        <v>30</v>
      </c>
      <c r="V55" s="16">
        <f t="shared" si="2"/>
        <v>0.2</v>
      </c>
      <c r="W55" s="16" t="s">
        <v>1918</v>
      </c>
      <c r="X55" s="16">
        <v>10</v>
      </c>
      <c r="Y55" s="16" t="s">
        <v>594</v>
      </c>
    </row>
    <row r="56" spans="2:26">
      <c r="B56" s="16">
        <v>33</v>
      </c>
      <c r="C56" s="3" t="s">
        <v>670</v>
      </c>
      <c r="D56" s="3">
        <v>9</v>
      </c>
      <c r="E56" s="3">
        <f>VLOOKUP(C56,道具定价!$C:$F,4,0)*D56</f>
        <v>90</v>
      </c>
      <c r="F56" s="3" t="s">
        <v>7</v>
      </c>
      <c r="G56" s="3">
        <v>1</v>
      </c>
      <c r="H56" s="16" t="s">
        <v>605</v>
      </c>
      <c r="I56" s="16">
        <f t="shared" si="3"/>
        <v>10</v>
      </c>
      <c r="J56" s="16">
        <f>SUM($I$24:I56)</f>
        <v>310</v>
      </c>
      <c r="K56" s="3" t="s">
        <v>5</v>
      </c>
      <c r="L56" s="3">
        <v>100</v>
      </c>
      <c r="M56" s="3">
        <v>0</v>
      </c>
      <c r="O56" s="16">
        <v>5</v>
      </c>
      <c r="P56" s="3" t="s">
        <v>665</v>
      </c>
      <c r="Q56" s="16">
        <v>1</v>
      </c>
      <c r="R56" s="16">
        <f>VLOOKUP(P56,道具定价!$C:$F,4,0)*Q56</f>
        <v>500</v>
      </c>
      <c r="S56" s="16" t="s">
        <v>605</v>
      </c>
      <c r="T56" s="16">
        <v>300</v>
      </c>
      <c r="U56" s="16">
        <f>VLOOKUP(S56,道具定价!$C:$F,4,0)*T56</f>
        <v>300</v>
      </c>
      <c r="V56" s="16">
        <f t="shared" si="2"/>
        <v>0.6</v>
      </c>
      <c r="W56" s="16" t="s">
        <v>1918</v>
      </c>
      <c r="X56" s="16">
        <v>5</v>
      </c>
      <c r="Y56" s="16" t="s">
        <v>594</v>
      </c>
    </row>
    <row r="57" spans="2:26">
      <c r="B57" s="16">
        <v>34</v>
      </c>
      <c r="C57" s="25" t="s">
        <v>605</v>
      </c>
      <c r="D57" s="3">
        <v>120</v>
      </c>
      <c r="E57" s="3">
        <f>VLOOKUP(C57,道具定价!$C:$F,4,0)*D57</f>
        <v>120</v>
      </c>
      <c r="F57" s="3" t="s">
        <v>7</v>
      </c>
      <c r="G57" s="3">
        <v>1</v>
      </c>
      <c r="H57" s="16" t="s">
        <v>605</v>
      </c>
      <c r="I57" s="16">
        <f t="shared" si="3"/>
        <v>10</v>
      </c>
      <c r="J57" s="16">
        <f>SUM($I$24:I57)</f>
        <v>320</v>
      </c>
      <c r="K57" s="3" t="s">
        <v>5</v>
      </c>
      <c r="L57" s="3">
        <v>100</v>
      </c>
      <c r="M57" s="3">
        <v>0</v>
      </c>
      <c r="O57" s="16">
        <v>6</v>
      </c>
      <c r="P57" s="3" t="s">
        <v>601</v>
      </c>
      <c r="Q57" s="16">
        <v>1000</v>
      </c>
      <c r="R57" s="16">
        <f>VLOOKUP(P57,道具定价!$C:$F,4,0)*Q57</f>
        <v>1</v>
      </c>
      <c r="S57" s="16" t="s">
        <v>605</v>
      </c>
      <c r="T57" s="16">
        <v>1</v>
      </c>
      <c r="U57" s="16">
        <v>1</v>
      </c>
      <c r="V57" s="16">
        <f t="shared" si="2"/>
        <v>1</v>
      </c>
      <c r="W57" s="16" t="s">
        <v>1918</v>
      </c>
      <c r="X57" s="16">
        <v>150</v>
      </c>
      <c r="Y57" s="16" t="s">
        <v>594</v>
      </c>
    </row>
    <row r="58" spans="2:26">
      <c r="B58" s="16">
        <v>35</v>
      </c>
      <c r="C58" s="3" t="s">
        <v>5</v>
      </c>
      <c r="D58" s="3">
        <v>500</v>
      </c>
      <c r="E58" s="3">
        <f>VLOOKUP(C58,道具定价!$C:$F,4,0)*D58</f>
        <v>500</v>
      </c>
      <c r="F58" s="3" t="s">
        <v>665</v>
      </c>
      <c r="G58" s="3">
        <v>1</v>
      </c>
      <c r="H58" s="16" t="s">
        <v>605</v>
      </c>
      <c r="I58" s="16">
        <f t="shared" si="3"/>
        <v>10</v>
      </c>
      <c r="J58" s="16">
        <f>SUM($I$24:I58)</f>
        <v>330</v>
      </c>
      <c r="K58" s="3" t="s">
        <v>5</v>
      </c>
      <c r="L58" s="3">
        <v>100</v>
      </c>
      <c r="M58" s="3">
        <v>0</v>
      </c>
      <c r="O58" s="16">
        <v>7</v>
      </c>
      <c r="P58" s="3" t="s">
        <v>613</v>
      </c>
      <c r="Q58" s="16">
        <v>1</v>
      </c>
      <c r="R58" s="16">
        <f>VLOOKUP(P58,道具定价!$C:$F,4,0)*Q58</f>
        <v>2</v>
      </c>
      <c r="S58" s="16" t="s">
        <v>605</v>
      </c>
      <c r="T58" s="16">
        <v>2</v>
      </c>
      <c r="U58" s="16">
        <v>2</v>
      </c>
      <c r="V58" s="16">
        <f t="shared" si="2"/>
        <v>1</v>
      </c>
      <c r="W58" s="16" t="s">
        <v>1918</v>
      </c>
      <c r="X58" s="16">
        <v>150</v>
      </c>
      <c r="Y58" s="16" t="s">
        <v>594</v>
      </c>
    </row>
    <row r="59" spans="2:26">
      <c r="B59" s="16">
        <v>36</v>
      </c>
      <c r="C59" s="3" t="s">
        <v>601</v>
      </c>
      <c r="D59" s="3">
        <v>90000</v>
      </c>
      <c r="E59" s="3">
        <f>VLOOKUP(C59,道具定价!$C:$F,4,0)*D59</f>
        <v>90</v>
      </c>
      <c r="F59" s="3" t="s">
        <v>7</v>
      </c>
      <c r="G59" s="3">
        <v>1</v>
      </c>
      <c r="H59" s="16" t="s">
        <v>605</v>
      </c>
      <c r="I59" s="16">
        <f t="shared" si="3"/>
        <v>10</v>
      </c>
      <c r="J59" s="16">
        <f>SUM($I$24:I59)</f>
        <v>340</v>
      </c>
      <c r="K59" s="3" t="s">
        <v>5</v>
      </c>
      <c r="L59" s="3">
        <v>100</v>
      </c>
      <c r="M59" s="3">
        <v>0</v>
      </c>
      <c r="O59" s="16">
        <v>8</v>
      </c>
      <c r="P59" s="3" t="s">
        <v>669</v>
      </c>
      <c r="Q59" s="16">
        <v>1</v>
      </c>
      <c r="R59" s="16">
        <f>VLOOKUP(P59,道具定价!$C:$F,4,0)*Q59</f>
        <v>2</v>
      </c>
      <c r="S59" s="16" t="s">
        <v>605</v>
      </c>
      <c r="T59" s="16">
        <v>2</v>
      </c>
      <c r="U59" s="16">
        <v>2</v>
      </c>
      <c r="V59" s="16">
        <f t="shared" si="2"/>
        <v>1</v>
      </c>
      <c r="W59" s="16" t="s">
        <v>1918</v>
      </c>
      <c r="X59" s="16">
        <v>150</v>
      </c>
      <c r="Y59" s="16" t="s">
        <v>594</v>
      </c>
    </row>
    <row r="60" spans="2:26">
      <c r="B60" s="16">
        <v>37</v>
      </c>
      <c r="C60" s="3" t="s">
        <v>614</v>
      </c>
      <c r="D60" s="3">
        <v>9</v>
      </c>
      <c r="E60" s="3">
        <f>VLOOKUP(C60,道具定价!$C:$F,4,0)*D60</f>
        <v>90</v>
      </c>
      <c r="F60" s="3" t="s">
        <v>7</v>
      </c>
      <c r="G60" s="3">
        <v>1</v>
      </c>
      <c r="H60" s="16" t="s">
        <v>605</v>
      </c>
      <c r="I60" s="16">
        <f t="shared" si="3"/>
        <v>10</v>
      </c>
      <c r="J60" s="16">
        <f>SUM($I$24:I60)</f>
        <v>350</v>
      </c>
      <c r="K60" s="3" t="s">
        <v>5</v>
      </c>
      <c r="L60" s="3">
        <v>100</v>
      </c>
      <c r="M60" s="3">
        <v>0</v>
      </c>
    </row>
    <row r="61" spans="2:26">
      <c r="B61" s="16">
        <v>38</v>
      </c>
      <c r="C61" s="3" t="s">
        <v>670</v>
      </c>
      <c r="D61" s="3">
        <v>9</v>
      </c>
      <c r="E61" s="3">
        <f>VLOOKUP(C61,道具定价!$C:$F,4,0)*D61</f>
        <v>90</v>
      </c>
      <c r="F61" s="3" t="s">
        <v>7</v>
      </c>
      <c r="G61" s="3">
        <v>1</v>
      </c>
      <c r="H61" s="16" t="s">
        <v>605</v>
      </c>
      <c r="I61" s="16">
        <f t="shared" si="3"/>
        <v>10</v>
      </c>
      <c r="J61" s="16">
        <f>SUM($I$24:I61)</f>
        <v>360</v>
      </c>
      <c r="K61" s="3" t="s">
        <v>5</v>
      </c>
      <c r="L61" s="3">
        <v>100</v>
      </c>
      <c r="M61" s="3">
        <v>0</v>
      </c>
      <c r="S61" s="3" t="s">
        <v>1919</v>
      </c>
      <c r="T61" s="3">
        <f t="array" ref="T61">SUMPRODUCT(T52:T59,X52:X59)</f>
        <v>3150</v>
      </c>
    </row>
    <row r="62" spans="2:26">
      <c r="B62" s="16">
        <v>39</v>
      </c>
      <c r="C62" s="25" t="s">
        <v>605</v>
      </c>
      <c r="D62" s="3">
        <v>120</v>
      </c>
      <c r="E62" s="3">
        <f>VLOOKUP(C62,道具定价!$C:$F,4,0)*D62</f>
        <v>120</v>
      </c>
      <c r="F62" s="3" t="s">
        <v>7</v>
      </c>
      <c r="G62" s="3">
        <v>1</v>
      </c>
      <c r="H62" s="16" t="s">
        <v>605</v>
      </c>
      <c r="I62" s="16">
        <f t="shared" si="3"/>
        <v>10</v>
      </c>
      <c r="J62" s="16">
        <f>SUM($I$24:I62)</f>
        <v>370</v>
      </c>
      <c r="K62" s="3" t="s">
        <v>5</v>
      </c>
      <c r="L62" s="3">
        <v>100</v>
      </c>
      <c r="M62" s="3">
        <v>0</v>
      </c>
      <c r="S62" s="3" t="s">
        <v>1920</v>
      </c>
      <c r="T62" s="3">
        <f t="array" ref="T62">SUMPRODUCT(T52:T56,X52:X56)</f>
        <v>2400</v>
      </c>
    </row>
    <row r="63" spans="2:26">
      <c r="B63" s="16">
        <v>40</v>
      </c>
      <c r="C63" s="3" t="s">
        <v>9</v>
      </c>
      <c r="D63" s="3">
        <v>10</v>
      </c>
      <c r="E63" s="3">
        <f>VLOOKUP(C63,道具定价!$C:$F,4,0)*D63</f>
        <v>1500</v>
      </c>
      <c r="H63" s="16" t="s">
        <v>605</v>
      </c>
      <c r="I63" s="16">
        <f>I54*5</f>
        <v>50</v>
      </c>
      <c r="J63" s="16">
        <f>SUM($I$24:I63)</f>
        <v>420</v>
      </c>
      <c r="K63" s="3" t="s">
        <v>5</v>
      </c>
      <c r="L63" s="3">
        <v>125</v>
      </c>
      <c r="M63" s="3">
        <v>0</v>
      </c>
    </row>
    <row r="64" spans="2:26">
      <c r="B64" s="16">
        <v>41</v>
      </c>
      <c r="C64" s="3" t="s">
        <v>601</v>
      </c>
      <c r="D64" s="3">
        <v>120000</v>
      </c>
      <c r="E64" s="3">
        <f>VLOOKUP(C64,道具定价!$C:$F,4,0)*D64</f>
        <v>120</v>
      </c>
      <c r="F64" s="3" t="s">
        <v>7</v>
      </c>
      <c r="G64" s="3">
        <v>1</v>
      </c>
      <c r="H64" s="16" t="s">
        <v>605</v>
      </c>
      <c r="I64" s="16">
        <f t="shared" ref="I64:I72" si="4">I44+5</f>
        <v>15</v>
      </c>
      <c r="J64" s="16">
        <f>SUM($I$24:I64)</f>
        <v>435</v>
      </c>
      <c r="K64" s="3" t="s">
        <v>5</v>
      </c>
      <c r="L64" s="3">
        <v>125</v>
      </c>
      <c r="M64" s="3">
        <v>0</v>
      </c>
    </row>
    <row r="65" spans="2:13">
      <c r="B65" s="16">
        <v>42</v>
      </c>
      <c r="C65" s="3" t="s">
        <v>614</v>
      </c>
      <c r="D65" s="3">
        <v>12</v>
      </c>
      <c r="E65" s="3">
        <f>VLOOKUP(C65,道具定价!$C:$F,4,0)*D65</f>
        <v>120</v>
      </c>
      <c r="F65" s="3" t="s">
        <v>7</v>
      </c>
      <c r="G65" s="3">
        <v>1</v>
      </c>
      <c r="H65" s="16" t="s">
        <v>605</v>
      </c>
      <c r="I65" s="16">
        <f t="shared" si="4"/>
        <v>15</v>
      </c>
      <c r="J65" s="16">
        <f>SUM($I$24:I65)</f>
        <v>450</v>
      </c>
      <c r="K65" s="3" t="s">
        <v>5</v>
      </c>
      <c r="L65" s="3">
        <v>125</v>
      </c>
      <c r="M65" s="3">
        <v>0</v>
      </c>
    </row>
    <row r="66" spans="2:13">
      <c r="B66" s="16">
        <v>43</v>
      </c>
      <c r="C66" s="3" t="s">
        <v>670</v>
      </c>
      <c r="D66" s="3">
        <v>12</v>
      </c>
      <c r="E66" s="3">
        <f>VLOOKUP(C66,道具定价!$C:$F,4,0)*D66</f>
        <v>120</v>
      </c>
      <c r="F66" s="3" t="s">
        <v>7</v>
      </c>
      <c r="G66" s="3">
        <v>1</v>
      </c>
      <c r="H66" s="16" t="s">
        <v>605</v>
      </c>
      <c r="I66" s="16">
        <f t="shared" si="4"/>
        <v>15</v>
      </c>
      <c r="J66" s="16">
        <f>SUM($I$24:I66)</f>
        <v>465</v>
      </c>
      <c r="K66" s="3" t="s">
        <v>5</v>
      </c>
      <c r="L66" s="3">
        <v>125</v>
      </c>
      <c r="M66" s="3">
        <v>0</v>
      </c>
    </row>
    <row r="67" spans="2:13">
      <c r="B67" s="16">
        <v>44</v>
      </c>
      <c r="C67" s="25" t="s">
        <v>605</v>
      </c>
      <c r="D67" s="3">
        <v>150</v>
      </c>
      <c r="E67" s="3">
        <f>VLOOKUP(C67,道具定价!$C:$F,4,0)*D67</f>
        <v>150</v>
      </c>
      <c r="F67" s="3" t="s">
        <v>7</v>
      </c>
      <c r="G67" s="3">
        <v>1</v>
      </c>
      <c r="H67" s="16" t="s">
        <v>605</v>
      </c>
      <c r="I67" s="16">
        <f t="shared" si="4"/>
        <v>15</v>
      </c>
      <c r="J67" s="16">
        <f>SUM($I$24:I67)</f>
        <v>480</v>
      </c>
      <c r="K67" s="3" t="s">
        <v>5</v>
      </c>
      <c r="L67" s="3">
        <v>125</v>
      </c>
      <c r="M67" s="3">
        <v>0</v>
      </c>
    </row>
    <row r="68" spans="2:13">
      <c r="B68" s="16">
        <v>45</v>
      </c>
      <c r="C68" s="3" t="s">
        <v>5</v>
      </c>
      <c r="D68" s="3">
        <v>500</v>
      </c>
      <c r="E68" s="3">
        <f>VLOOKUP(C68,道具定价!$C:$F,4,0)*D68</f>
        <v>500</v>
      </c>
      <c r="F68" s="3" t="s">
        <v>7</v>
      </c>
      <c r="G68" s="3">
        <v>3</v>
      </c>
      <c r="H68" s="16" t="s">
        <v>605</v>
      </c>
      <c r="I68" s="16">
        <f t="shared" si="4"/>
        <v>15</v>
      </c>
      <c r="J68" s="16">
        <f>SUM($I$24:I68)</f>
        <v>495</v>
      </c>
      <c r="K68" s="3" t="s">
        <v>5</v>
      </c>
      <c r="L68" s="3">
        <v>125</v>
      </c>
      <c r="M68" s="3">
        <v>0</v>
      </c>
    </row>
    <row r="69" spans="2:13">
      <c r="B69" s="16">
        <v>46</v>
      </c>
      <c r="C69" s="3" t="s">
        <v>601</v>
      </c>
      <c r="D69" s="3">
        <v>120000</v>
      </c>
      <c r="E69" s="3">
        <f>VLOOKUP(C69,道具定价!$C:$F,4,0)*D69</f>
        <v>120</v>
      </c>
      <c r="F69" s="3" t="s">
        <v>7</v>
      </c>
      <c r="G69" s="3">
        <v>1</v>
      </c>
      <c r="H69" s="16" t="s">
        <v>605</v>
      </c>
      <c r="I69" s="16">
        <f t="shared" si="4"/>
        <v>15</v>
      </c>
      <c r="J69" s="16">
        <f>SUM($I$24:I69)</f>
        <v>510</v>
      </c>
      <c r="K69" s="3" t="s">
        <v>5</v>
      </c>
      <c r="L69" s="3">
        <v>125</v>
      </c>
      <c r="M69" s="3">
        <v>0</v>
      </c>
    </row>
    <row r="70" spans="2:13">
      <c r="B70" s="16">
        <v>47</v>
      </c>
      <c r="C70" s="3" t="s">
        <v>614</v>
      </c>
      <c r="D70" s="3">
        <v>12</v>
      </c>
      <c r="E70" s="3">
        <f>VLOOKUP(C70,道具定价!$C:$F,4,0)*D70</f>
        <v>120</v>
      </c>
      <c r="F70" s="3" t="s">
        <v>7</v>
      </c>
      <c r="G70" s="3">
        <v>1</v>
      </c>
      <c r="H70" s="16" t="s">
        <v>605</v>
      </c>
      <c r="I70" s="16">
        <f t="shared" si="4"/>
        <v>15</v>
      </c>
      <c r="J70" s="16">
        <f>SUM($I$24:I70)</f>
        <v>525</v>
      </c>
      <c r="K70" s="3" t="s">
        <v>5</v>
      </c>
      <c r="L70" s="3">
        <v>125</v>
      </c>
      <c r="M70" s="3">
        <v>0</v>
      </c>
    </row>
    <row r="71" spans="2:13">
      <c r="B71" s="16">
        <v>48</v>
      </c>
      <c r="C71" s="3" t="s">
        <v>670</v>
      </c>
      <c r="D71" s="3">
        <v>12</v>
      </c>
      <c r="E71" s="3">
        <f>VLOOKUP(C71,道具定价!$C:$F,4,0)*D71</f>
        <v>120</v>
      </c>
      <c r="F71" s="3" t="s">
        <v>7</v>
      </c>
      <c r="G71" s="3">
        <v>1</v>
      </c>
      <c r="H71" s="16" t="s">
        <v>605</v>
      </c>
      <c r="I71" s="16">
        <f t="shared" si="4"/>
        <v>15</v>
      </c>
      <c r="J71" s="16">
        <f>SUM($I$24:I71)</f>
        <v>540</v>
      </c>
      <c r="K71" s="3" t="s">
        <v>5</v>
      </c>
      <c r="L71" s="3">
        <v>125</v>
      </c>
      <c r="M71" s="3">
        <v>0</v>
      </c>
    </row>
    <row r="72" spans="2:13">
      <c r="B72" s="16">
        <v>49</v>
      </c>
      <c r="C72" s="25" t="s">
        <v>605</v>
      </c>
      <c r="D72" s="3">
        <v>150</v>
      </c>
      <c r="E72" s="3">
        <f>VLOOKUP(C72,道具定价!$C:$F,4,0)*D72</f>
        <v>150</v>
      </c>
      <c r="F72" s="3" t="s">
        <v>7</v>
      </c>
      <c r="G72" s="3">
        <v>1</v>
      </c>
      <c r="H72" s="16" t="s">
        <v>605</v>
      </c>
      <c r="I72" s="16">
        <f t="shared" si="4"/>
        <v>15</v>
      </c>
      <c r="J72" s="16">
        <f>SUM($I$24:I72)</f>
        <v>555</v>
      </c>
      <c r="K72" s="3" t="s">
        <v>5</v>
      </c>
      <c r="L72" s="3">
        <v>125</v>
      </c>
      <c r="M72" s="3">
        <v>0</v>
      </c>
    </row>
    <row r="73" spans="2:13">
      <c r="B73" s="16">
        <v>50</v>
      </c>
      <c r="C73" s="3" t="s">
        <v>9</v>
      </c>
      <c r="D73" s="3">
        <v>10</v>
      </c>
      <c r="E73" s="3">
        <f>VLOOKUP(C73,道具定价!$C:$F,4,0)*D73</f>
        <v>1500</v>
      </c>
      <c r="H73" s="16" t="s">
        <v>605</v>
      </c>
      <c r="I73" s="16">
        <f>I64*5</f>
        <v>75</v>
      </c>
      <c r="J73" s="16">
        <f>SUM($I$24:I73)</f>
        <v>630</v>
      </c>
      <c r="K73" s="3" t="s">
        <v>5</v>
      </c>
      <c r="L73" s="3">
        <v>125</v>
      </c>
      <c r="M73" s="3">
        <v>0</v>
      </c>
    </row>
    <row r="74" spans="2:13">
      <c r="B74" s="16">
        <v>51</v>
      </c>
      <c r="C74" s="3" t="s">
        <v>601</v>
      </c>
      <c r="D74" s="3">
        <v>150000</v>
      </c>
      <c r="E74" s="3">
        <f>VLOOKUP(C74,道具定价!$C:$F,4,0)*D74</f>
        <v>150</v>
      </c>
      <c r="F74" s="3" t="s">
        <v>7</v>
      </c>
      <c r="G74" s="3">
        <v>1</v>
      </c>
      <c r="H74" s="16" t="s">
        <v>605</v>
      </c>
      <c r="I74" s="16">
        <f t="shared" ref="I74:I82" si="5">I54+5</f>
        <v>15</v>
      </c>
      <c r="J74" s="16">
        <f>SUM($I$24:I74)</f>
        <v>645</v>
      </c>
      <c r="K74" s="3" t="s">
        <v>5</v>
      </c>
      <c r="L74" s="3">
        <v>150</v>
      </c>
      <c r="M74" s="3">
        <v>0</v>
      </c>
    </row>
    <row r="75" spans="2:13">
      <c r="B75" s="16">
        <v>52</v>
      </c>
      <c r="C75" s="3" t="s">
        <v>614</v>
      </c>
      <c r="D75" s="3">
        <v>15</v>
      </c>
      <c r="E75" s="3">
        <f>VLOOKUP(C75,道具定价!$C:$F,4,0)*D75</f>
        <v>150</v>
      </c>
      <c r="F75" s="3" t="s">
        <v>7</v>
      </c>
      <c r="G75" s="3">
        <v>1</v>
      </c>
      <c r="H75" s="16" t="s">
        <v>605</v>
      </c>
      <c r="I75" s="16">
        <f t="shared" si="5"/>
        <v>15</v>
      </c>
      <c r="J75" s="16">
        <f>SUM($I$24:I75)</f>
        <v>660</v>
      </c>
      <c r="K75" s="3" t="s">
        <v>5</v>
      </c>
      <c r="L75" s="3">
        <v>150</v>
      </c>
      <c r="M75" s="3">
        <v>0</v>
      </c>
    </row>
    <row r="76" spans="2:13">
      <c r="B76" s="16">
        <v>53</v>
      </c>
      <c r="C76" s="3" t="s">
        <v>670</v>
      </c>
      <c r="D76" s="3">
        <v>15</v>
      </c>
      <c r="E76" s="3">
        <f>VLOOKUP(C76,道具定价!$C:$F,4,0)*D76</f>
        <v>150</v>
      </c>
      <c r="F76" s="3" t="s">
        <v>7</v>
      </c>
      <c r="G76" s="3">
        <v>1</v>
      </c>
      <c r="H76" s="16" t="s">
        <v>605</v>
      </c>
      <c r="I76" s="16">
        <f t="shared" si="5"/>
        <v>15</v>
      </c>
      <c r="J76" s="16">
        <f>SUM($I$24:I76)</f>
        <v>675</v>
      </c>
      <c r="K76" s="3" t="s">
        <v>5</v>
      </c>
      <c r="L76" s="3">
        <v>150</v>
      </c>
      <c r="M76" s="3">
        <v>0</v>
      </c>
    </row>
    <row r="77" spans="2:13">
      <c r="B77" s="16">
        <v>54</v>
      </c>
      <c r="C77" s="25" t="s">
        <v>605</v>
      </c>
      <c r="D77" s="3">
        <v>150</v>
      </c>
      <c r="E77" s="3">
        <f>VLOOKUP(C77,道具定价!$C:$F,4,0)*D77</f>
        <v>150</v>
      </c>
      <c r="F77" s="3" t="s">
        <v>7</v>
      </c>
      <c r="G77" s="3">
        <v>1</v>
      </c>
      <c r="H77" s="16" t="s">
        <v>605</v>
      </c>
      <c r="I77" s="16">
        <f t="shared" si="5"/>
        <v>15</v>
      </c>
      <c r="J77" s="16">
        <f>SUM($I$24:I77)</f>
        <v>690</v>
      </c>
      <c r="K77" s="3" t="s">
        <v>5</v>
      </c>
      <c r="L77" s="3">
        <v>150</v>
      </c>
      <c r="M77" s="3">
        <v>0</v>
      </c>
    </row>
    <row r="78" spans="2:13">
      <c r="B78" s="16">
        <v>55</v>
      </c>
      <c r="C78" s="3" t="s">
        <v>5</v>
      </c>
      <c r="D78" s="3">
        <v>750</v>
      </c>
      <c r="E78" s="3">
        <f>VLOOKUP(C78,道具定价!$C:$F,4,0)*D78</f>
        <v>750</v>
      </c>
      <c r="F78" s="3" t="s">
        <v>665</v>
      </c>
      <c r="G78" s="3">
        <v>1</v>
      </c>
      <c r="H78" s="16" t="s">
        <v>605</v>
      </c>
      <c r="I78" s="16">
        <f t="shared" si="5"/>
        <v>15</v>
      </c>
      <c r="J78" s="16">
        <f>SUM($I$24:I78)</f>
        <v>705</v>
      </c>
      <c r="K78" s="3" t="s">
        <v>5</v>
      </c>
      <c r="L78" s="3">
        <v>150</v>
      </c>
      <c r="M78" s="3">
        <v>0</v>
      </c>
    </row>
    <row r="79" spans="2:13">
      <c r="B79" s="16">
        <v>56</v>
      </c>
      <c r="C79" s="3" t="s">
        <v>601</v>
      </c>
      <c r="D79" s="3">
        <v>150000</v>
      </c>
      <c r="E79" s="3">
        <f>VLOOKUP(C79,道具定价!$C:$F,4,0)*D79</f>
        <v>150</v>
      </c>
      <c r="F79" s="3" t="s">
        <v>7</v>
      </c>
      <c r="G79" s="3">
        <v>1</v>
      </c>
      <c r="H79" s="16" t="s">
        <v>605</v>
      </c>
      <c r="I79" s="16">
        <f t="shared" si="5"/>
        <v>15</v>
      </c>
      <c r="J79" s="16">
        <f>SUM($I$24:I79)</f>
        <v>720</v>
      </c>
      <c r="K79" s="3" t="s">
        <v>5</v>
      </c>
      <c r="L79" s="3">
        <v>150</v>
      </c>
      <c r="M79" s="3">
        <v>0</v>
      </c>
    </row>
    <row r="80" spans="2:13">
      <c r="B80" s="16">
        <v>57</v>
      </c>
      <c r="C80" s="3" t="s">
        <v>614</v>
      </c>
      <c r="D80" s="3">
        <v>15</v>
      </c>
      <c r="E80" s="3">
        <f>VLOOKUP(C80,道具定价!$C:$F,4,0)*D80</f>
        <v>150</v>
      </c>
      <c r="F80" s="3" t="s">
        <v>7</v>
      </c>
      <c r="G80" s="3">
        <v>1</v>
      </c>
      <c r="H80" s="16" t="s">
        <v>605</v>
      </c>
      <c r="I80" s="16">
        <f t="shared" si="5"/>
        <v>15</v>
      </c>
      <c r="J80" s="16">
        <f>SUM($I$24:I80)</f>
        <v>735</v>
      </c>
      <c r="K80" s="3" t="s">
        <v>5</v>
      </c>
      <c r="L80" s="3">
        <v>150</v>
      </c>
      <c r="M80" s="3">
        <v>0</v>
      </c>
    </row>
    <row r="81" spans="2:13">
      <c r="B81" s="16">
        <v>58</v>
      </c>
      <c r="C81" s="3" t="s">
        <v>670</v>
      </c>
      <c r="D81" s="3">
        <v>15</v>
      </c>
      <c r="E81" s="3">
        <f>VLOOKUP(C81,道具定价!$C:$F,4,0)*D81</f>
        <v>150</v>
      </c>
      <c r="F81" s="3" t="s">
        <v>7</v>
      </c>
      <c r="G81" s="3">
        <v>1</v>
      </c>
      <c r="H81" s="16" t="s">
        <v>605</v>
      </c>
      <c r="I81" s="16">
        <f t="shared" si="5"/>
        <v>15</v>
      </c>
      <c r="J81" s="16">
        <f>SUM($I$24:I81)</f>
        <v>750</v>
      </c>
      <c r="K81" s="3" t="s">
        <v>5</v>
      </c>
      <c r="L81" s="3">
        <v>150</v>
      </c>
      <c r="M81" s="3">
        <v>0</v>
      </c>
    </row>
    <row r="82" spans="2:13">
      <c r="B82" s="16">
        <v>59</v>
      </c>
      <c r="C82" s="25" t="s">
        <v>605</v>
      </c>
      <c r="D82" s="3">
        <v>150</v>
      </c>
      <c r="E82" s="3">
        <f>VLOOKUP(C82,道具定价!$C:$F,4,0)*D82</f>
        <v>150</v>
      </c>
      <c r="F82" s="3" t="s">
        <v>7</v>
      </c>
      <c r="G82" s="3">
        <v>1</v>
      </c>
      <c r="H82" s="16" t="s">
        <v>605</v>
      </c>
      <c r="I82" s="16">
        <f t="shared" si="5"/>
        <v>15</v>
      </c>
      <c r="J82" s="16">
        <f>SUM($I$24:I82)</f>
        <v>765</v>
      </c>
      <c r="K82" s="3" t="s">
        <v>5</v>
      </c>
      <c r="L82" s="3">
        <v>150</v>
      </c>
      <c r="M82" s="3">
        <v>0</v>
      </c>
    </row>
    <row r="83" spans="2:13">
      <c r="B83" s="16">
        <v>60</v>
      </c>
      <c r="C83" s="3" t="s">
        <v>9</v>
      </c>
      <c r="D83" s="3">
        <v>10</v>
      </c>
      <c r="E83" s="3">
        <f>VLOOKUP(C83,道具定价!$C:$F,4,0)*D83</f>
        <v>1500</v>
      </c>
      <c r="H83" s="16" t="s">
        <v>605</v>
      </c>
      <c r="I83" s="16">
        <f>I74*5</f>
        <v>75</v>
      </c>
      <c r="J83" s="16">
        <f>SUM($I$24:I83)</f>
        <v>840</v>
      </c>
      <c r="K83" s="3" t="s">
        <v>5</v>
      </c>
      <c r="L83" s="3">
        <v>200</v>
      </c>
      <c r="M83" s="3">
        <v>0</v>
      </c>
    </row>
    <row r="84" spans="2:13">
      <c r="B84" s="16">
        <v>61</v>
      </c>
      <c r="C84" s="3" t="s">
        <v>601</v>
      </c>
      <c r="D84" s="3">
        <v>150000</v>
      </c>
      <c r="E84" s="3">
        <f>VLOOKUP(C84,道具定价!$C:$F,4,0)*D84</f>
        <v>150</v>
      </c>
      <c r="F84" s="3" t="s">
        <v>7</v>
      </c>
      <c r="G84" s="3">
        <v>1</v>
      </c>
      <c r="H84" s="16" t="s">
        <v>605</v>
      </c>
      <c r="I84" s="16">
        <f t="shared" ref="I84:I92" si="6">I64+5</f>
        <v>20</v>
      </c>
      <c r="J84" s="16">
        <f>SUM($I$24:I84)</f>
        <v>860</v>
      </c>
      <c r="K84" s="3" t="s">
        <v>5</v>
      </c>
      <c r="L84" s="3">
        <v>200</v>
      </c>
      <c r="M84" s="3">
        <v>1</v>
      </c>
    </row>
    <row r="85" spans="2:13">
      <c r="B85" s="16">
        <v>62</v>
      </c>
      <c r="C85" s="3" t="s">
        <v>614</v>
      </c>
      <c r="D85" s="3">
        <v>15</v>
      </c>
      <c r="E85" s="3">
        <f>VLOOKUP(C85,道具定价!$C:$F,4,0)*D85</f>
        <v>150</v>
      </c>
      <c r="F85" s="3" t="s">
        <v>7</v>
      </c>
      <c r="G85" s="3">
        <v>1</v>
      </c>
      <c r="H85" s="16" t="s">
        <v>605</v>
      </c>
      <c r="I85" s="16">
        <f t="shared" si="6"/>
        <v>20</v>
      </c>
      <c r="J85" s="16">
        <f>SUM($I$24:I85)</f>
        <v>880</v>
      </c>
      <c r="K85" s="3" t="s">
        <v>5</v>
      </c>
      <c r="L85" s="3">
        <v>200</v>
      </c>
      <c r="M85" s="3">
        <v>1</v>
      </c>
    </row>
    <row r="86" spans="2:13">
      <c r="B86" s="16">
        <v>63</v>
      </c>
      <c r="C86" s="3" t="s">
        <v>670</v>
      </c>
      <c r="D86" s="3">
        <v>15</v>
      </c>
      <c r="E86" s="3">
        <f>VLOOKUP(C86,道具定价!$C:$F,4,0)*D86</f>
        <v>150</v>
      </c>
      <c r="F86" s="3" t="s">
        <v>7</v>
      </c>
      <c r="G86" s="3">
        <v>1</v>
      </c>
      <c r="H86" s="16" t="s">
        <v>605</v>
      </c>
      <c r="I86" s="16">
        <f t="shared" si="6"/>
        <v>20</v>
      </c>
      <c r="J86" s="16">
        <f>SUM($I$24:I86)</f>
        <v>900</v>
      </c>
      <c r="K86" s="3" t="s">
        <v>5</v>
      </c>
      <c r="L86" s="3">
        <v>200</v>
      </c>
      <c r="M86" s="3">
        <f t="shared" ref="M86:M123" si="7">M84+1</f>
        <v>2</v>
      </c>
    </row>
    <row r="87" spans="2:13">
      <c r="B87" s="16">
        <v>64</v>
      </c>
      <c r="C87" s="25" t="s">
        <v>605</v>
      </c>
      <c r="D87" s="3">
        <v>150</v>
      </c>
      <c r="E87" s="3">
        <f>VLOOKUP(C87,道具定价!$C:$F,4,0)*D87</f>
        <v>150</v>
      </c>
      <c r="F87" s="3" t="s">
        <v>7</v>
      </c>
      <c r="G87" s="3">
        <v>1</v>
      </c>
      <c r="H87" s="16" t="s">
        <v>605</v>
      </c>
      <c r="I87" s="16">
        <f t="shared" si="6"/>
        <v>20</v>
      </c>
      <c r="J87" s="16">
        <f>SUM($I$24:I87)</f>
        <v>920</v>
      </c>
      <c r="K87" s="3" t="s">
        <v>5</v>
      </c>
      <c r="L87" s="3">
        <v>200</v>
      </c>
      <c r="M87" s="3">
        <f t="shared" si="7"/>
        <v>2</v>
      </c>
    </row>
    <row r="88" spans="2:13">
      <c r="B88" s="16">
        <v>65</v>
      </c>
      <c r="C88" s="3" t="s">
        <v>5</v>
      </c>
      <c r="D88" s="3">
        <v>750</v>
      </c>
      <c r="E88" s="3">
        <f>VLOOKUP(C88,道具定价!$C:$F,4,0)*D88</f>
        <v>750</v>
      </c>
      <c r="F88" s="3" t="s">
        <v>7</v>
      </c>
      <c r="G88" s="3">
        <v>3</v>
      </c>
      <c r="H88" s="16" t="s">
        <v>605</v>
      </c>
      <c r="I88" s="16">
        <f t="shared" si="6"/>
        <v>20</v>
      </c>
      <c r="J88" s="16">
        <f>SUM($I$24:I88)</f>
        <v>940</v>
      </c>
      <c r="K88" s="3" t="s">
        <v>5</v>
      </c>
      <c r="L88" s="3">
        <v>200</v>
      </c>
      <c r="M88" s="3">
        <f t="shared" si="7"/>
        <v>3</v>
      </c>
    </row>
    <row r="89" spans="2:13">
      <c r="B89" s="16">
        <v>66</v>
      </c>
      <c r="C89" s="3" t="s">
        <v>601</v>
      </c>
      <c r="D89" s="3">
        <v>150000</v>
      </c>
      <c r="E89" s="3">
        <f>VLOOKUP(C89,道具定价!$C:$F,4,0)*D89</f>
        <v>150</v>
      </c>
      <c r="F89" s="3" t="s">
        <v>7</v>
      </c>
      <c r="G89" s="3">
        <v>1</v>
      </c>
      <c r="H89" s="16" t="s">
        <v>605</v>
      </c>
      <c r="I89" s="16">
        <f t="shared" si="6"/>
        <v>20</v>
      </c>
      <c r="J89" s="16">
        <f>SUM($I$24:I89)</f>
        <v>960</v>
      </c>
      <c r="K89" s="3" t="s">
        <v>5</v>
      </c>
      <c r="L89" s="3">
        <v>200</v>
      </c>
      <c r="M89" s="3">
        <f t="shared" si="7"/>
        <v>3</v>
      </c>
    </row>
    <row r="90" spans="2:13">
      <c r="B90" s="16">
        <v>67</v>
      </c>
      <c r="C90" s="3" t="s">
        <v>614</v>
      </c>
      <c r="D90" s="3">
        <v>15</v>
      </c>
      <c r="E90" s="3">
        <f>VLOOKUP(C90,道具定价!$C:$F,4,0)*D90</f>
        <v>150</v>
      </c>
      <c r="F90" s="3" t="s">
        <v>7</v>
      </c>
      <c r="G90" s="3">
        <v>1</v>
      </c>
      <c r="H90" s="16" t="s">
        <v>605</v>
      </c>
      <c r="I90" s="16">
        <f t="shared" si="6"/>
        <v>20</v>
      </c>
      <c r="J90" s="16">
        <f>SUM($I$24:I90)</f>
        <v>980</v>
      </c>
      <c r="K90" s="3" t="s">
        <v>5</v>
      </c>
      <c r="L90" s="3">
        <v>200</v>
      </c>
      <c r="M90" s="3">
        <f t="shared" si="7"/>
        <v>4</v>
      </c>
    </row>
    <row r="91" spans="2:13">
      <c r="B91" s="16">
        <v>68</v>
      </c>
      <c r="C91" s="3" t="s">
        <v>670</v>
      </c>
      <c r="D91" s="3">
        <v>15</v>
      </c>
      <c r="E91" s="3">
        <f>VLOOKUP(C91,道具定价!$C:$F,4,0)*D91</f>
        <v>150</v>
      </c>
      <c r="F91" s="3" t="s">
        <v>7</v>
      </c>
      <c r="G91" s="3">
        <v>1</v>
      </c>
      <c r="H91" s="16" t="s">
        <v>605</v>
      </c>
      <c r="I91" s="16">
        <f t="shared" si="6"/>
        <v>20</v>
      </c>
      <c r="J91" s="16">
        <f>SUM($I$24:I91)</f>
        <v>1000</v>
      </c>
      <c r="K91" s="3" t="s">
        <v>5</v>
      </c>
      <c r="L91" s="3">
        <v>200</v>
      </c>
      <c r="M91" s="3">
        <f t="shared" si="7"/>
        <v>4</v>
      </c>
    </row>
    <row r="92" spans="2:13">
      <c r="B92" s="16">
        <v>69</v>
      </c>
      <c r="C92" s="25" t="s">
        <v>605</v>
      </c>
      <c r="D92" s="3">
        <v>150</v>
      </c>
      <c r="E92" s="3">
        <f>VLOOKUP(C92,道具定价!$C:$F,4,0)*D92</f>
        <v>150</v>
      </c>
      <c r="F92" s="3" t="s">
        <v>7</v>
      </c>
      <c r="G92" s="3">
        <v>1</v>
      </c>
      <c r="H92" s="16" t="s">
        <v>605</v>
      </c>
      <c r="I92" s="16">
        <f t="shared" si="6"/>
        <v>20</v>
      </c>
      <c r="J92" s="16">
        <f>SUM($I$24:I92)</f>
        <v>1020</v>
      </c>
      <c r="K92" s="3" t="s">
        <v>5</v>
      </c>
      <c r="L92" s="3">
        <v>200</v>
      </c>
      <c r="M92" s="3">
        <f t="shared" si="7"/>
        <v>5</v>
      </c>
    </row>
    <row r="93" spans="2:13">
      <c r="B93" s="16">
        <v>70</v>
      </c>
      <c r="C93" s="3" t="s">
        <v>9</v>
      </c>
      <c r="D93" s="3">
        <v>10</v>
      </c>
      <c r="E93" s="3">
        <f>VLOOKUP(C93,道具定价!$C:$F,4,0)*D93</f>
        <v>1500</v>
      </c>
      <c r="H93" s="16" t="s">
        <v>605</v>
      </c>
      <c r="I93" s="16">
        <f>I84*5</f>
        <v>100</v>
      </c>
      <c r="J93" s="16">
        <f>SUM($I$24:I93)</f>
        <v>1120</v>
      </c>
      <c r="K93" s="3" t="s">
        <v>5</v>
      </c>
      <c r="L93" s="3">
        <v>250</v>
      </c>
      <c r="M93" s="3">
        <f t="shared" si="7"/>
        <v>5</v>
      </c>
    </row>
    <row r="94" spans="2:13">
      <c r="B94" s="16">
        <v>71</v>
      </c>
      <c r="C94" s="3" t="s">
        <v>601</v>
      </c>
      <c r="D94" s="3">
        <v>150000</v>
      </c>
      <c r="E94" s="3">
        <f>VLOOKUP(C94,道具定价!$C:$F,4,0)*D94</f>
        <v>150</v>
      </c>
      <c r="F94" s="3" t="s">
        <v>7</v>
      </c>
      <c r="G94" s="3">
        <v>1</v>
      </c>
      <c r="H94" s="16" t="s">
        <v>605</v>
      </c>
      <c r="I94" s="16">
        <v>25</v>
      </c>
      <c r="J94" s="16">
        <f>SUM($I$24:I94)</f>
        <v>1145</v>
      </c>
      <c r="K94" s="3" t="s">
        <v>5</v>
      </c>
      <c r="L94" s="3">
        <v>250</v>
      </c>
      <c r="M94" s="3">
        <f t="shared" si="7"/>
        <v>6</v>
      </c>
    </row>
    <row r="95" spans="2:13">
      <c r="B95" s="16">
        <v>72</v>
      </c>
      <c r="C95" s="3" t="s">
        <v>614</v>
      </c>
      <c r="D95" s="3">
        <v>15</v>
      </c>
      <c r="E95" s="3">
        <f>VLOOKUP(C95,道具定价!$C:$F,4,0)*D95</f>
        <v>150</v>
      </c>
      <c r="F95" s="3" t="s">
        <v>7</v>
      </c>
      <c r="G95" s="3">
        <v>1</v>
      </c>
      <c r="H95" s="16" t="s">
        <v>605</v>
      </c>
      <c r="I95" s="16">
        <v>25</v>
      </c>
      <c r="J95" s="16">
        <f>SUM($I$24:I95)</f>
        <v>1170</v>
      </c>
      <c r="K95" s="3" t="s">
        <v>5</v>
      </c>
      <c r="L95" s="3">
        <v>250</v>
      </c>
      <c r="M95" s="3">
        <f t="shared" si="7"/>
        <v>6</v>
      </c>
    </row>
    <row r="96" spans="2:13">
      <c r="B96" s="16">
        <v>73</v>
      </c>
      <c r="C96" s="3" t="s">
        <v>670</v>
      </c>
      <c r="D96" s="3">
        <v>15</v>
      </c>
      <c r="E96" s="3">
        <f>VLOOKUP(C96,道具定价!$C:$F,4,0)*D96</f>
        <v>150</v>
      </c>
      <c r="F96" s="3" t="s">
        <v>7</v>
      </c>
      <c r="G96" s="3">
        <v>1</v>
      </c>
      <c r="H96" s="16" t="s">
        <v>605</v>
      </c>
      <c r="I96" s="16">
        <v>25</v>
      </c>
      <c r="J96" s="16">
        <f>SUM($I$24:I96)</f>
        <v>1195</v>
      </c>
      <c r="K96" s="3" t="s">
        <v>5</v>
      </c>
      <c r="L96" s="3">
        <v>250</v>
      </c>
      <c r="M96" s="3">
        <f t="shared" si="7"/>
        <v>7</v>
      </c>
    </row>
    <row r="97" spans="2:13">
      <c r="B97" s="16">
        <v>74</v>
      </c>
      <c r="C97" s="25" t="s">
        <v>605</v>
      </c>
      <c r="D97" s="3">
        <v>150</v>
      </c>
      <c r="E97" s="3">
        <f>VLOOKUP(C97,道具定价!$C:$F,4,0)*D97</f>
        <v>150</v>
      </c>
      <c r="F97" s="3" t="s">
        <v>7</v>
      </c>
      <c r="G97" s="3">
        <v>1</v>
      </c>
      <c r="H97" s="16" t="s">
        <v>605</v>
      </c>
      <c r="I97" s="16">
        <v>25</v>
      </c>
      <c r="J97" s="16">
        <f>SUM($I$24:I97)</f>
        <v>1220</v>
      </c>
      <c r="K97" s="3" t="s">
        <v>5</v>
      </c>
      <c r="L97" s="3">
        <v>250</v>
      </c>
      <c r="M97" s="3">
        <f t="shared" si="7"/>
        <v>7</v>
      </c>
    </row>
    <row r="98" spans="2:13">
      <c r="B98" s="16">
        <v>75</v>
      </c>
      <c r="C98" s="3" t="s">
        <v>5</v>
      </c>
      <c r="D98" s="3">
        <v>750</v>
      </c>
      <c r="E98" s="3">
        <f>VLOOKUP(C98,道具定价!$C:$F,4,0)*D98</f>
        <v>750</v>
      </c>
      <c r="F98" s="3" t="s">
        <v>665</v>
      </c>
      <c r="G98" s="3">
        <v>1</v>
      </c>
      <c r="H98" s="16" t="s">
        <v>605</v>
      </c>
      <c r="I98" s="16">
        <v>25</v>
      </c>
      <c r="J98" s="16">
        <f>SUM($I$24:I98)</f>
        <v>1245</v>
      </c>
      <c r="K98" s="3" t="s">
        <v>5</v>
      </c>
      <c r="L98" s="3">
        <v>250</v>
      </c>
      <c r="M98" s="3">
        <f t="shared" si="7"/>
        <v>8</v>
      </c>
    </row>
    <row r="99" spans="2:13">
      <c r="B99" s="16">
        <v>76</v>
      </c>
      <c r="C99" s="3" t="s">
        <v>601</v>
      </c>
      <c r="D99" s="3">
        <v>150000</v>
      </c>
      <c r="E99" s="3">
        <f>VLOOKUP(C99,道具定价!$C:$F,4,0)*D99</f>
        <v>150</v>
      </c>
      <c r="F99" s="3" t="s">
        <v>7</v>
      </c>
      <c r="G99" s="3">
        <v>1</v>
      </c>
      <c r="H99" s="16" t="s">
        <v>605</v>
      </c>
      <c r="I99" s="16">
        <v>25</v>
      </c>
      <c r="J99" s="16">
        <f>SUM($I$24:I99)</f>
        <v>1270</v>
      </c>
      <c r="K99" s="3" t="s">
        <v>5</v>
      </c>
      <c r="L99" s="3">
        <v>250</v>
      </c>
      <c r="M99" s="3">
        <f t="shared" si="7"/>
        <v>8</v>
      </c>
    </row>
    <row r="100" spans="2:13">
      <c r="B100" s="16">
        <v>77</v>
      </c>
      <c r="C100" s="3" t="s">
        <v>614</v>
      </c>
      <c r="D100" s="3">
        <v>15</v>
      </c>
      <c r="E100" s="3">
        <f>VLOOKUP(C100,道具定价!$C:$F,4,0)*D100</f>
        <v>150</v>
      </c>
      <c r="F100" s="3" t="s">
        <v>7</v>
      </c>
      <c r="G100" s="3">
        <v>1</v>
      </c>
      <c r="H100" s="16" t="s">
        <v>605</v>
      </c>
      <c r="I100" s="16">
        <v>25</v>
      </c>
      <c r="J100" s="16">
        <f>SUM($I$24:I100)</f>
        <v>1295</v>
      </c>
      <c r="K100" s="3" t="s">
        <v>5</v>
      </c>
      <c r="L100" s="3">
        <v>250</v>
      </c>
      <c r="M100" s="3">
        <f t="shared" si="7"/>
        <v>9</v>
      </c>
    </row>
    <row r="101" spans="2:13">
      <c r="B101" s="16">
        <v>78</v>
      </c>
      <c r="C101" s="3" t="s">
        <v>670</v>
      </c>
      <c r="D101" s="3">
        <v>15</v>
      </c>
      <c r="E101" s="3">
        <f>VLOOKUP(C101,道具定价!$C:$F,4,0)*D101</f>
        <v>150</v>
      </c>
      <c r="F101" s="3" t="s">
        <v>7</v>
      </c>
      <c r="G101" s="3">
        <v>1</v>
      </c>
      <c r="H101" s="16" t="s">
        <v>605</v>
      </c>
      <c r="I101" s="16">
        <v>25</v>
      </c>
      <c r="J101" s="16">
        <f>SUM($I$24:I101)</f>
        <v>1320</v>
      </c>
      <c r="K101" s="3" t="s">
        <v>5</v>
      </c>
      <c r="L101" s="3">
        <v>250</v>
      </c>
      <c r="M101" s="3">
        <f t="shared" si="7"/>
        <v>9</v>
      </c>
    </row>
    <row r="102" spans="2:13">
      <c r="B102" s="16">
        <v>79</v>
      </c>
      <c r="C102" s="25" t="s">
        <v>605</v>
      </c>
      <c r="D102" s="3">
        <v>150</v>
      </c>
      <c r="E102" s="3">
        <f>VLOOKUP(C102,道具定价!$C:$F,4,0)*D102</f>
        <v>150</v>
      </c>
      <c r="F102" s="3" t="s">
        <v>7</v>
      </c>
      <c r="G102" s="3">
        <v>1</v>
      </c>
      <c r="H102" s="16" t="s">
        <v>605</v>
      </c>
      <c r="I102" s="16">
        <v>25</v>
      </c>
      <c r="J102" s="16">
        <f>SUM($I$24:I102)</f>
        <v>1345</v>
      </c>
      <c r="K102" s="3" t="s">
        <v>5</v>
      </c>
      <c r="L102" s="3">
        <v>250</v>
      </c>
      <c r="M102" s="3">
        <f t="shared" si="7"/>
        <v>10</v>
      </c>
    </row>
    <row r="103" spans="2:13">
      <c r="B103" s="16">
        <v>80</v>
      </c>
      <c r="C103" s="3" t="s">
        <v>9</v>
      </c>
      <c r="D103" s="3">
        <v>10</v>
      </c>
      <c r="E103" s="3">
        <f>VLOOKUP(C103,道具定价!$C:$F,4,0)*D103</f>
        <v>1500</v>
      </c>
      <c r="H103" s="16" t="s">
        <v>605</v>
      </c>
      <c r="I103" s="16">
        <f>I94*5</f>
        <v>125</v>
      </c>
      <c r="J103" s="16">
        <f>SUM($I$24:I103)</f>
        <v>1470</v>
      </c>
      <c r="K103" s="3" t="s">
        <v>5</v>
      </c>
      <c r="L103" s="3">
        <v>300</v>
      </c>
      <c r="M103" s="3">
        <f t="shared" si="7"/>
        <v>10</v>
      </c>
    </row>
    <row r="104" spans="2:13">
      <c r="B104" s="16">
        <v>81</v>
      </c>
      <c r="C104" s="3" t="s">
        <v>601</v>
      </c>
      <c r="D104" s="3">
        <v>150000</v>
      </c>
      <c r="E104" s="3">
        <f>VLOOKUP(C104,道具定价!$C:$F,4,0)*D104</f>
        <v>150</v>
      </c>
      <c r="F104" s="3" t="s">
        <v>7</v>
      </c>
      <c r="G104" s="3">
        <v>1</v>
      </c>
      <c r="H104" s="16" t="s">
        <v>605</v>
      </c>
      <c r="I104" s="16">
        <v>30</v>
      </c>
      <c r="J104" s="16">
        <f>SUM($I$24:I104)</f>
        <v>1500</v>
      </c>
      <c r="K104" s="3" t="s">
        <v>5</v>
      </c>
      <c r="L104" s="3">
        <v>300</v>
      </c>
      <c r="M104" s="3">
        <f t="shared" si="7"/>
        <v>11</v>
      </c>
    </row>
    <row r="105" spans="2:13">
      <c r="B105" s="16">
        <v>82</v>
      </c>
      <c r="C105" s="3" t="s">
        <v>614</v>
      </c>
      <c r="D105" s="3">
        <v>15</v>
      </c>
      <c r="E105" s="3">
        <f>VLOOKUP(C105,道具定价!$C:$F,4,0)*D105</f>
        <v>150</v>
      </c>
      <c r="F105" s="3" t="s">
        <v>7</v>
      </c>
      <c r="G105" s="3">
        <v>1</v>
      </c>
      <c r="H105" s="16" t="s">
        <v>605</v>
      </c>
      <c r="I105" s="16">
        <v>30</v>
      </c>
      <c r="J105" s="16">
        <f>SUM($I$24:I105)</f>
        <v>1530</v>
      </c>
      <c r="K105" s="3" t="s">
        <v>5</v>
      </c>
      <c r="L105" s="3">
        <v>300</v>
      </c>
      <c r="M105" s="3">
        <f t="shared" si="7"/>
        <v>11</v>
      </c>
    </row>
    <row r="106" spans="2:13">
      <c r="B106" s="16">
        <v>83</v>
      </c>
      <c r="C106" s="3" t="s">
        <v>670</v>
      </c>
      <c r="D106" s="3">
        <v>15</v>
      </c>
      <c r="E106" s="3">
        <f>VLOOKUP(C106,道具定价!$C:$F,4,0)*D106</f>
        <v>150</v>
      </c>
      <c r="F106" s="3" t="s">
        <v>7</v>
      </c>
      <c r="G106" s="3">
        <v>1</v>
      </c>
      <c r="H106" s="16" t="s">
        <v>605</v>
      </c>
      <c r="I106" s="16">
        <v>30</v>
      </c>
      <c r="J106" s="16">
        <f>SUM($I$24:I106)</f>
        <v>1560</v>
      </c>
      <c r="K106" s="3" t="s">
        <v>5</v>
      </c>
      <c r="L106" s="3">
        <v>300</v>
      </c>
      <c r="M106" s="3">
        <f t="shared" si="7"/>
        <v>12</v>
      </c>
    </row>
    <row r="107" spans="2:13">
      <c r="B107" s="16">
        <v>84</v>
      </c>
      <c r="C107" s="25" t="s">
        <v>605</v>
      </c>
      <c r="D107" s="3">
        <v>150</v>
      </c>
      <c r="E107" s="3">
        <f>VLOOKUP(C107,道具定价!$C:$F,4,0)*D107</f>
        <v>150</v>
      </c>
      <c r="F107" s="3" t="s">
        <v>7</v>
      </c>
      <c r="G107" s="3">
        <v>1</v>
      </c>
      <c r="H107" s="16" t="s">
        <v>605</v>
      </c>
      <c r="I107" s="16">
        <v>30</v>
      </c>
      <c r="J107" s="16">
        <f>SUM($I$24:I107)</f>
        <v>1590</v>
      </c>
      <c r="K107" s="3" t="s">
        <v>5</v>
      </c>
      <c r="L107" s="3">
        <v>300</v>
      </c>
      <c r="M107" s="3">
        <f t="shared" si="7"/>
        <v>12</v>
      </c>
    </row>
    <row r="108" spans="2:13">
      <c r="B108" s="16">
        <v>85</v>
      </c>
      <c r="C108" s="3" t="s">
        <v>5</v>
      </c>
      <c r="D108" s="3">
        <v>750</v>
      </c>
      <c r="E108" s="3">
        <f>VLOOKUP(C108,道具定价!$C:$F,4,0)*D108</f>
        <v>750</v>
      </c>
      <c r="F108" s="3" t="s">
        <v>7</v>
      </c>
      <c r="G108" s="3">
        <v>3</v>
      </c>
      <c r="H108" s="16" t="s">
        <v>605</v>
      </c>
      <c r="I108" s="16">
        <v>30</v>
      </c>
      <c r="J108" s="16">
        <f>SUM($I$24:I108)</f>
        <v>1620</v>
      </c>
      <c r="K108" s="3" t="s">
        <v>5</v>
      </c>
      <c r="L108" s="3">
        <v>300</v>
      </c>
      <c r="M108" s="3">
        <f t="shared" si="7"/>
        <v>13</v>
      </c>
    </row>
    <row r="109" spans="2:13">
      <c r="B109" s="16">
        <v>86</v>
      </c>
      <c r="C109" s="3" t="s">
        <v>601</v>
      </c>
      <c r="D109" s="3">
        <v>150000</v>
      </c>
      <c r="E109" s="3">
        <f>VLOOKUP(C109,道具定价!$C:$F,4,0)*D109</f>
        <v>150</v>
      </c>
      <c r="F109" s="3" t="s">
        <v>7</v>
      </c>
      <c r="G109" s="3">
        <v>1</v>
      </c>
      <c r="H109" s="16" t="s">
        <v>605</v>
      </c>
      <c r="I109" s="16">
        <v>30</v>
      </c>
      <c r="J109" s="16">
        <f>SUM($I$24:I109)</f>
        <v>1650</v>
      </c>
      <c r="K109" s="3" t="s">
        <v>5</v>
      </c>
      <c r="L109" s="3">
        <v>300</v>
      </c>
      <c r="M109" s="3">
        <f t="shared" si="7"/>
        <v>13</v>
      </c>
    </row>
    <row r="110" spans="2:13">
      <c r="B110" s="16">
        <v>87</v>
      </c>
      <c r="C110" s="3" t="s">
        <v>614</v>
      </c>
      <c r="D110" s="3">
        <v>15</v>
      </c>
      <c r="E110" s="3">
        <f>VLOOKUP(C110,道具定价!$C:$F,4,0)*D110</f>
        <v>150</v>
      </c>
      <c r="F110" s="3" t="s">
        <v>7</v>
      </c>
      <c r="G110" s="3">
        <v>1</v>
      </c>
      <c r="H110" s="16" t="s">
        <v>605</v>
      </c>
      <c r="I110" s="16">
        <v>30</v>
      </c>
      <c r="J110" s="16">
        <f>SUM($I$24:I110)</f>
        <v>1680</v>
      </c>
      <c r="K110" s="3" t="s">
        <v>5</v>
      </c>
      <c r="L110" s="3">
        <v>300</v>
      </c>
      <c r="M110" s="3">
        <f t="shared" si="7"/>
        <v>14</v>
      </c>
    </row>
    <row r="111" spans="2:13">
      <c r="B111" s="16">
        <v>88</v>
      </c>
      <c r="C111" s="3" t="s">
        <v>670</v>
      </c>
      <c r="D111" s="3">
        <v>15</v>
      </c>
      <c r="E111" s="3">
        <f>VLOOKUP(C111,道具定价!$C:$F,4,0)*D111</f>
        <v>150</v>
      </c>
      <c r="F111" s="3" t="s">
        <v>7</v>
      </c>
      <c r="G111" s="3">
        <v>1</v>
      </c>
      <c r="H111" s="16" t="s">
        <v>605</v>
      </c>
      <c r="I111" s="16">
        <v>30</v>
      </c>
      <c r="J111" s="16">
        <f>SUM($I$24:I111)</f>
        <v>1710</v>
      </c>
      <c r="K111" s="3" t="s">
        <v>5</v>
      </c>
      <c r="L111" s="3">
        <v>300</v>
      </c>
      <c r="M111" s="3">
        <f t="shared" si="7"/>
        <v>14</v>
      </c>
    </row>
    <row r="112" spans="2:13">
      <c r="B112" s="16">
        <v>89</v>
      </c>
      <c r="C112" s="25" t="s">
        <v>605</v>
      </c>
      <c r="D112" s="3">
        <v>150</v>
      </c>
      <c r="E112" s="3">
        <f>VLOOKUP(C112,道具定价!$C:$F,4,0)*D112</f>
        <v>150</v>
      </c>
      <c r="F112" s="3" t="s">
        <v>7</v>
      </c>
      <c r="G112" s="3">
        <v>1</v>
      </c>
      <c r="H112" s="16" t="s">
        <v>605</v>
      </c>
      <c r="I112" s="16">
        <v>30</v>
      </c>
      <c r="J112" s="16">
        <f>SUM($I$24:I112)</f>
        <v>1740</v>
      </c>
      <c r="K112" s="3" t="s">
        <v>5</v>
      </c>
      <c r="L112" s="3">
        <v>300</v>
      </c>
      <c r="M112" s="3">
        <f t="shared" si="7"/>
        <v>15</v>
      </c>
    </row>
    <row r="113" spans="2:13">
      <c r="B113" s="16">
        <v>90</v>
      </c>
      <c r="C113" s="3" t="s">
        <v>9</v>
      </c>
      <c r="D113" s="3">
        <v>10</v>
      </c>
      <c r="E113" s="3">
        <f>VLOOKUP(C113,道具定价!$C:$F,4,0)*D113</f>
        <v>1500</v>
      </c>
      <c r="H113" s="16" t="s">
        <v>605</v>
      </c>
      <c r="I113" s="16">
        <f>I104*5</f>
        <v>150</v>
      </c>
      <c r="J113" s="16">
        <f>SUM($I$24:I113)</f>
        <v>1890</v>
      </c>
      <c r="K113" s="3" t="s">
        <v>5</v>
      </c>
      <c r="L113" s="3">
        <v>400</v>
      </c>
      <c r="M113" s="3">
        <f t="shared" si="7"/>
        <v>15</v>
      </c>
    </row>
    <row r="114" spans="2:13">
      <c r="B114" s="16">
        <v>91</v>
      </c>
      <c r="C114" s="3" t="s">
        <v>601</v>
      </c>
      <c r="D114" s="3">
        <v>150000</v>
      </c>
      <c r="E114" s="3">
        <f>VLOOKUP(C114,道具定价!$C:$F,4,0)*D114</f>
        <v>150</v>
      </c>
      <c r="F114" s="3" t="s">
        <v>7</v>
      </c>
      <c r="G114" s="3">
        <v>1</v>
      </c>
      <c r="H114" s="16" t="s">
        <v>605</v>
      </c>
      <c r="I114" s="16">
        <v>40</v>
      </c>
      <c r="J114" s="16">
        <f>SUM($I$24:I114)</f>
        <v>1930</v>
      </c>
      <c r="K114" s="3" t="s">
        <v>5</v>
      </c>
      <c r="L114" s="3">
        <v>400</v>
      </c>
      <c r="M114" s="3">
        <f t="shared" si="7"/>
        <v>16</v>
      </c>
    </row>
    <row r="115" spans="2:13">
      <c r="B115" s="16">
        <v>92</v>
      </c>
      <c r="C115" s="3" t="s">
        <v>614</v>
      </c>
      <c r="D115" s="3">
        <v>15</v>
      </c>
      <c r="E115" s="3">
        <f>VLOOKUP(C115,道具定价!$C:$F,4,0)*D115</f>
        <v>150</v>
      </c>
      <c r="F115" s="3" t="s">
        <v>7</v>
      </c>
      <c r="G115" s="3">
        <v>1</v>
      </c>
      <c r="H115" s="16" t="s">
        <v>605</v>
      </c>
      <c r="I115" s="16">
        <v>40</v>
      </c>
      <c r="J115" s="16">
        <f>SUM($I$24:I115)</f>
        <v>1970</v>
      </c>
      <c r="K115" s="3" t="s">
        <v>5</v>
      </c>
      <c r="L115" s="3">
        <v>400</v>
      </c>
      <c r="M115" s="3">
        <f t="shared" si="7"/>
        <v>16</v>
      </c>
    </row>
    <row r="116" spans="2:13">
      <c r="B116" s="16">
        <v>93</v>
      </c>
      <c r="C116" s="3" t="s">
        <v>670</v>
      </c>
      <c r="D116" s="3">
        <v>15</v>
      </c>
      <c r="E116" s="3">
        <f>VLOOKUP(C116,道具定价!$C:$F,4,0)*D116</f>
        <v>150</v>
      </c>
      <c r="F116" s="3" t="s">
        <v>7</v>
      </c>
      <c r="G116" s="3">
        <v>1</v>
      </c>
      <c r="H116" s="16" t="s">
        <v>605</v>
      </c>
      <c r="I116" s="16">
        <v>40</v>
      </c>
      <c r="J116" s="16">
        <f>SUM($I$24:I116)</f>
        <v>2010</v>
      </c>
      <c r="K116" s="3" t="s">
        <v>5</v>
      </c>
      <c r="L116" s="3">
        <v>400</v>
      </c>
      <c r="M116" s="3">
        <f t="shared" si="7"/>
        <v>17</v>
      </c>
    </row>
    <row r="117" spans="2:13">
      <c r="B117" s="16">
        <v>94</v>
      </c>
      <c r="C117" s="25" t="s">
        <v>605</v>
      </c>
      <c r="D117" s="3">
        <v>150</v>
      </c>
      <c r="E117" s="3">
        <f>VLOOKUP(C117,道具定价!$C:$F,4,0)*D117</f>
        <v>150</v>
      </c>
      <c r="F117" s="3" t="s">
        <v>7</v>
      </c>
      <c r="G117" s="3">
        <v>1</v>
      </c>
      <c r="H117" s="16" t="s">
        <v>605</v>
      </c>
      <c r="I117" s="16">
        <v>40</v>
      </c>
      <c r="J117" s="16">
        <f>SUM($I$24:I117)</f>
        <v>2050</v>
      </c>
      <c r="K117" s="3" t="s">
        <v>5</v>
      </c>
      <c r="L117" s="3">
        <v>400</v>
      </c>
      <c r="M117" s="3">
        <f t="shared" si="7"/>
        <v>17</v>
      </c>
    </row>
    <row r="118" spans="2:13">
      <c r="B118" s="16">
        <v>95</v>
      </c>
      <c r="C118" s="3" t="s">
        <v>5</v>
      </c>
      <c r="D118" s="3">
        <v>750</v>
      </c>
      <c r="E118" s="3">
        <f>VLOOKUP(C118,道具定价!$C:$F,4,0)*D118</f>
        <v>750</v>
      </c>
      <c r="F118" s="3" t="s">
        <v>665</v>
      </c>
      <c r="G118" s="3">
        <v>1</v>
      </c>
      <c r="H118" s="16" t="s">
        <v>605</v>
      </c>
      <c r="I118" s="16">
        <v>40</v>
      </c>
      <c r="J118" s="16">
        <f>SUM($I$24:I118)</f>
        <v>2090</v>
      </c>
      <c r="K118" s="3" t="s">
        <v>5</v>
      </c>
      <c r="L118" s="3">
        <v>400</v>
      </c>
      <c r="M118" s="3">
        <f t="shared" si="7"/>
        <v>18</v>
      </c>
    </row>
    <row r="119" spans="2:13">
      <c r="B119" s="16">
        <v>96</v>
      </c>
      <c r="C119" s="3" t="s">
        <v>601</v>
      </c>
      <c r="D119" s="3">
        <v>150000</v>
      </c>
      <c r="E119" s="3">
        <f>VLOOKUP(C119,道具定价!$C:$F,4,0)*D119</f>
        <v>150</v>
      </c>
      <c r="F119" s="3" t="s">
        <v>7</v>
      </c>
      <c r="G119" s="3">
        <v>1</v>
      </c>
      <c r="H119" s="16" t="s">
        <v>605</v>
      </c>
      <c r="I119" s="16">
        <v>40</v>
      </c>
      <c r="J119" s="16">
        <f>SUM($I$24:I119)</f>
        <v>2130</v>
      </c>
      <c r="K119" s="3" t="s">
        <v>5</v>
      </c>
      <c r="L119" s="3">
        <v>400</v>
      </c>
      <c r="M119" s="3">
        <f t="shared" si="7"/>
        <v>18</v>
      </c>
    </row>
    <row r="120" spans="2:13">
      <c r="B120" s="16">
        <v>97</v>
      </c>
      <c r="C120" s="3" t="s">
        <v>614</v>
      </c>
      <c r="D120" s="3">
        <v>15</v>
      </c>
      <c r="E120" s="3">
        <f>VLOOKUP(C120,道具定价!$C:$F,4,0)*D120</f>
        <v>150</v>
      </c>
      <c r="F120" s="3" t="s">
        <v>7</v>
      </c>
      <c r="G120" s="3">
        <v>1</v>
      </c>
      <c r="H120" s="16" t="s">
        <v>605</v>
      </c>
      <c r="I120" s="16">
        <v>40</v>
      </c>
      <c r="J120" s="16">
        <f>SUM($I$24:I120)</f>
        <v>2170</v>
      </c>
      <c r="K120" s="3" t="s">
        <v>5</v>
      </c>
      <c r="L120" s="3">
        <v>400</v>
      </c>
      <c r="M120" s="3">
        <f t="shared" si="7"/>
        <v>19</v>
      </c>
    </row>
    <row r="121" spans="2:13">
      <c r="B121" s="16">
        <v>98</v>
      </c>
      <c r="C121" s="3" t="s">
        <v>670</v>
      </c>
      <c r="D121" s="3">
        <v>15</v>
      </c>
      <c r="E121" s="3">
        <f>VLOOKUP(C121,道具定价!$C:$F,4,0)*D121</f>
        <v>150</v>
      </c>
      <c r="F121" s="3" t="s">
        <v>7</v>
      </c>
      <c r="G121" s="3">
        <v>1</v>
      </c>
      <c r="H121" s="16" t="s">
        <v>605</v>
      </c>
      <c r="I121" s="16">
        <v>40</v>
      </c>
      <c r="J121" s="16">
        <f>SUM($I$24:I121)</f>
        <v>2210</v>
      </c>
      <c r="K121" s="3" t="s">
        <v>5</v>
      </c>
      <c r="L121" s="3">
        <v>400</v>
      </c>
      <c r="M121" s="3">
        <f t="shared" si="7"/>
        <v>19</v>
      </c>
    </row>
    <row r="122" spans="2:13">
      <c r="B122" s="16">
        <v>99</v>
      </c>
      <c r="C122" s="25" t="s">
        <v>605</v>
      </c>
      <c r="D122" s="3">
        <v>150</v>
      </c>
      <c r="E122" s="3">
        <f>VLOOKUP(C122,道具定价!$C:$F,4,0)*D122</f>
        <v>150</v>
      </c>
      <c r="F122" s="3" t="s">
        <v>7</v>
      </c>
      <c r="G122" s="3">
        <v>1</v>
      </c>
      <c r="H122" s="16" t="s">
        <v>605</v>
      </c>
      <c r="I122" s="16">
        <v>40</v>
      </c>
      <c r="J122" s="16">
        <f>SUM($I$24:I122)</f>
        <v>2250</v>
      </c>
      <c r="K122" s="3" t="s">
        <v>5</v>
      </c>
      <c r="L122" s="3">
        <v>400</v>
      </c>
      <c r="M122" s="3">
        <f t="shared" si="7"/>
        <v>20</v>
      </c>
    </row>
    <row r="123" spans="2:13">
      <c r="B123" s="16">
        <v>100</v>
      </c>
      <c r="C123" s="3" t="s">
        <v>9</v>
      </c>
      <c r="D123" s="3">
        <v>10</v>
      </c>
      <c r="E123" s="3">
        <f>VLOOKUP(C123,道具定价!$C:$F,4,0)*D123</f>
        <v>1500</v>
      </c>
      <c r="F123" s="3" t="s">
        <v>8</v>
      </c>
      <c r="G123" s="3">
        <v>10</v>
      </c>
      <c r="H123" s="16" t="s">
        <v>605</v>
      </c>
      <c r="I123" s="16">
        <f>I114*5</f>
        <v>200</v>
      </c>
      <c r="J123" s="16">
        <f>SUM($I$24:I123)</f>
        <v>2450</v>
      </c>
      <c r="K123" s="3" t="s">
        <v>5</v>
      </c>
      <c r="L123" s="3">
        <v>500</v>
      </c>
      <c r="M123" s="3">
        <f t="shared" si="7"/>
        <v>20</v>
      </c>
    </row>
    <row r="124" spans="2:13">
      <c r="I124" s="16">
        <f>SUM(I24:I123)</f>
        <v>2450</v>
      </c>
    </row>
    <row r="125" spans="2:13">
      <c r="C125" s="25" t="s">
        <v>605</v>
      </c>
      <c r="D125" s="3">
        <f>SUMIF($C$24:$C$123,C125,D24:D123)</f>
        <v>2490</v>
      </c>
    </row>
    <row r="130" spans="1:7">
      <c r="A130" s="16" t="s">
        <v>601</v>
      </c>
      <c r="B130" s="16">
        <v>1</v>
      </c>
      <c r="C130" s="3">
        <v>1</v>
      </c>
      <c r="D130" s="3" t="s">
        <v>601</v>
      </c>
      <c r="E130" s="3">
        <v>5000</v>
      </c>
      <c r="G130" s="3">
        <f t="shared" ref="G130:G193" si="8">VLOOKUP(D130,$A$130:$B$145,2,0)</f>
        <v>1</v>
      </c>
    </row>
    <row r="131" ht="17.25" customHeight="1" spans="1:7">
      <c r="A131" s="16" t="s">
        <v>613</v>
      </c>
      <c r="B131" s="15">
        <v>101</v>
      </c>
      <c r="C131" s="3">
        <v>2</v>
      </c>
      <c r="D131" s="3" t="s">
        <v>613</v>
      </c>
      <c r="E131" s="3">
        <v>3</v>
      </c>
      <c r="G131" s="3">
        <f t="shared" si="8"/>
        <v>101</v>
      </c>
    </row>
    <row r="132" spans="1:7">
      <c r="A132" s="16" t="s">
        <v>669</v>
      </c>
      <c r="B132" s="16">
        <v>109</v>
      </c>
      <c r="C132" s="3">
        <v>3</v>
      </c>
      <c r="D132" s="3" t="s">
        <v>669</v>
      </c>
      <c r="E132" s="3">
        <v>3</v>
      </c>
      <c r="G132" s="3">
        <f t="shared" si="8"/>
        <v>109</v>
      </c>
    </row>
    <row r="133" ht="17.25" customHeight="1" spans="1:7">
      <c r="A133" s="16" t="s">
        <v>605</v>
      </c>
      <c r="B133" s="15">
        <v>27</v>
      </c>
      <c r="C133" s="3">
        <v>4</v>
      </c>
      <c r="D133" s="25" t="s">
        <v>605</v>
      </c>
      <c r="E133" s="3">
        <v>20</v>
      </c>
      <c r="G133" s="3">
        <f t="shared" si="8"/>
        <v>27</v>
      </c>
    </row>
    <row r="134" spans="1:7">
      <c r="A134" s="16" t="s">
        <v>5</v>
      </c>
      <c r="B134" s="16">
        <v>2</v>
      </c>
      <c r="C134" s="3">
        <v>5</v>
      </c>
      <c r="D134" s="3" t="s">
        <v>5</v>
      </c>
      <c r="E134" s="3">
        <v>100</v>
      </c>
      <c r="G134" s="3">
        <f t="shared" si="8"/>
        <v>2</v>
      </c>
    </row>
    <row r="135" ht="17.25" customHeight="1" spans="1:7">
      <c r="A135" s="16" t="s">
        <v>614</v>
      </c>
      <c r="B135" s="15">
        <v>102</v>
      </c>
      <c r="C135" s="3">
        <v>6</v>
      </c>
      <c r="D135" s="3" t="s">
        <v>601</v>
      </c>
      <c r="E135" s="3">
        <v>5000</v>
      </c>
      <c r="G135" s="3">
        <f t="shared" si="8"/>
        <v>1</v>
      </c>
    </row>
    <row r="136" spans="1:7">
      <c r="A136" s="16" t="s">
        <v>670</v>
      </c>
      <c r="B136" s="16">
        <v>110</v>
      </c>
      <c r="C136" s="3">
        <v>7</v>
      </c>
      <c r="D136" s="3" t="s">
        <v>613</v>
      </c>
      <c r="E136" s="3">
        <v>3</v>
      </c>
      <c r="G136" s="3">
        <f t="shared" si="8"/>
        <v>101</v>
      </c>
    </row>
    <row r="137" spans="1:7">
      <c r="A137" s="16" t="s">
        <v>6</v>
      </c>
      <c r="B137" s="16">
        <v>106</v>
      </c>
      <c r="C137" s="3">
        <v>8</v>
      </c>
      <c r="D137" s="3" t="s">
        <v>669</v>
      </c>
      <c r="E137" s="3">
        <v>3</v>
      </c>
      <c r="G137" s="3">
        <f t="shared" si="8"/>
        <v>109</v>
      </c>
    </row>
    <row r="138" spans="1:7">
      <c r="C138" s="3">
        <v>9</v>
      </c>
      <c r="D138" s="25" t="s">
        <v>605</v>
      </c>
      <c r="E138" s="3">
        <v>20</v>
      </c>
      <c r="G138" s="3">
        <f t="shared" si="8"/>
        <v>27</v>
      </c>
    </row>
    <row r="139" spans="1:7">
      <c r="C139" s="3">
        <v>10</v>
      </c>
      <c r="D139" s="3" t="s">
        <v>6</v>
      </c>
      <c r="E139" s="3">
        <v>1</v>
      </c>
      <c r="G139" s="3">
        <f t="shared" si="8"/>
        <v>106</v>
      </c>
    </row>
    <row r="140" spans="1:7">
      <c r="C140" s="3">
        <v>11</v>
      </c>
      <c r="D140" s="3" t="s">
        <v>601</v>
      </c>
      <c r="E140" s="3">
        <v>10000</v>
      </c>
      <c r="G140" s="3">
        <f t="shared" si="8"/>
        <v>1</v>
      </c>
    </row>
    <row r="141" spans="1:7">
      <c r="C141" s="3">
        <v>12</v>
      </c>
      <c r="D141" s="3" t="s">
        <v>614</v>
      </c>
      <c r="E141" s="3">
        <v>1</v>
      </c>
      <c r="G141" s="3">
        <f t="shared" si="8"/>
        <v>102</v>
      </c>
    </row>
    <row r="142" spans="1:7">
      <c r="C142" s="3">
        <v>13</v>
      </c>
      <c r="D142" s="3" t="s">
        <v>670</v>
      </c>
      <c r="E142" s="3">
        <v>1</v>
      </c>
      <c r="G142" s="3">
        <f t="shared" si="8"/>
        <v>110</v>
      </c>
    </row>
    <row r="143" spans="1:7">
      <c r="C143" s="3">
        <v>14</v>
      </c>
      <c r="D143" s="25" t="s">
        <v>605</v>
      </c>
      <c r="E143" s="3">
        <v>25</v>
      </c>
      <c r="G143" s="3">
        <f t="shared" si="8"/>
        <v>27</v>
      </c>
    </row>
    <row r="144" spans="1:7">
      <c r="C144" s="3">
        <v>15</v>
      </c>
      <c r="D144" s="3" t="s">
        <v>5</v>
      </c>
      <c r="E144" s="3">
        <v>50</v>
      </c>
      <c r="G144" s="3">
        <f t="shared" si="8"/>
        <v>2</v>
      </c>
    </row>
    <row r="145" spans="3:7">
      <c r="C145" s="3">
        <v>16</v>
      </c>
      <c r="D145" s="3" t="s">
        <v>601</v>
      </c>
      <c r="E145" s="3">
        <v>10000</v>
      </c>
      <c r="G145" s="3">
        <f t="shared" si="8"/>
        <v>1</v>
      </c>
    </row>
    <row r="146" spans="3:7">
      <c r="C146" s="3">
        <v>17</v>
      </c>
      <c r="D146" s="3" t="s">
        <v>614</v>
      </c>
      <c r="E146" s="3">
        <v>1</v>
      </c>
      <c r="G146" s="3">
        <f t="shared" si="8"/>
        <v>102</v>
      </c>
    </row>
    <row r="147" spans="3:7">
      <c r="C147" s="3">
        <v>18</v>
      </c>
      <c r="D147" s="3" t="s">
        <v>670</v>
      </c>
      <c r="E147" s="3">
        <v>1</v>
      </c>
      <c r="G147" s="3">
        <f t="shared" si="8"/>
        <v>110</v>
      </c>
    </row>
    <row r="148" spans="3:7">
      <c r="C148" s="3">
        <v>19</v>
      </c>
      <c r="D148" s="25" t="s">
        <v>605</v>
      </c>
      <c r="E148" s="3">
        <v>25</v>
      </c>
      <c r="G148" s="3">
        <f t="shared" si="8"/>
        <v>27</v>
      </c>
    </row>
    <row r="149" spans="3:7">
      <c r="C149" s="3">
        <v>20</v>
      </c>
      <c r="D149" s="3" t="s">
        <v>6</v>
      </c>
      <c r="E149" s="3">
        <v>1</v>
      </c>
      <c r="G149" s="3">
        <f t="shared" si="8"/>
        <v>106</v>
      </c>
    </row>
    <row r="150" spans="3:7">
      <c r="C150" s="3">
        <v>21</v>
      </c>
      <c r="D150" s="3" t="s">
        <v>601</v>
      </c>
      <c r="E150" s="3">
        <v>20000</v>
      </c>
      <c r="G150" s="3">
        <f t="shared" si="8"/>
        <v>1</v>
      </c>
    </row>
    <row r="151" spans="3:7">
      <c r="C151" s="3">
        <v>22</v>
      </c>
      <c r="D151" s="3" t="s">
        <v>614</v>
      </c>
      <c r="E151" s="3">
        <v>2</v>
      </c>
      <c r="G151" s="3">
        <f t="shared" si="8"/>
        <v>102</v>
      </c>
    </row>
    <row r="152" spans="3:7">
      <c r="C152" s="3">
        <v>23</v>
      </c>
      <c r="D152" s="3" t="s">
        <v>670</v>
      </c>
      <c r="E152" s="3">
        <v>2</v>
      </c>
      <c r="G152" s="3">
        <f t="shared" si="8"/>
        <v>110</v>
      </c>
    </row>
    <row r="153" spans="3:7">
      <c r="C153" s="3">
        <v>24</v>
      </c>
      <c r="D153" s="25" t="s">
        <v>605</v>
      </c>
      <c r="E153" s="3">
        <v>30</v>
      </c>
      <c r="G153" s="3">
        <f t="shared" si="8"/>
        <v>27</v>
      </c>
    </row>
    <row r="154" spans="3:7">
      <c r="C154" s="3">
        <v>25</v>
      </c>
      <c r="D154" s="3" t="s">
        <v>5</v>
      </c>
      <c r="E154" s="3">
        <v>50</v>
      </c>
      <c r="G154" s="3">
        <f t="shared" si="8"/>
        <v>2</v>
      </c>
    </row>
    <row r="155" spans="3:7">
      <c r="C155" s="3">
        <v>26</v>
      </c>
      <c r="D155" s="3" t="s">
        <v>601</v>
      </c>
      <c r="E155" s="3">
        <v>20000</v>
      </c>
      <c r="G155" s="3">
        <f t="shared" si="8"/>
        <v>1</v>
      </c>
    </row>
    <row r="156" spans="3:7">
      <c r="C156" s="3">
        <v>27</v>
      </c>
      <c r="D156" s="3" t="s">
        <v>614</v>
      </c>
      <c r="E156" s="3">
        <v>2</v>
      </c>
      <c r="G156" s="3">
        <f t="shared" si="8"/>
        <v>102</v>
      </c>
    </row>
    <row r="157" spans="3:7">
      <c r="C157" s="3">
        <v>28</v>
      </c>
      <c r="D157" s="3" t="s">
        <v>670</v>
      </c>
      <c r="E157" s="3">
        <v>2</v>
      </c>
      <c r="G157" s="3">
        <f t="shared" si="8"/>
        <v>110</v>
      </c>
    </row>
    <row r="158" spans="3:7">
      <c r="C158" s="3">
        <v>29</v>
      </c>
      <c r="D158" s="25" t="s">
        <v>605</v>
      </c>
      <c r="E158" s="3">
        <v>30</v>
      </c>
      <c r="G158" s="3">
        <f t="shared" si="8"/>
        <v>27</v>
      </c>
    </row>
    <row r="159" spans="3:7">
      <c r="C159" s="3">
        <v>30</v>
      </c>
      <c r="D159" s="3" t="s">
        <v>6</v>
      </c>
      <c r="E159" s="3">
        <v>1</v>
      </c>
      <c r="G159" s="3">
        <f t="shared" si="8"/>
        <v>106</v>
      </c>
    </row>
    <row r="160" spans="3:7">
      <c r="C160" s="3">
        <v>31</v>
      </c>
      <c r="D160" s="3" t="s">
        <v>601</v>
      </c>
      <c r="E160" s="3">
        <v>30000</v>
      </c>
      <c r="G160" s="3">
        <f t="shared" si="8"/>
        <v>1</v>
      </c>
    </row>
    <row r="161" spans="3:7">
      <c r="C161" s="3">
        <v>32</v>
      </c>
      <c r="D161" s="3" t="s">
        <v>614</v>
      </c>
      <c r="E161" s="3">
        <v>3</v>
      </c>
      <c r="G161" s="3">
        <f t="shared" si="8"/>
        <v>102</v>
      </c>
    </row>
    <row r="162" spans="3:7">
      <c r="C162" s="3">
        <v>33</v>
      </c>
      <c r="D162" s="3" t="s">
        <v>670</v>
      </c>
      <c r="E162" s="3">
        <v>3</v>
      </c>
      <c r="G162" s="3">
        <f t="shared" si="8"/>
        <v>110</v>
      </c>
    </row>
    <row r="163" spans="3:7">
      <c r="C163" s="3">
        <v>34</v>
      </c>
      <c r="D163" s="25" t="s">
        <v>605</v>
      </c>
      <c r="E163" s="3">
        <v>40</v>
      </c>
      <c r="G163" s="3">
        <f t="shared" si="8"/>
        <v>27</v>
      </c>
    </row>
    <row r="164" spans="3:7">
      <c r="C164" s="3">
        <v>35</v>
      </c>
      <c r="D164" s="3" t="s">
        <v>5</v>
      </c>
      <c r="E164" s="3">
        <v>50</v>
      </c>
      <c r="G164" s="3">
        <f t="shared" si="8"/>
        <v>2</v>
      </c>
    </row>
    <row r="165" spans="3:7">
      <c r="C165" s="3">
        <v>36</v>
      </c>
      <c r="D165" s="3" t="s">
        <v>601</v>
      </c>
      <c r="E165" s="3">
        <v>30000</v>
      </c>
      <c r="G165" s="3">
        <f t="shared" si="8"/>
        <v>1</v>
      </c>
    </row>
    <row r="166" spans="3:7">
      <c r="C166" s="3">
        <v>37</v>
      </c>
      <c r="D166" s="3" t="s">
        <v>614</v>
      </c>
      <c r="E166" s="3">
        <v>3</v>
      </c>
      <c r="G166" s="3">
        <f t="shared" si="8"/>
        <v>102</v>
      </c>
    </row>
    <row r="167" spans="3:7">
      <c r="C167" s="3">
        <v>38</v>
      </c>
      <c r="D167" s="3" t="s">
        <v>670</v>
      </c>
      <c r="E167" s="3">
        <v>3</v>
      </c>
      <c r="G167" s="3">
        <f t="shared" si="8"/>
        <v>110</v>
      </c>
    </row>
    <row r="168" spans="3:7">
      <c r="C168" s="3">
        <v>39</v>
      </c>
      <c r="D168" s="25" t="s">
        <v>605</v>
      </c>
      <c r="E168" s="3">
        <v>40</v>
      </c>
      <c r="G168" s="3">
        <f t="shared" si="8"/>
        <v>27</v>
      </c>
    </row>
    <row r="169" spans="3:7">
      <c r="C169" s="3">
        <v>40</v>
      </c>
      <c r="D169" s="3" t="s">
        <v>6</v>
      </c>
      <c r="E169" s="3">
        <v>1</v>
      </c>
      <c r="G169" s="3">
        <f t="shared" si="8"/>
        <v>106</v>
      </c>
    </row>
    <row r="170" spans="3:7">
      <c r="C170" s="3">
        <v>41</v>
      </c>
      <c r="D170" s="3" t="s">
        <v>601</v>
      </c>
      <c r="E170" s="3">
        <v>40000</v>
      </c>
      <c r="G170" s="3">
        <f t="shared" si="8"/>
        <v>1</v>
      </c>
    </row>
    <row r="171" spans="3:7">
      <c r="C171" s="3">
        <v>42</v>
      </c>
      <c r="D171" s="3" t="s">
        <v>614</v>
      </c>
      <c r="E171" s="3">
        <v>4</v>
      </c>
      <c r="G171" s="3">
        <f t="shared" si="8"/>
        <v>102</v>
      </c>
    </row>
    <row r="172" spans="3:7">
      <c r="C172" s="3">
        <v>43</v>
      </c>
      <c r="D172" s="3" t="s">
        <v>670</v>
      </c>
      <c r="E172" s="3">
        <v>4</v>
      </c>
      <c r="G172" s="3">
        <f t="shared" si="8"/>
        <v>110</v>
      </c>
    </row>
    <row r="173" spans="3:7">
      <c r="C173" s="3">
        <v>44</v>
      </c>
      <c r="D173" s="25" t="s">
        <v>605</v>
      </c>
      <c r="E173" s="3">
        <v>50</v>
      </c>
      <c r="G173" s="3">
        <f t="shared" si="8"/>
        <v>27</v>
      </c>
    </row>
    <row r="174" spans="3:7">
      <c r="C174" s="3">
        <v>45</v>
      </c>
      <c r="D174" s="3" t="s">
        <v>5</v>
      </c>
      <c r="E174" s="3">
        <v>50</v>
      </c>
      <c r="G174" s="3">
        <f t="shared" si="8"/>
        <v>2</v>
      </c>
    </row>
    <row r="175" spans="3:7">
      <c r="C175" s="3">
        <v>46</v>
      </c>
      <c r="D175" s="3" t="s">
        <v>601</v>
      </c>
      <c r="E175" s="3">
        <v>40000</v>
      </c>
      <c r="G175" s="3">
        <f t="shared" si="8"/>
        <v>1</v>
      </c>
    </row>
    <row r="176" spans="3:7">
      <c r="C176" s="3">
        <v>47</v>
      </c>
      <c r="D176" s="3" t="s">
        <v>614</v>
      </c>
      <c r="E176" s="3">
        <v>4</v>
      </c>
      <c r="G176" s="3">
        <f t="shared" si="8"/>
        <v>102</v>
      </c>
    </row>
    <row r="177" spans="3:7">
      <c r="C177" s="3">
        <v>48</v>
      </c>
      <c r="D177" s="3" t="s">
        <v>670</v>
      </c>
      <c r="E177" s="3">
        <v>4</v>
      </c>
      <c r="G177" s="3">
        <f t="shared" si="8"/>
        <v>110</v>
      </c>
    </row>
    <row r="178" spans="3:7">
      <c r="C178" s="3">
        <v>49</v>
      </c>
      <c r="D178" s="25" t="s">
        <v>605</v>
      </c>
      <c r="E178" s="3">
        <v>50</v>
      </c>
      <c r="G178" s="3">
        <f t="shared" si="8"/>
        <v>27</v>
      </c>
    </row>
    <row r="179" spans="3:7">
      <c r="C179" s="3">
        <v>50</v>
      </c>
      <c r="D179" s="3" t="s">
        <v>6</v>
      </c>
      <c r="E179" s="3">
        <v>1</v>
      </c>
      <c r="G179" s="3">
        <f t="shared" si="8"/>
        <v>106</v>
      </c>
    </row>
    <row r="180" spans="3:7">
      <c r="C180" s="3">
        <v>51</v>
      </c>
      <c r="D180" s="3" t="s">
        <v>601</v>
      </c>
      <c r="E180" s="3">
        <v>50000</v>
      </c>
      <c r="G180" s="3">
        <f t="shared" si="8"/>
        <v>1</v>
      </c>
    </row>
    <row r="181" spans="3:7">
      <c r="C181" s="3">
        <v>52</v>
      </c>
      <c r="D181" s="3" t="s">
        <v>614</v>
      </c>
      <c r="E181" s="3">
        <v>5</v>
      </c>
      <c r="G181" s="3">
        <f t="shared" si="8"/>
        <v>102</v>
      </c>
    </row>
    <row r="182" spans="3:7">
      <c r="C182" s="3">
        <v>53</v>
      </c>
      <c r="D182" s="3" t="s">
        <v>670</v>
      </c>
      <c r="E182" s="3">
        <v>5</v>
      </c>
      <c r="G182" s="3">
        <f t="shared" si="8"/>
        <v>110</v>
      </c>
    </row>
    <row r="183" spans="3:7">
      <c r="C183" s="3">
        <v>54</v>
      </c>
      <c r="D183" s="25" t="s">
        <v>605</v>
      </c>
      <c r="E183" s="3">
        <v>50</v>
      </c>
      <c r="G183" s="3">
        <f t="shared" si="8"/>
        <v>27</v>
      </c>
    </row>
    <row r="184" spans="3:7">
      <c r="C184" s="3">
        <v>55</v>
      </c>
      <c r="D184" s="3" t="s">
        <v>5</v>
      </c>
      <c r="E184" s="3">
        <v>50</v>
      </c>
      <c r="G184" s="3">
        <f t="shared" si="8"/>
        <v>2</v>
      </c>
    </row>
    <row r="185" spans="3:7">
      <c r="C185" s="3">
        <v>56</v>
      </c>
      <c r="D185" s="3" t="s">
        <v>601</v>
      </c>
      <c r="E185" s="3">
        <v>50000</v>
      </c>
      <c r="G185" s="3">
        <f t="shared" si="8"/>
        <v>1</v>
      </c>
    </row>
    <row r="186" spans="3:7">
      <c r="C186" s="3">
        <v>57</v>
      </c>
      <c r="D186" s="3" t="s">
        <v>614</v>
      </c>
      <c r="E186" s="3">
        <v>5</v>
      </c>
      <c r="G186" s="3">
        <f t="shared" si="8"/>
        <v>102</v>
      </c>
    </row>
    <row r="187" spans="3:7">
      <c r="C187" s="3">
        <v>58</v>
      </c>
      <c r="D187" s="3" t="s">
        <v>670</v>
      </c>
      <c r="E187" s="3">
        <v>5</v>
      </c>
      <c r="G187" s="3">
        <f t="shared" si="8"/>
        <v>110</v>
      </c>
    </row>
    <row r="188" spans="3:7">
      <c r="C188" s="3">
        <v>59</v>
      </c>
      <c r="D188" s="25" t="s">
        <v>605</v>
      </c>
      <c r="E188" s="3">
        <v>50</v>
      </c>
      <c r="G188" s="3">
        <f t="shared" si="8"/>
        <v>27</v>
      </c>
    </row>
    <row r="189" spans="3:7">
      <c r="C189" s="3">
        <v>60</v>
      </c>
      <c r="D189" s="3" t="s">
        <v>6</v>
      </c>
      <c r="E189" s="3">
        <v>1</v>
      </c>
      <c r="G189" s="3">
        <f t="shared" si="8"/>
        <v>106</v>
      </c>
    </row>
    <row r="190" spans="3:7">
      <c r="C190" s="3">
        <v>61</v>
      </c>
      <c r="D190" s="3" t="s">
        <v>601</v>
      </c>
      <c r="E190" s="3">
        <v>50000</v>
      </c>
      <c r="G190" s="3">
        <f t="shared" si="8"/>
        <v>1</v>
      </c>
    </row>
    <row r="191" spans="3:7">
      <c r="C191" s="3">
        <v>62</v>
      </c>
      <c r="D191" s="3" t="s">
        <v>614</v>
      </c>
      <c r="E191" s="3">
        <v>5</v>
      </c>
      <c r="G191" s="3">
        <f t="shared" si="8"/>
        <v>102</v>
      </c>
    </row>
    <row r="192" spans="3:7">
      <c r="C192" s="3">
        <v>63</v>
      </c>
      <c r="D192" s="3" t="s">
        <v>670</v>
      </c>
      <c r="E192" s="3">
        <v>5</v>
      </c>
      <c r="G192" s="3">
        <f t="shared" si="8"/>
        <v>110</v>
      </c>
    </row>
    <row r="193" spans="3:7">
      <c r="C193" s="3">
        <v>64</v>
      </c>
      <c r="D193" s="25" t="s">
        <v>605</v>
      </c>
      <c r="E193" s="3">
        <v>50</v>
      </c>
      <c r="G193" s="3">
        <f t="shared" si="8"/>
        <v>27</v>
      </c>
    </row>
    <row r="194" spans="3:7">
      <c r="C194" s="3">
        <v>65</v>
      </c>
      <c r="D194" s="3" t="s">
        <v>5</v>
      </c>
      <c r="E194" s="3">
        <v>50</v>
      </c>
      <c r="G194" s="3">
        <f t="shared" ref="G194:G229" si="9">VLOOKUP(D194,$A$130:$B$145,2,0)</f>
        <v>2</v>
      </c>
    </row>
    <row r="195" spans="3:7">
      <c r="C195" s="3">
        <v>66</v>
      </c>
      <c r="D195" s="3" t="s">
        <v>601</v>
      </c>
      <c r="E195" s="3">
        <v>50000</v>
      </c>
      <c r="G195" s="3">
        <f t="shared" si="9"/>
        <v>1</v>
      </c>
    </row>
    <row r="196" spans="3:7">
      <c r="C196" s="3">
        <v>67</v>
      </c>
      <c r="D196" s="3" t="s">
        <v>614</v>
      </c>
      <c r="E196" s="3">
        <v>5</v>
      </c>
      <c r="G196" s="3">
        <f t="shared" si="9"/>
        <v>102</v>
      </c>
    </row>
    <row r="197" spans="3:7">
      <c r="C197" s="3">
        <v>68</v>
      </c>
      <c r="D197" s="3" t="s">
        <v>670</v>
      </c>
      <c r="E197" s="3">
        <v>5</v>
      </c>
      <c r="G197" s="3">
        <f t="shared" si="9"/>
        <v>110</v>
      </c>
    </row>
    <row r="198" spans="3:7">
      <c r="C198" s="3">
        <v>69</v>
      </c>
      <c r="D198" s="25" t="s">
        <v>605</v>
      </c>
      <c r="E198" s="3">
        <v>50</v>
      </c>
      <c r="G198" s="3">
        <f t="shared" si="9"/>
        <v>27</v>
      </c>
    </row>
    <row r="199" spans="3:7">
      <c r="C199" s="3">
        <v>70</v>
      </c>
      <c r="D199" s="3" t="s">
        <v>6</v>
      </c>
      <c r="E199" s="3">
        <v>1</v>
      </c>
      <c r="G199" s="3">
        <f t="shared" si="9"/>
        <v>106</v>
      </c>
    </row>
    <row r="200" spans="3:7">
      <c r="C200" s="3">
        <v>71</v>
      </c>
      <c r="D200" s="3" t="s">
        <v>601</v>
      </c>
      <c r="E200" s="3">
        <v>50000</v>
      </c>
      <c r="G200" s="3">
        <f t="shared" si="9"/>
        <v>1</v>
      </c>
    </row>
    <row r="201" spans="3:7">
      <c r="C201" s="3">
        <v>72</v>
      </c>
      <c r="D201" s="3" t="s">
        <v>614</v>
      </c>
      <c r="E201" s="3">
        <v>5</v>
      </c>
      <c r="G201" s="3">
        <f t="shared" si="9"/>
        <v>102</v>
      </c>
    </row>
    <row r="202" spans="3:7">
      <c r="C202" s="3">
        <v>73</v>
      </c>
      <c r="D202" s="3" t="s">
        <v>670</v>
      </c>
      <c r="E202" s="3">
        <v>5</v>
      </c>
      <c r="G202" s="3">
        <f t="shared" si="9"/>
        <v>110</v>
      </c>
    </row>
    <row r="203" spans="3:7">
      <c r="C203" s="3">
        <v>74</v>
      </c>
      <c r="D203" s="25" t="s">
        <v>605</v>
      </c>
      <c r="E203" s="3">
        <v>50</v>
      </c>
      <c r="G203" s="3">
        <f t="shared" si="9"/>
        <v>27</v>
      </c>
    </row>
    <row r="204" spans="3:7">
      <c r="C204" s="3">
        <v>75</v>
      </c>
      <c r="D204" s="3" t="s">
        <v>5</v>
      </c>
      <c r="E204" s="3">
        <v>50</v>
      </c>
      <c r="G204" s="3">
        <f t="shared" si="9"/>
        <v>2</v>
      </c>
    </row>
    <row r="205" spans="3:7">
      <c r="C205" s="3">
        <v>76</v>
      </c>
      <c r="D205" s="3" t="s">
        <v>601</v>
      </c>
      <c r="E205" s="3">
        <v>50000</v>
      </c>
      <c r="G205" s="3">
        <f t="shared" si="9"/>
        <v>1</v>
      </c>
    </row>
    <row r="206" spans="3:7">
      <c r="C206" s="3">
        <v>77</v>
      </c>
      <c r="D206" s="3" t="s">
        <v>614</v>
      </c>
      <c r="E206" s="3">
        <v>5</v>
      </c>
      <c r="G206" s="3">
        <f t="shared" si="9"/>
        <v>102</v>
      </c>
    </row>
    <row r="207" spans="3:7">
      <c r="C207" s="3">
        <v>78</v>
      </c>
      <c r="D207" s="3" t="s">
        <v>670</v>
      </c>
      <c r="E207" s="3">
        <v>5</v>
      </c>
      <c r="G207" s="3">
        <f t="shared" si="9"/>
        <v>110</v>
      </c>
    </row>
    <row r="208" spans="3:7">
      <c r="C208" s="3">
        <v>79</v>
      </c>
      <c r="D208" s="25" t="s">
        <v>605</v>
      </c>
      <c r="E208" s="3">
        <v>50</v>
      </c>
      <c r="G208" s="3">
        <f t="shared" si="9"/>
        <v>27</v>
      </c>
    </row>
    <row r="209" spans="3:7">
      <c r="C209" s="3">
        <v>80</v>
      </c>
      <c r="D209" s="3" t="s">
        <v>6</v>
      </c>
      <c r="E209" s="3">
        <v>1</v>
      </c>
      <c r="G209" s="3">
        <f t="shared" si="9"/>
        <v>106</v>
      </c>
    </row>
    <row r="210" spans="3:7">
      <c r="C210" s="3">
        <v>81</v>
      </c>
      <c r="D210" s="3" t="s">
        <v>601</v>
      </c>
      <c r="E210" s="3">
        <v>50000</v>
      </c>
      <c r="G210" s="3">
        <f t="shared" si="9"/>
        <v>1</v>
      </c>
    </row>
    <row r="211" spans="3:7">
      <c r="C211" s="3">
        <v>82</v>
      </c>
      <c r="D211" s="3" t="s">
        <v>614</v>
      </c>
      <c r="E211" s="3">
        <v>5</v>
      </c>
      <c r="G211" s="3">
        <f t="shared" si="9"/>
        <v>102</v>
      </c>
    </row>
    <row r="212" spans="3:7">
      <c r="C212" s="3">
        <v>83</v>
      </c>
      <c r="D212" s="3" t="s">
        <v>670</v>
      </c>
      <c r="E212" s="3">
        <v>5</v>
      </c>
      <c r="G212" s="3">
        <f t="shared" si="9"/>
        <v>110</v>
      </c>
    </row>
    <row r="213" spans="3:7">
      <c r="C213" s="3">
        <v>84</v>
      </c>
      <c r="D213" s="25" t="s">
        <v>605</v>
      </c>
      <c r="E213" s="3">
        <v>50</v>
      </c>
      <c r="G213" s="3">
        <f t="shared" si="9"/>
        <v>27</v>
      </c>
    </row>
    <row r="214" spans="3:7">
      <c r="C214" s="3">
        <v>85</v>
      </c>
      <c r="D214" s="3" t="s">
        <v>5</v>
      </c>
      <c r="E214" s="3">
        <v>50</v>
      </c>
      <c r="G214" s="3">
        <f t="shared" si="9"/>
        <v>2</v>
      </c>
    </row>
    <row r="215" spans="3:7">
      <c r="C215" s="3">
        <v>86</v>
      </c>
      <c r="D215" s="3" t="s">
        <v>601</v>
      </c>
      <c r="E215" s="3">
        <v>50000</v>
      </c>
      <c r="G215" s="3">
        <f t="shared" si="9"/>
        <v>1</v>
      </c>
    </row>
    <row r="216" spans="3:7">
      <c r="C216" s="3">
        <v>87</v>
      </c>
      <c r="D216" s="3" t="s">
        <v>614</v>
      </c>
      <c r="E216" s="3">
        <v>5</v>
      </c>
      <c r="G216" s="3">
        <f t="shared" si="9"/>
        <v>102</v>
      </c>
    </row>
    <row r="217" spans="3:7">
      <c r="C217" s="3">
        <v>88</v>
      </c>
      <c r="D217" s="3" t="s">
        <v>670</v>
      </c>
      <c r="E217" s="3">
        <v>5</v>
      </c>
      <c r="G217" s="3">
        <f t="shared" si="9"/>
        <v>110</v>
      </c>
    </row>
    <row r="218" spans="3:7">
      <c r="C218" s="3">
        <v>89</v>
      </c>
      <c r="D218" s="25" t="s">
        <v>605</v>
      </c>
      <c r="E218" s="3">
        <v>50</v>
      </c>
      <c r="G218" s="3">
        <f t="shared" si="9"/>
        <v>27</v>
      </c>
    </row>
    <row r="219" spans="3:7">
      <c r="C219" s="3">
        <v>90</v>
      </c>
      <c r="D219" s="3" t="s">
        <v>6</v>
      </c>
      <c r="E219" s="3">
        <v>1</v>
      </c>
      <c r="G219" s="3">
        <f t="shared" si="9"/>
        <v>106</v>
      </c>
    </row>
    <row r="220" spans="3:7">
      <c r="C220" s="3">
        <v>91</v>
      </c>
      <c r="D220" s="3" t="s">
        <v>601</v>
      </c>
      <c r="E220" s="3">
        <v>50000</v>
      </c>
      <c r="G220" s="3">
        <f t="shared" si="9"/>
        <v>1</v>
      </c>
    </row>
    <row r="221" spans="3:7">
      <c r="C221" s="3">
        <v>92</v>
      </c>
      <c r="D221" s="3" t="s">
        <v>614</v>
      </c>
      <c r="E221" s="3">
        <v>5</v>
      </c>
      <c r="G221" s="3">
        <f t="shared" si="9"/>
        <v>102</v>
      </c>
    </row>
    <row r="222" spans="3:7">
      <c r="C222" s="3">
        <v>93</v>
      </c>
      <c r="D222" s="3" t="s">
        <v>670</v>
      </c>
      <c r="E222" s="3">
        <v>5</v>
      </c>
      <c r="G222" s="3">
        <f t="shared" si="9"/>
        <v>110</v>
      </c>
    </row>
    <row r="223" spans="3:7">
      <c r="C223" s="3">
        <v>94</v>
      </c>
      <c r="D223" s="25" t="s">
        <v>605</v>
      </c>
      <c r="E223" s="3">
        <v>50</v>
      </c>
      <c r="G223" s="3">
        <f t="shared" si="9"/>
        <v>27</v>
      </c>
    </row>
    <row r="224" spans="3:7">
      <c r="C224" s="3">
        <v>95</v>
      </c>
      <c r="D224" s="3" t="s">
        <v>5</v>
      </c>
      <c r="E224" s="3">
        <v>50</v>
      </c>
      <c r="G224" s="3">
        <f t="shared" si="9"/>
        <v>2</v>
      </c>
    </row>
    <row r="225" spans="3:7">
      <c r="C225" s="3">
        <v>96</v>
      </c>
      <c r="D225" s="3" t="s">
        <v>601</v>
      </c>
      <c r="E225" s="3">
        <v>50000</v>
      </c>
      <c r="G225" s="3">
        <f t="shared" si="9"/>
        <v>1</v>
      </c>
    </row>
    <row r="226" spans="3:7">
      <c r="C226" s="3">
        <v>97</v>
      </c>
      <c r="D226" s="3" t="s">
        <v>614</v>
      </c>
      <c r="E226" s="3">
        <v>5</v>
      </c>
      <c r="G226" s="3">
        <f t="shared" si="9"/>
        <v>102</v>
      </c>
    </row>
    <row r="227" spans="3:7">
      <c r="C227" s="3">
        <v>98</v>
      </c>
      <c r="D227" s="3" t="s">
        <v>670</v>
      </c>
      <c r="E227" s="3">
        <v>5</v>
      </c>
      <c r="G227" s="3">
        <f t="shared" si="9"/>
        <v>110</v>
      </c>
    </row>
    <row r="228" spans="3:7">
      <c r="C228" s="3">
        <v>99</v>
      </c>
      <c r="D228" s="25" t="s">
        <v>605</v>
      </c>
      <c r="E228" s="3">
        <v>50</v>
      </c>
      <c r="G228" s="3">
        <f t="shared" si="9"/>
        <v>27</v>
      </c>
    </row>
    <row r="229" spans="3:7">
      <c r="C229" s="3">
        <v>100</v>
      </c>
      <c r="D229" s="3" t="s">
        <v>6</v>
      </c>
      <c r="E229" s="3">
        <v>1</v>
      </c>
      <c r="G229" s="3">
        <f t="shared" si="9"/>
        <v>106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192"/>
  <sheetViews>
    <sheetView workbookViewId="0">
      <selection activeCell="P20" sqref="P20"/>
    </sheetView>
  </sheetViews>
  <sheetFormatPr defaultColWidth="9" defaultRowHeight="13.5"/>
  <cols>
    <col min="2" max="2" width="17.125" style="14" customWidth="1"/>
    <col min="4" max="4" width="11" style="14" customWidth="1"/>
    <col min="5" max="5" width="15.5" style="14" customWidth="1"/>
    <col min="6" max="6" width="16.375" style="14" customWidth="1"/>
    <col min="9" max="9" width="9.375" style="14" customWidth="1"/>
    <col min="11" max="11" width="15" style="14" customWidth="1"/>
  </cols>
  <sheetData>
    <row r="1" ht="16.5" customHeight="1" spans="2:17">
      <c r="B1" t="s">
        <v>589</v>
      </c>
      <c r="C1" t="s">
        <v>590</v>
      </c>
      <c r="E1" s="188" t="s">
        <v>1903</v>
      </c>
      <c r="K1" s="189" t="s">
        <v>1787</v>
      </c>
      <c r="N1" t="s">
        <v>1921</v>
      </c>
    </row>
    <row r="2" ht="16.5" customHeight="1" spans="2:17">
      <c r="B2" s="3" t="s">
        <v>5</v>
      </c>
      <c r="C2" s="3">
        <v>2</v>
      </c>
      <c r="E2" s="190">
        <v>24000001</v>
      </c>
      <c r="F2" t="str">
        <f t="array" ref="F2:F192">_xlfn.TOCOL(_xlfn.HSTACK(爬塔!C24:C123,爬塔!F24:F123),1)</f>
        <v>金币</v>
      </c>
      <c r="G2">
        <f t="shared" ref="G2:G65" si="0">VLOOKUP(F2,$B:$C,2,0)</f>
        <v>1</v>
      </c>
      <c r="H2">
        <f t="array" ref="H2:H192">_xlfn.TOCOL(_xlfn.HSTACK(爬塔!D24:D123,爬塔!G24:G123),1)</f>
        <v>15000</v>
      </c>
      <c r="I2">
        <f t="shared" ref="I2:I65" si="1">E2-24000000</f>
        <v>1</v>
      </c>
      <c r="J2" t="str">
        <f t="shared" ref="J2:J65" si="2">_xlfn.CONCAT("爬塔首通",I2)</f>
        <v>爬塔首通1</v>
      </c>
      <c r="K2" t="str">
        <f>爬塔!P52</f>
        <v>专武抽卡券限时</v>
      </c>
      <c r="L2">
        <f t="shared" ref="L2:L9" si="3">VLOOKUP(K2,$B:$C,2,0)</f>
        <v>112</v>
      </c>
      <c r="M2">
        <f>爬塔!Q52</f>
        <v>1</v>
      </c>
      <c r="N2" t="str">
        <f>_xlfn.CONCAT($N$1,爬塔!T52)</f>
        <v>27,30</v>
      </c>
      <c r="O2" t="str">
        <f>爬塔!W52</f>
        <v>每期限购</v>
      </c>
      <c r="P2" t="str">
        <f t="shared" ref="P2:P9" si="4">VLOOKUP(O2,$B:$C,2,0)</f>
        <v>BuyLimit_FourteenDay</v>
      </c>
      <c r="Q2">
        <f>爬塔!X52</f>
        <v>5</v>
      </c>
    </row>
    <row r="3" ht="16.5" customHeight="1" spans="2:17">
      <c r="B3" s="27" t="s">
        <v>1598</v>
      </c>
      <c r="C3" s="3">
        <v>100</v>
      </c>
      <c r="E3" s="190">
        <v>24000001</v>
      </c>
      <c r="F3" t="str">
        <v>专武抽卡券普通</v>
      </c>
      <c r="G3">
        <f t="shared" si="0"/>
        <v>107</v>
      </c>
      <c r="H3">
        <v>1</v>
      </c>
      <c r="I3">
        <f t="shared" si="1"/>
        <v>1</v>
      </c>
      <c r="J3" t="str">
        <f t="shared" si="2"/>
        <v>爬塔首通1</v>
      </c>
      <c r="K3" t="str">
        <f>爬塔!P53</f>
        <v>角色抽卡券限时</v>
      </c>
      <c r="L3">
        <f t="shared" si="3"/>
        <v>111</v>
      </c>
      <c r="M3">
        <f>爬塔!Q53</f>
        <v>1</v>
      </c>
      <c r="N3" t="str">
        <f>_xlfn.CONCAT($N$1,爬塔!T53)</f>
        <v>27,30</v>
      </c>
      <c r="O3" t="str">
        <f>爬塔!W53</f>
        <v>每期限购</v>
      </c>
      <c r="P3" t="str">
        <f t="shared" si="4"/>
        <v>BuyLimit_FourteenDay</v>
      </c>
      <c r="Q3">
        <f>爬塔!X53</f>
        <v>5</v>
      </c>
    </row>
    <row r="4" ht="16.5" customHeight="1" spans="2:17">
      <c r="B4" s="27" t="s">
        <v>613</v>
      </c>
      <c r="C4" s="3">
        <v>101</v>
      </c>
      <c r="E4" s="190">
        <v>24000002</v>
      </c>
      <c r="F4" t="str">
        <v>角色经验中2000</v>
      </c>
      <c r="G4">
        <f t="shared" si="0"/>
        <v>101</v>
      </c>
      <c r="H4">
        <v>9</v>
      </c>
      <c r="I4">
        <f t="shared" si="1"/>
        <v>2</v>
      </c>
      <c r="J4" t="str">
        <f t="shared" si="2"/>
        <v>爬塔首通2</v>
      </c>
      <c r="K4" t="str">
        <f>爬塔!P54</f>
        <v>专武抽卡券普通</v>
      </c>
      <c r="L4">
        <f t="shared" si="3"/>
        <v>107</v>
      </c>
      <c r="M4">
        <f>爬塔!Q54</f>
        <v>1</v>
      </c>
      <c r="N4" t="str">
        <f>_xlfn.CONCAT($N$1,爬塔!T54)</f>
        <v>27,30</v>
      </c>
      <c r="O4" t="str">
        <f>爬塔!W54</f>
        <v>每期限购</v>
      </c>
      <c r="P4" t="str">
        <f t="shared" si="4"/>
        <v>BuyLimit_FourteenDay</v>
      </c>
      <c r="Q4">
        <f>爬塔!X54</f>
        <v>10</v>
      </c>
    </row>
    <row r="5" ht="16.5" customHeight="1" spans="2:17">
      <c r="B5" s="27" t="s">
        <v>614</v>
      </c>
      <c r="C5" s="3">
        <v>102</v>
      </c>
      <c r="E5" s="190">
        <v>24000002</v>
      </c>
      <c r="F5" t="str">
        <v>专武抽卡券普通</v>
      </c>
      <c r="G5">
        <f t="shared" si="0"/>
        <v>107</v>
      </c>
      <c r="H5">
        <v>1</v>
      </c>
      <c r="I5">
        <f t="shared" si="1"/>
        <v>2</v>
      </c>
      <c r="J5" t="str">
        <f t="shared" si="2"/>
        <v>爬塔首通2</v>
      </c>
      <c r="K5" t="str">
        <f>爬塔!P55</f>
        <v>角色抽卡券普通</v>
      </c>
      <c r="L5">
        <f t="shared" si="3"/>
        <v>106</v>
      </c>
      <c r="M5">
        <f>爬塔!Q55</f>
        <v>1</v>
      </c>
      <c r="N5" t="str">
        <f>_xlfn.CONCAT($N$1,爬塔!T55)</f>
        <v>27,30</v>
      </c>
      <c r="O5" t="str">
        <f>爬塔!W55</f>
        <v>每期限购</v>
      </c>
      <c r="P5" t="str">
        <f t="shared" si="4"/>
        <v>BuyLimit_FourteenDay</v>
      </c>
      <c r="Q5">
        <f>爬塔!X55</f>
        <v>10</v>
      </c>
    </row>
    <row r="6" ht="16.5" customHeight="1" spans="2:17">
      <c r="B6" s="3" t="s">
        <v>1601</v>
      </c>
      <c r="C6" s="3">
        <v>1001</v>
      </c>
      <c r="E6" s="190">
        <v>24000003</v>
      </c>
      <c r="F6" t="str">
        <v>专武经验中4000</v>
      </c>
      <c r="G6">
        <f t="shared" si="0"/>
        <v>108</v>
      </c>
      <c r="H6">
        <v>9</v>
      </c>
      <c r="I6">
        <f t="shared" si="1"/>
        <v>3</v>
      </c>
      <c r="J6" t="str">
        <f t="shared" si="2"/>
        <v>爬塔首通3</v>
      </c>
      <c r="K6" t="str">
        <f>爬塔!P56</f>
        <v>额外星盘点</v>
      </c>
      <c r="L6">
        <f t="shared" si="3"/>
        <v>103</v>
      </c>
      <c r="M6">
        <f>爬塔!Q56</f>
        <v>1</v>
      </c>
      <c r="N6" t="str">
        <f>_xlfn.CONCAT($N$1,爬塔!T56)</f>
        <v>27,300</v>
      </c>
      <c r="O6" t="str">
        <f>爬塔!W56</f>
        <v>每期限购</v>
      </c>
      <c r="P6" t="str">
        <f t="shared" si="4"/>
        <v>BuyLimit_FourteenDay</v>
      </c>
      <c r="Q6">
        <f>爬塔!X56</f>
        <v>5</v>
      </c>
    </row>
    <row r="7" ht="16.5" customHeight="1" spans="2:17">
      <c r="B7" s="3" t="s">
        <v>1602</v>
      </c>
      <c r="C7" s="3">
        <v>1002</v>
      </c>
      <c r="E7" s="190">
        <v>24000003</v>
      </c>
      <c r="F7" t="str">
        <v>专武抽卡券普通</v>
      </c>
      <c r="G7">
        <f t="shared" si="0"/>
        <v>107</v>
      </c>
      <c r="H7">
        <v>1</v>
      </c>
      <c r="I7">
        <f t="shared" si="1"/>
        <v>3</v>
      </c>
      <c r="J7" t="str">
        <f t="shared" si="2"/>
        <v>爬塔首通3</v>
      </c>
      <c r="K7" t="str">
        <f>爬塔!P57</f>
        <v>金币</v>
      </c>
      <c r="L7">
        <f t="shared" si="3"/>
        <v>1</v>
      </c>
      <c r="M7">
        <f>爬塔!Q57</f>
        <v>1000</v>
      </c>
      <c r="N7" t="str">
        <f>_xlfn.CONCAT($N$1,爬塔!T57)</f>
        <v>27,1</v>
      </c>
      <c r="O7" t="str">
        <f>爬塔!W57</f>
        <v>每期限购</v>
      </c>
      <c r="P7" t="str">
        <f t="shared" si="4"/>
        <v>BuyLimit_FourteenDay</v>
      </c>
      <c r="Q7">
        <f>爬塔!X57</f>
        <v>150</v>
      </c>
    </row>
    <row r="8" ht="16.5" customHeight="1" spans="2:17">
      <c r="B8" s="3" t="s">
        <v>1603</v>
      </c>
      <c r="C8" s="3">
        <v>1003</v>
      </c>
      <c r="E8" s="190">
        <v>24000004</v>
      </c>
      <c r="F8" t="str">
        <v>爬塔代币</v>
      </c>
      <c r="G8">
        <f t="shared" si="0"/>
        <v>27</v>
      </c>
      <c r="H8">
        <v>60</v>
      </c>
      <c r="I8">
        <f t="shared" si="1"/>
        <v>4</v>
      </c>
      <c r="J8" t="str">
        <f t="shared" si="2"/>
        <v>爬塔首通4</v>
      </c>
      <c r="K8" t="str">
        <f>爬塔!P58</f>
        <v>角色经验中2000</v>
      </c>
      <c r="L8">
        <f t="shared" si="3"/>
        <v>101</v>
      </c>
      <c r="M8">
        <f>爬塔!Q58</f>
        <v>1</v>
      </c>
      <c r="N8" t="str">
        <f>_xlfn.CONCAT($N$1,爬塔!T58)</f>
        <v>27,2</v>
      </c>
      <c r="O8" t="str">
        <f>爬塔!W58</f>
        <v>每期限购</v>
      </c>
      <c r="P8" t="str">
        <f t="shared" si="4"/>
        <v>BuyLimit_FourteenDay</v>
      </c>
      <c r="Q8">
        <f>爬塔!X58</f>
        <v>150</v>
      </c>
    </row>
    <row r="9" ht="16.5" customHeight="1" spans="2:17">
      <c r="B9" s="3" t="s">
        <v>1604</v>
      </c>
      <c r="C9" s="3">
        <v>1004</v>
      </c>
      <c r="E9" s="190">
        <v>24000004</v>
      </c>
      <c r="F9" t="str">
        <v>专武抽卡券普通</v>
      </c>
      <c r="G9">
        <f t="shared" si="0"/>
        <v>107</v>
      </c>
      <c r="H9">
        <v>1</v>
      </c>
      <c r="I9">
        <f t="shared" si="1"/>
        <v>4</v>
      </c>
      <c r="J9" t="str">
        <f t="shared" si="2"/>
        <v>爬塔首通4</v>
      </c>
      <c r="K9" t="str">
        <f>爬塔!P59</f>
        <v>专武经验中4000</v>
      </c>
      <c r="L9">
        <f t="shared" si="3"/>
        <v>108</v>
      </c>
      <c r="M9">
        <f>爬塔!Q59</f>
        <v>1</v>
      </c>
      <c r="N9" t="str">
        <f>_xlfn.CONCAT($N$1,爬塔!T59)</f>
        <v>27,2</v>
      </c>
      <c r="O9" t="str">
        <f>爬塔!W59</f>
        <v>每期限购</v>
      </c>
      <c r="P9" t="str">
        <f t="shared" si="4"/>
        <v>BuyLimit_FourteenDay</v>
      </c>
      <c r="Q9">
        <f>爬塔!X59</f>
        <v>150</v>
      </c>
    </row>
    <row r="10" ht="16.5" customHeight="1" spans="2:17">
      <c r="B10" s="3" t="s">
        <v>1605</v>
      </c>
      <c r="C10" s="3">
        <v>1005</v>
      </c>
      <c r="E10" s="190">
        <v>24000005</v>
      </c>
      <c r="F10" t="str">
        <v>钻石</v>
      </c>
      <c r="G10">
        <f t="shared" si="0"/>
        <v>2</v>
      </c>
      <c r="H10">
        <v>500</v>
      </c>
      <c r="I10">
        <f t="shared" si="1"/>
        <v>5</v>
      </c>
      <c r="J10" t="str">
        <f t="shared" si="2"/>
        <v>爬塔首通5</v>
      </c>
    </row>
    <row r="11" ht="16.5" customHeight="1" spans="2:17">
      <c r="B11" s="3" t="s">
        <v>1606</v>
      </c>
      <c r="C11" s="3">
        <v>1006</v>
      </c>
      <c r="E11" s="190">
        <v>24000005</v>
      </c>
      <c r="F11" t="str">
        <v>专武抽卡券普通</v>
      </c>
      <c r="G11">
        <f t="shared" si="0"/>
        <v>107</v>
      </c>
      <c r="H11">
        <v>3</v>
      </c>
      <c r="I11">
        <f t="shared" si="1"/>
        <v>5</v>
      </c>
      <c r="J11" t="str">
        <f t="shared" si="2"/>
        <v>爬塔首通5</v>
      </c>
    </row>
    <row r="12" ht="16.5" customHeight="1" spans="2:17">
      <c r="B12" s="3" t="s">
        <v>1607</v>
      </c>
      <c r="C12" s="3">
        <v>1007</v>
      </c>
      <c r="E12" s="190">
        <v>24000006</v>
      </c>
      <c r="F12" t="str">
        <v>金币</v>
      </c>
      <c r="G12">
        <f t="shared" si="0"/>
        <v>1</v>
      </c>
      <c r="H12">
        <v>15000</v>
      </c>
      <c r="I12">
        <f t="shared" si="1"/>
        <v>6</v>
      </c>
      <c r="J12" t="str">
        <f t="shared" si="2"/>
        <v>爬塔首通6</v>
      </c>
    </row>
    <row r="13" ht="16.5" customHeight="1" spans="2:17">
      <c r="B13" s="3" t="s">
        <v>1608</v>
      </c>
      <c r="C13" s="3">
        <v>1008</v>
      </c>
      <c r="E13" s="190">
        <v>24000006</v>
      </c>
      <c r="F13" t="str">
        <v>专武抽卡券普通</v>
      </c>
      <c r="G13">
        <f t="shared" si="0"/>
        <v>107</v>
      </c>
      <c r="H13">
        <v>1</v>
      </c>
      <c r="I13">
        <f t="shared" si="1"/>
        <v>6</v>
      </c>
      <c r="J13" t="str">
        <f t="shared" si="2"/>
        <v>爬塔首通6</v>
      </c>
    </row>
    <row r="14" ht="16.5" customHeight="1" spans="2:17">
      <c r="B14" s="3" t="s">
        <v>1609</v>
      </c>
      <c r="C14" s="3">
        <v>1009</v>
      </c>
      <c r="E14" s="190">
        <v>24000007</v>
      </c>
      <c r="F14" t="str">
        <v>角色经验中2000</v>
      </c>
      <c r="G14">
        <f t="shared" si="0"/>
        <v>101</v>
      </c>
      <c r="H14">
        <v>9</v>
      </c>
      <c r="I14">
        <f t="shared" si="1"/>
        <v>7</v>
      </c>
      <c r="J14" t="str">
        <f t="shared" si="2"/>
        <v>爬塔首通7</v>
      </c>
    </row>
    <row r="15" ht="16.5" customHeight="1" spans="2:17">
      <c r="B15" s="3" t="s">
        <v>6</v>
      </c>
      <c r="C15" s="3">
        <v>106</v>
      </c>
      <c r="E15" s="190">
        <v>24000007</v>
      </c>
      <c r="F15" t="str">
        <v>专武抽卡券普通</v>
      </c>
      <c r="G15">
        <f t="shared" si="0"/>
        <v>107</v>
      </c>
      <c r="H15">
        <v>1</v>
      </c>
      <c r="I15">
        <f t="shared" si="1"/>
        <v>7</v>
      </c>
      <c r="J15" t="str">
        <f t="shared" si="2"/>
        <v>爬塔首通7</v>
      </c>
    </row>
    <row r="16" ht="16.5" customHeight="1" spans="2:17">
      <c r="B16" t="s">
        <v>728</v>
      </c>
      <c r="C16" s="3">
        <v>13</v>
      </c>
      <c r="E16" s="190">
        <v>24000008</v>
      </c>
      <c r="F16" t="str">
        <v>专武经验中4000</v>
      </c>
      <c r="G16">
        <f t="shared" si="0"/>
        <v>108</v>
      </c>
      <c r="H16">
        <v>9</v>
      </c>
      <c r="I16">
        <f t="shared" si="1"/>
        <v>8</v>
      </c>
      <c r="J16" t="str">
        <f t="shared" si="2"/>
        <v>爬塔首通8</v>
      </c>
    </row>
    <row r="17" ht="16.5" customHeight="1" spans="2:10">
      <c r="B17" s="3" t="s">
        <v>1611</v>
      </c>
      <c r="C17" s="3">
        <v>5</v>
      </c>
      <c r="E17" s="190">
        <v>24000008</v>
      </c>
      <c r="F17" t="str">
        <v>专武抽卡券普通</v>
      </c>
      <c r="G17">
        <f t="shared" si="0"/>
        <v>107</v>
      </c>
      <c r="H17">
        <v>1</v>
      </c>
      <c r="I17">
        <f t="shared" si="1"/>
        <v>8</v>
      </c>
      <c r="J17" t="str">
        <f t="shared" si="2"/>
        <v>爬塔首通8</v>
      </c>
    </row>
    <row r="18" ht="17.25" customHeight="1" spans="2:10">
      <c r="B18" s="3" t="s">
        <v>1612</v>
      </c>
      <c r="C18" s="15">
        <v>1010</v>
      </c>
      <c r="E18" s="190">
        <v>24000009</v>
      </c>
      <c r="F18" t="str">
        <v>爬塔代币</v>
      </c>
      <c r="G18">
        <f t="shared" si="0"/>
        <v>27</v>
      </c>
      <c r="H18">
        <v>60</v>
      </c>
      <c r="I18">
        <f t="shared" si="1"/>
        <v>9</v>
      </c>
      <c r="J18" t="str">
        <f t="shared" si="2"/>
        <v>爬塔首通9</v>
      </c>
    </row>
    <row r="19" ht="17.25" customHeight="1" spans="2:10">
      <c r="B19" s="3" t="s">
        <v>1613</v>
      </c>
      <c r="C19" s="15">
        <v>1011</v>
      </c>
      <c r="E19" s="190">
        <v>24000009</v>
      </c>
      <c r="F19" t="str">
        <v>专武抽卡券普通</v>
      </c>
      <c r="G19">
        <f t="shared" si="0"/>
        <v>107</v>
      </c>
      <c r="H19">
        <v>1</v>
      </c>
      <c r="I19">
        <f t="shared" si="1"/>
        <v>9</v>
      </c>
      <c r="J19" t="str">
        <f t="shared" si="2"/>
        <v>爬塔首通9</v>
      </c>
    </row>
    <row r="20" ht="17.25" customHeight="1" spans="2:10">
      <c r="B20" s="3" t="s">
        <v>1614</v>
      </c>
      <c r="C20" s="15">
        <v>1012</v>
      </c>
      <c r="E20" s="190">
        <v>24000010</v>
      </c>
      <c r="F20" t="str">
        <v>专武抽卡券限时</v>
      </c>
      <c r="G20">
        <f t="shared" si="0"/>
        <v>112</v>
      </c>
      <c r="H20">
        <v>10</v>
      </c>
      <c r="I20">
        <f t="shared" si="1"/>
        <v>10</v>
      </c>
      <c r="J20" t="str">
        <f t="shared" si="2"/>
        <v>爬塔首通10</v>
      </c>
    </row>
    <row r="21" ht="17.25" customHeight="1" spans="2:10">
      <c r="B21" s="3" t="s">
        <v>1615</v>
      </c>
      <c r="C21" s="15">
        <v>1013</v>
      </c>
      <c r="E21" s="190">
        <v>24000011</v>
      </c>
      <c r="F21" t="str">
        <v>金币</v>
      </c>
      <c r="G21">
        <f t="shared" si="0"/>
        <v>1</v>
      </c>
      <c r="H21">
        <v>30000</v>
      </c>
      <c r="I21">
        <f t="shared" si="1"/>
        <v>11</v>
      </c>
      <c r="J21" t="str">
        <f t="shared" si="2"/>
        <v>爬塔首通11</v>
      </c>
    </row>
    <row r="22" ht="17.25" customHeight="1" spans="2:10">
      <c r="B22" s="3" t="s">
        <v>1616</v>
      </c>
      <c r="C22" s="15">
        <v>1014</v>
      </c>
      <c r="E22" s="190">
        <v>24000011</v>
      </c>
      <c r="F22" t="str">
        <v>专武抽卡券普通</v>
      </c>
      <c r="G22">
        <f t="shared" si="0"/>
        <v>107</v>
      </c>
      <c r="H22">
        <v>1</v>
      </c>
      <c r="I22">
        <f t="shared" si="1"/>
        <v>11</v>
      </c>
      <c r="J22" t="str">
        <f t="shared" si="2"/>
        <v>爬塔首通11</v>
      </c>
    </row>
    <row r="23" ht="17.25" customHeight="1" spans="2:10">
      <c r="B23" s="3" t="s">
        <v>1617</v>
      </c>
      <c r="C23" s="15">
        <v>1015</v>
      </c>
      <c r="E23" s="190">
        <v>24000012</v>
      </c>
      <c r="F23" t="str">
        <v>角色经验高10000</v>
      </c>
      <c r="G23">
        <f t="shared" si="0"/>
        <v>102</v>
      </c>
      <c r="H23">
        <v>3</v>
      </c>
      <c r="I23">
        <f t="shared" si="1"/>
        <v>12</v>
      </c>
      <c r="J23" t="str">
        <f t="shared" si="2"/>
        <v>爬塔首通12</v>
      </c>
    </row>
    <row r="24" ht="17.25" customHeight="1" spans="2:10">
      <c r="B24" s="3" t="s">
        <v>1618</v>
      </c>
      <c r="C24" s="15">
        <v>1016</v>
      </c>
      <c r="E24" s="190">
        <v>24000012</v>
      </c>
      <c r="F24" t="str">
        <v>专武抽卡券普通</v>
      </c>
      <c r="G24">
        <f t="shared" si="0"/>
        <v>107</v>
      </c>
      <c r="H24">
        <v>1</v>
      </c>
      <c r="I24">
        <f t="shared" si="1"/>
        <v>12</v>
      </c>
      <c r="J24" t="str">
        <f t="shared" si="2"/>
        <v>爬塔首通12</v>
      </c>
    </row>
    <row r="25" ht="17.25" customHeight="1" spans="2:10">
      <c r="B25" s="3" t="s">
        <v>1619</v>
      </c>
      <c r="C25" s="15">
        <v>1017</v>
      </c>
      <c r="E25" s="190">
        <v>24000013</v>
      </c>
      <c r="F25" t="str">
        <v>专武经验高20000</v>
      </c>
      <c r="G25">
        <f t="shared" si="0"/>
        <v>110</v>
      </c>
      <c r="H25">
        <v>3</v>
      </c>
      <c r="I25">
        <f t="shared" si="1"/>
        <v>13</v>
      </c>
      <c r="J25" t="str">
        <f t="shared" si="2"/>
        <v>爬塔首通13</v>
      </c>
    </row>
    <row r="26" ht="17.25" customHeight="1" spans="2:10">
      <c r="B26" s="3" t="s">
        <v>1620</v>
      </c>
      <c r="C26" s="15">
        <v>1018</v>
      </c>
      <c r="E26" s="190">
        <v>24000013</v>
      </c>
      <c r="F26" t="str">
        <v>专武抽卡券普通</v>
      </c>
      <c r="G26">
        <f t="shared" si="0"/>
        <v>107</v>
      </c>
      <c r="H26">
        <v>1</v>
      </c>
      <c r="I26">
        <f t="shared" si="1"/>
        <v>13</v>
      </c>
      <c r="J26" t="str">
        <f t="shared" si="2"/>
        <v>爬塔首通13</v>
      </c>
    </row>
    <row r="27" ht="17.25" customHeight="1" spans="2:10">
      <c r="B27" s="3" t="s">
        <v>1621</v>
      </c>
      <c r="C27" s="15">
        <v>2502</v>
      </c>
      <c r="E27" s="190">
        <v>24000014</v>
      </c>
      <c r="F27" t="str">
        <v>爬塔代币</v>
      </c>
      <c r="G27">
        <f t="shared" si="0"/>
        <v>27</v>
      </c>
      <c r="H27">
        <v>75</v>
      </c>
      <c r="I27">
        <f t="shared" si="1"/>
        <v>14</v>
      </c>
      <c r="J27" t="str">
        <f t="shared" si="2"/>
        <v>爬塔首通14</v>
      </c>
    </row>
    <row r="28" ht="17.25" customHeight="1" spans="2:10">
      <c r="B28" s="3" t="s">
        <v>1622</v>
      </c>
      <c r="C28" s="15">
        <v>2503</v>
      </c>
      <c r="E28" s="190">
        <v>24000014</v>
      </c>
      <c r="F28" t="str">
        <v>专武抽卡券普通</v>
      </c>
      <c r="G28">
        <f t="shared" si="0"/>
        <v>107</v>
      </c>
      <c r="H28">
        <v>1</v>
      </c>
      <c r="I28">
        <f t="shared" si="1"/>
        <v>14</v>
      </c>
      <c r="J28" t="str">
        <f t="shared" si="2"/>
        <v>爬塔首通14</v>
      </c>
    </row>
    <row r="29" ht="17.25" customHeight="1" spans="2:10">
      <c r="B29" s="3" t="s">
        <v>1623</v>
      </c>
      <c r="C29" s="15">
        <v>1019</v>
      </c>
      <c r="E29" s="190">
        <v>24000015</v>
      </c>
      <c r="F29" t="str">
        <v>钻石</v>
      </c>
      <c r="G29">
        <f t="shared" si="0"/>
        <v>2</v>
      </c>
      <c r="H29">
        <v>500</v>
      </c>
      <c r="I29">
        <f t="shared" si="1"/>
        <v>15</v>
      </c>
      <c r="J29" t="str">
        <f t="shared" si="2"/>
        <v>爬塔首通15</v>
      </c>
    </row>
    <row r="30" ht="17.25" customHeight="1" spans="2:10">
      <c r="B30" s="3" t="s">
        <v>1624</v>
      </c>
      <c r="C30" s="15">
        <v>1022</v>
      </c>
      <c r="E30" s="190">
        <v>24000015</v>
      </c>
      <c r="F30" t="str">
        <v>额外星盘点</v>
      </c>
      <c r="G30">
        <f t="shared" si="0"/>
        <v>103</v>
      </c>
      <c r="H30">
        <v>1</v>
      </c>
      <c r="I30">
        <f t="shared" si="1"/>
        <v>15</v>
      </c>
      <c r="J30" t="str">
        <f t="shared" si="2"/>
        <v>爬塔首通15</v>
      </c>
    </row>
    <row r="31" ht="17.25" customHeight="1" spans="2:10">
      <c r="B31" s="3" t="s">
        <v>1625</v>
      </c>
      <c r="C31" s="15">
        <v>1020</v>
      </c>
      <c r="E31" s="190">
        <v>24000016</v>
      </c>
      <c r="F31" t="str">
        <v>金币</v>
      </c>
      <c r="G31">
        <f t="shared" si="0"/>
        <v>1</v>
      </c>
      <c r="H31">
        <v>30000</v>
      </c>
      <c r="I31">
        <f t="shared" si="1"/>
        <v>16</v>
      </c>
      <c r="J31" t="str">
        <f t="shared" si="2"/>
        <v>爬塔首通16</v>
      </c>
    </row>
    <row r="32" ht="17.25" customHeight="1" spans="2:10">
      <c r="B32" s="3" t="s">
        <v>1626</v>
      </c>
      <c r="C32" s="15">
        <v>1023</v>
      </c>
      <c r="E32" s="190">
        <v>24000016</v>
      </c>
      <c r="F32" t="str">
        <v>专武抽卡券普通</v>
      </c>
      <c r="G32">
        <f t="shared" si="0"/>
        <v>107</v>
      </c>
      <c r="H32">
        <v>1</v>
      </c>
      <c r="I32">
        <f t="shared" si="1"/>
        <v>16</v>
      </c>
      <c r="J32" t="str">
        <f t="shared" si="2"/>
        <v>爬塔首通16</v>
      </c>
    </row>
    <row r="33" ht="17.25" customHeight="1" spans="2:10">
      <c r="B33" s="3" t="s">
        <v>1627</v>
      </c>
      <c r="C33" s="15">
        <v>1021</v>
      </c>
      <c r="E33" s="190">
        <v>24000017</v>
      </c>
      <c r="F33" t="str">
        <v>角色经验高10000</v>
      </c>
      <c r="G33">
        <f t="shared" si="0"/>
        <v>102</v>
      </c>
      <c r="H33">
        <v>3</v>
      </c>
      <c r="I33">
        <f t="shared" si="1"/>
        <v>17</v>
      </c>
      <c r="J33" t="str">
        <f t="shared" si="2"/>
        <v>爬塔首通17</v>
      </c>
    </row>
    <row r="34" ht="17.25" customHeight="1" spans="2:10">
      <c r="B34" s="3" t="s">
        <v>1628</v>
      </c>
      <c r="C34" s="15">
        <v>1024</v>
      </c>
      <c r="E34" s="190">
        <v>24000017</v>
      </c>
      <c r="F34" t="str">
        <v>专武抽卡券普通</v>
      </c>
      <c r="G34">
        <f t="shared" si="0"/>
        <v>107</v>
      </c>
      <c r="H34">
        <v>1</v>
      </c>
      <c r="I34">
        <f t="shared" si="1"/>
        <v>17</v>
      </c>
      <c r="J34" t="str">
        <f t="shared" si="2"/>
        <v>爬塔首通17</v>
      </c>
    </row>
    <row r="35" ht="17.25" customHeight="1" spans="2:10">
      <c r="B35" s="3" t="s">
        <v>1629</v>
      </c>
      <c r="C35" s="15">
        <v>1025</v>
      </c>
      <c r="E35" s="190">
        <v>24000018</v>
      </c>
      <c r="F35" t="str">
        <v>专武经验高20000</v>
      </c>
      <c r="G35">
        <f t="shared" si="0"/>
        <v>110</v>
      </c>
      <c r="H35">
        <v>3</v>
      </c>
      <c r="I35">
        <f t="shared" si="1"/>
        <v>18</v>
      </c>
      <c r="J35" t="str">
        <f t="shared" si="2"/>
        <v>爬塔首通18</v>
      </c>
    </row>
    <row r="36" ht="17.25" customHeight="1" spans="2:10">
      <c r="B36" s="3" t="s">
        <v>1630</v>
      </c>
      <c r="C36" s="15">
        <v>1028</v>
      </c>
      <c r="E36" s="190">
        <v>24000018</v>
      </c>
      <c r="F36" t="str">
        <v>专武抽卡券普通</v>
      </c>
      <c r="G36">
        <f t="shared" si="0"/>
        <v>107</v>
      </c>
      <c r="H36">
        <v>1</v>
      </c>
      <c r="I36">
        <f t="shared" si="1"/>
        <v>18</v>
      </c>
      <c r="J36" t="str">
        <f t="shared" si="2"/>
        <v>爬塔首通18</v>
      </c>
    </row>
    <row r="37" ht="17.25" customHeight="1" spans="2:10">
      <c r="B37" s="3" t="s">
        <v>1631</v>
      </c>
      <c r="C37" s="15">
        <v>1026</v>
      </c>
      <c r="E37" s="190">
        <v>24000019</v>
      </c>
      <c r="F37" t="str">
        <v>爬塔代币</v>
      </c>
      <c r="G37">
        <f t="shared" si="0"/>
        <v>27</v>
      </c>
      <c r="H37">
        <v>75</v>
      </c>
      <c r="I37">
        <f t="shared" si="1"/>
        <v>19</v>
      </c>
      <c r="J37" t="str">
        <f t="shared" si="2"/>
        <v>爬塔首通19</v>
      </c>
    </row>
    <row r="38" ht="17.25" customHeight="1" spans="2:10">
      <c r="B38" s="3" t="s">
        <v>1632</v>
      </c>
      <c r="C38" s="15">
        <v>1029</v>
      </c>
      <c r="E38" s="190">
        <v>24000019</v>
      </c>
      <c r="F38" t="str">
        <v>专武抽卡券普通</v>
      </c>
      <c r="G38">
        <f t="shared" si="0"/>
        <v>107</v>
      </c>
      <c r="H38">
        <v>1</v>
      </c>
      <c r="I38">
        <f t="shared" si="1"/>
        <v>19</v>
      </c>
      <c r="J38" t="str">
        <f t="shared" si="2"/>
        <v>爬塔首通19</v>
      </c>
    </row>
    <row r="39" ht="17.25" customHeight="1" spans="2:10">
      <c r="B39" s="3" t="s">
        <v>1633</v>
      </c>
      <c r="C39" s="15">
        <v>1027</v>
      </c>
      <c r="E39" s="190">
        <v>24000020</v>
      </c>
      <c r="F39" t="str">
        <v>角色抽卡券限时</v>
      </c>
      <c r="G39">
        <f t="shared" si="0"/>
        <v>111</v>
      </c>
      <c r="H39">
        <v>10</v>
      </c>
      <c r="I39">
        <f t="shared" si="1"/>
        <v>20</v>
      </c>
      <c r="J39" t="str">
        <f t="shared" si="2"/>
        <v>爬塔首通20</v>
      </c>
    </row>
    <row r="40" ht="17.25" customHeight="1" spans="2:10">
      <c r="B40" s="3" t="s">
        <v>1634</v>
      </c>
      <c r="C40" s="15">
        <v>1030</v>
      </c>
      <c r="E40" s="190">
        <v>24000021</v>
      </c>
      <c r="F40" t="str">
        <v>金币</v>
      </c>
      <c r="G40">
        <f t="shared" si="0"/>
        <v>1</v>
      </c>
      <c r="H40">
        <v>60000</v>
      </c>
      <c r="I40">
        <f t="shared" si="1"/>
        <v>21</v>
      </c>
      <c r="J40" t="str">
        <f t="shared" si="2"/>
        <v>爬塔首通21</v>
      </c>
    </row>
    <row r="41" ht="16.5" customHeight="1" spans="2:10">
      <c r="B41" s="3" t="s">
        <v>1635</v>
      </c>
      <c r="C41" s="3">
        <f t="shared" ref="C41:C52" si="5">C35+6</f>
        <v>1031</v>
      </c>
      <c r="E41" s="190">
        <v>24000021</v>
      </c>
      <c r="F41" t="str">
        <v>专武抽卡券普通</v>
      </c>
      <c r="G41">
        <f t="shared" si="0"/>
        <v>107</v>
      </c>
      <c r="H41">
        <v>1</v>
      </c>
      <c r="I41">
        <f t="shared" si="1"/>
        <v>21</v>
      </c>
      <c r="J41" t="str">
        <f t="shared" si="2"/>
        <v>爬塔首通21</v>
      </c>
    </row>
    <row r="42" ht="16.5" customHeight="1" spans="2:10">
      <c r="B42" s="3" t="s">
        <v>1636</v>
      </c>
      <c r="C42" s="3">
        <f t="shared" si="5"/>
        <v>1034</v>
      </c>
      <c r="E42" s="190">
        <v>24000022</v>
      </c>
      <c r="F42" t="str">
        <v>角色经验高10000</v>
      </c>
      <c r="G42">
        <f t="shared" si="0"/>
        <v>102</v>
      </c>
      <c r="H42">
        <v>6</v>
      </c>
      <c r="I42">
        <f t="shared" si="1"/>
        <v>22</v>
      </c>
      <c r="J42" t="str">
        <f t="shared" si="2"/>
        <v>爬塔首通22</v>
      </c>
    </row>
    <row r="43" ht="16.5" customHeight="1" spans="2:10">
      <c r="B43" s="3" t="s">
        <v>1637</v>
      </c>
      <c r="C43" s="3">
        <f t="shared" si="5"/>
        <v>1032</v>
      </c>
      <c r="E43" s="190">
        <v>24000022</v>
      </c>
      <c r="F43" t="str">
        <v>专武抽卡券普通</v>
      </c>
      <c r="G43">
        <f t="shared" si="0"/>
        <v>107</v>
      </c>
      <c r="H43">
        <v>1</v>
      </c>
      <c r="I43">
        <f t="shared" si="1"/>
        <v>22</v>
      </c>
      <c r="J43" t="str">
        <f t="shared" si="2"/>
        <v>爬塔首通22</v>
      </c>
    </row>
    <row r="44" ht="16.5" customHeight="1" spans="2:10">
      <c r="B44" s="3" t="s">
        <v>1638</v>
      </c>
      <c r="C44" s="3">
        <f t="shared" si="5"/>
        <v>1035</v>
      </c>
      <c r="E44" s="190">
        <v>24000023</v>
      </c>
      <c r="F44" t="str">
        <v>专武经验高20000</v>
      </c>
      <c r="G44">
        <f t="shared" si="0"/>
        <v>110</v>
      </c>
      <c r="H44">
        <v>6</v>
      </c>
      <c r="I44">
        <f t="shared" si="1"/>
        <v>23</v>
      </c>
      <c r="J44" t="str">
        <f t="shared" si="2"/>
        <v>爬塔首通23</v>
      </c>
    </row>
    <row r="45" ht="16.5" customHeight="1" spans="2:10">
      <c r="B45" s="3" t="s">
        <v>1639</v>
      </c>
      <c r="C45" s="3">
        <f t="shared" si="5"/>
        <v>1033</v>
      </c>
      <c r="E45" s="190">
        <v>24000023</v>
      </c>
      <c r="F45" t="str">
        <v>专武抽卡券普通</v>
      </c>
      <c r="G45">
        <f t="shared" si="0"/>
        <v>107</v>
      </c>
      <c r="H45">
        <v>1</v>
      </c>
      <c r="I45">
        <f t="shared" si="1"/>
        <v>23</v>
      </c>
      <c r="J45" t="str">
        <f t="shared" si="2"/>
        <v>爬塔首通23</v>
      </c>
    </row>
    <row r="46" ht="16.5" customHeight="1" spans="2:10">
      <c r="B46" s="3" t="s">
        <v>1640</v>
      </c>
      <c r="C46" s="3">
        <f t="shared" si="5"/>
        <v>1036</v>
      </c>
      <c r="E46" s="190">
        <v>24000024</v>
      </c>
      <c r="F46" t="str">
        <v>爬塔代币</v>
      </c>
      <c r="G46">
        <f t="shared" si="0"/>
        <v>27</v>
      </c>
      <c r="H46">
        <v>90</v>
      </c>
      <c r="I46">
        <f t="shared" si="1"/>
        <v>24</v>
      </c>
      <c r="J46" t="str">
        <f t="shared" si="2"/>
        <v>爬塔首通24</v>
      </c>
    </row>
    <row r="47" ht="16.5" customHeight="1" spans="2:10">
      <c r="B47" s="3" t="s">
        <v>1641</v>
      </c>
      <c r="C47" s="3">
        <f t="shared" si="5"/>
        <v>1037</v>
      </c>
      <c r="E47" s="190">
        <v>24000024</v>
      </c>
      <c r="F47" t="str">
        <v>专武抽卡券普通</v>
      </c>
      <c r="G47">
        <f t="shared" si="0"/>
        <v>107</v>
      </c>
      <c r="H47">
        <v>1</v>
      </c>
      <c r="I47">
        <f t="shared" si="1"/>
        <v>24</v>
      </c>
      <c r="J47" t="str">
        <f t="shared" si="2"/>
        <v>爬塔首通24</v>
      </c>
    </row>
    <row r="48" ht="16.5" customHeight="1" spans="2:10">
      <c r="B48" s="3" t="s">
        <v>1642</v>
      </c>
      <c r="C48" s="3">
        <f t="shared" si="5"/>
        <v>1040</v>
      </c>
      <c r="E48" s="190">
        <v>24000025</v>
      </c>
      <c r="F48" t="str">
        <v>钻石</v>
      </c>
      <c r="G48">
        <f t="shared" si="0"/>
        <v>2</v>
      </c>
      <c r="H48">
        <v>500</v>
      </c>
      <c r="I48">
        <f t="shared" si="1"/>
        <v>25</v>
      </c>
      <c r="J48" t="str">
        <f t="shared" si="2"/>
        <v>爬塔首通25</v>
      </c>
    </row>
    <row r="49" ht="16.5" customHeight="1" spans="2:10">
      <c r="B49" s="3" t="s">
        <v>1643</v>
      </c>
      <c r="C49" s="3">
        <f t="shared" si="5"/>
        <v>1038</v>
      </c>
      <c r="E49" s="190">
        <v>24000025</v>
      </c>
      <c r="F49" t="str">
        <v>专武抽卡券普通</v>
      </c>
      <c r="G49">
        <f t="shared" si="0"/>
        <v>107</v>
      </c>
      <c r="H49">
        <v>3</v>
      </c>
      <c r="I49">
        <f t="shared" si="1"/>
        <v>25</v>
      </c>
      <c r="J49" t="str">
        <f t="shared" si="2"/>
        <v>爬塔首通25</v>
      </c>
    </row>
    <row r="50" ht="16.5" customHeight="1" spans="2:10">
      <c r="B50" s="3" t="s">
        <v>1644</v>
      </c>
      <c r="C50" s="3">
        <f t="shared" si="5"/>
        <v>1041</v>
      </c>
      <c r="E50" s="190">
        <v>24000026</v>
      </c>
      <c r="F50" t="str">
        <v>金币</v>
      </c>
      <c r="G50">
        <f t="shared" si="0"/>
        <v>1</v>
      </c>
      <c r="H50">
        <v>60000</v>
      </c>
      <c r="I50">
        <f t="shared" si="1"/>
        <v>26</v>
      </c>
      <c r="J50" t="str">
        <f t="shared" si="2"/>
        <v>爬塔首通26</v>
      </c>
    </row>
    <row r="51" ht="16.5" customHeight="1" spans="2:10">
      <c r="B51" s="3" t="s">
        <v>1645</v>
      </c>
      <c r="C51" s="3">
        <f t="shared" si="5"/>
        <v>1039</v>
      </c>
      <c r="E51" s="190">
        <v>24000026</v>
      </c>
      <c r="F51" t="str">
        <v>专武抽卡券普通</v>
      </c>
      <c r="G51">
        <f t="shared" si="0"/>
        <v>107</v>
      </c>
      <c r="H51">
        <v>1</v>
      </c>
      <c r="I51">
        <f t="shared" si="1"/>
        <v>26</v>
      </c>
      <c r="J51" t="str">
        <f t="shared" si="2"/>
        <v>爬塔首通26</v>
      </c>
    </row>
    <row r="52" ht="16.5" customHeight="1" spans="2:10">
      <c r="B52" s="3" t="s">
        <v>1646</v>
      </c>
      <c r="C52" s="3">
        <f t="shared" si="5"/>
        <v>1042</v>
      </c>
      <c r="E52" s="190">
        <v>24000027</v>
      </c>
      <c r="F52" t="str">
        <v>角色经验高10000</v>
      </c>
      <c r="G52">
        <f t="shared" si="0"/>
        <v>102</v>
      </c>
      <c r="H52">
        <v>6</v>
      </c>
      <c r="I52">
        <f t="shared" si="1"/>
        <v>27</v>
      </c>
      <c r="J52" t="str">
        <f t="shared" si="2"/>
        <v>爬塔首通27</v>
      </c>
    </row>
    <row r="53" ht="21" customHeight="1" spans="2:10">
      <c r="B53" t="s">
        <v>601</v>
      </c>
      <c r="C53">
        <v>1</v>
      </c>
      <c r="E53" s="190">
        <v>24000027</v>
      </c>
      <c r="F53" t="str">
        <v>专武抽卡券普通</v>
      </c>
      <c r="G53">
        <f t="shared" si="0"/>
        <v>107</v>
      </c>
      <c r="H53">
        <v>1</v>
      </c>
      <c r="I53">
        <f t="shared" si="1"/>
        <v>27</v>
      </c>
      <c r="J53" t="str">
        <f t="shared" si="2"/>
        <v>爬塔首通27</v>
      </c>
    </row>
    <row r="54" ht="21" customHeight="1" spans="2:10">
      <c r="B54" t="s">
        <v>665</v>
      </c>
      <c r="C54">
        <v>103</v>
      </c>
      <c r="E54" s="190">
        <v>24000028</v>
      </c>
      <c r="F54" t="str">
        <v>专武经验高20000</v>
      </c>
      <c r="G54">
        <f t="shared" si="0"/>
        <v>110</v>
      </c>
      <c r="H54">
        <v>6</v>
      </c>
      <c r="I54">
        <f t="shared" si="1"/>
        <v>28</v>
      </c>
      <c r="J54" t="str">
        <f t="shared" si="2"/>
        <v>爬塔首通28</v>
      </c>
    </row>
    <row r="55" ht="21" customHeight="1" spans="2:10">
      <c r="B55" t="s">
        <v>670</v>
      </c>
      <c r="C55">
        <v>110</v>
      </c>
      <c r="E55" s="190">
        <v>24000028</v>
      </c>
      <c r="F55" t="str">
        <v>专武抽卡券普通</v>
      </c>
      <c r="G55">
        <f t="shared" si="0"/>
        <v>107</v>
      </c>
      <c r="H55">
        <v>1</v>
      </c>
      <c r="I55">
        <f t="shared" si="1"/>
        <v>28</v>
      </c>
      <c r="J55" t="str">
        <f t="shared" si="2"/>
        <v>爬塔首通28</v>
      </c>
    </row>
    <row r="56" ht="21" customHeight="1" spans="2:10">
      <c r="B56" t="s">
        <v>700</v>
      </c>
      <c r="C56">
        <v>6</v>
      </c>
      <c r="E56" s="190">
        <v>24000029</v>
      </c>
      <c r="F56" t="str">
        <v>爬塔代币</v>
      </c>
      <c r="G56">
        <f t="shared" si="0"/>
        <v>27</v>
      </c>
      <c r="H56">
        <v>90</v>
      </c>
      <c r="I56">
        <f t="shared" si="1"/>
        <v>29</v>
      </c>
      <c r="J56" t="str">
        <f t="shared" si="2"/>
        <v>爬塔首通29</v>
      </c>
    </row>
    <row r="57" ht="21" customHeight="1" spans="2:10">
      <c r="B57" t="s">
        <v>7</v>
      </c>
      <c r="C57">
        <v>107</v>
      </c>
      <c r="E57" s="190">
        <v>24000029</v>
      </c>
      <c r="F57" t="str">
        <v>专武抽卡券普通</v>
      </c>
      <c r="G57">
        <f t="shared" si="0"/>
        <v>107</v>
      </c>
      <c r="H57">
        <v>1</v>
      </c>
      <c r="I57">
        <f t="shared" si="1"/>
        <v>29</v>
      </c>
      <c r="J57" t="str">
        <f t="shared" si="2"/>
        <v>爬塔首通29</v>
      </c>
    </row>
    <row r="58" ht="17.25" customHeight="1" spans="2:10">
      <c r="B58" t="s">
        <v>633</v>
      </c>
      <c r="C58" s="191">
        <v>3015</v>
      </c>
      <c r="E58" s="190">
        <v>24000030</v>
      </c>
      <c r="F58" t="str">
        <v>专武抽卡券限时</v>
      </c>
      <c r="G58">
        <f t="shared" si="0"/>
        <v>112</v>
      </c>
      <c r="H58">
        <v>10</v>
      </c>
      <c r="I58">
        <f t="shared" si="1"/>
        <v>30</v>
      </c>
      <c r="J58" t="str">
        <f t="shared" si="2"/>
        <v>爬塔首通30</v>
      </c>
    </row>
    <row r="59" ht="17.25" customHeight="1" spans="2:10">
      <c r="B59" t="s">
        <v>634</v>
      </c>
      <c r="C59" s="191">
        <v>3016</v>
      </c>
      <c r="E59" s="190">
        <v>24000031</v>
      </c>
      <c r="F59" t="str">
        <v>金币</v>
      </c>
      <c r="G59">
        <f t="shared" si="0"/>
        <v>1</v>
      </c>
      <c r="H59">
        <v>90000</v>
      </c>
      <c r="I59">
        <f t="shared" si="1"/>
        <v>31</v>
      </c>
      <c r="J59" t="str">
        <f t="shared" si="2"/>
        <v>爬塔首通31</v>
      </c>
    </row>
    <row r="60" ht="17.25" customHeight="1" spans="2:10">
      <c r="B60" t="s">
        <v>635</v>
      </c>
      <c r="C60" s="191">
        <v>3017</v>
      </c>
      <c r="E60" s="190">
        <v>24000031</v>
      </c>
      <c r="F60" t="str">
        <v>专武抽卡券普通</v>
      </c>
      <c r="G60">
        <f t="shared" si="0"/>
        <v>107</v>
      </c>
      <c r="H60">
        <v>1</v>
      </c>
      <c r="I60">
        <f t="shared" si="1"/>
        <v>31</v>
      </c>
      <c r="J60" t="str">
        <f t="shared" si="2"/>
        <v>爬塔首通31</v>
      </c>
    </row>
    <row r="61" ht="17.25" customHeight="1" spans="2:10">
      <c r="B61" t="s">
        <v>636</v>
      </c>
      <c r="C61" s="191">
        <v>3018</v>
      </c>
      <c r="E61" s="190">
        <v>24000032</v>
      </c>
      <c r="F61" t="str">
        <v>角色经验高10000</v>
      </c>
      <c r="G61">
        <f t="shared" si="0"/>
        <v>102</v>
      </c>
      <c r="H61">
        <v>9</v>
      </c>
      <c r="I61">
        <f t="shared" si="1"/>
        <v>32</v>
      </c>
      <c r="J61" t="str">
        <f t="shared" si="2"/>
        <v>爬塔首通32</v>
      </c>
    </row>
    <row r="62" ht="17.25" customHeight="1" spans="2:10">
      <c r="B62" t="s">
        <v>708</v>
      </c>
      <c r="C62" s="15">
        <v>2503</v>
      </c>
      <c r="E62" s="190">
        <v>24000032</v>
      </c>
      <c r="F62" t="str">
        <v>专武抽卡券普通</v>
      </c>
      <c r="G62">
        <f t="shared" si="0"/>
        <v>107</v>
      </c>
      <c r="H62">
        <v>1</v>
      </c>
      <c r="I62">
        <f t="shared" si="1"/>
        <v>32</v>
      </c>
      <c r="J62" t="str">
        <f t="shared" si="2"/>
        <v>爬塔首通32</v>
      </c>
    </row>
    <row r="63" ht="17.25" customHeight="1" spans="2:10">
      <c r="B63" t="s">
        <v>709</v>
      </c>
      <c r="C63" s="15">
        <v>2504</v>
      </c>
      <c r="E63" s="190">
        <v>24000033</v>
      </c>
      <c r="F63" t="str">
        <v>专武经验高20000</v>
      </c>
      <c r="G63">
        <f t="shared" si="0"/>
        <v>110</v>
      </c>
      <c r="H63">
        <v>9</v>
      </c>
      <c r="I63">
        <f t="shared" si="1"/>
        <v>33</v>
      </c>
      <c r="J63" t="str">
        <f t="shared" si="2"/>
        <v>爬塔首通33</v>
      </c>
    </row>
    <row r="64" ht="16.5" customHeight="1" spans="2:10">
      <c r="B64" s="3" t="s">
        <v>8</v>
      </c>
      <c r="C64" s="3">
        <v>111</v>
      </c>
      <c r="E64" s="190">
        <v>24000033</v>
      </c>
      <c r="F64" t="str">
        <v>专武抽卡券普通</v>
      </c>
      <c r="G64">
        <f t="shared" si="0"/>
        <v>107</v>
      </c>
      <c r="H64">
        <v>1</v>
      </c>
      <c r="I64">
        <f t="shared" si="1"/>
        <v>33</v>
      </c>
      <c r="J64" t="str">
        <f t="shared" si="2"/>
        <v>爬塔首通33</v>
      </c>
    </row>
    <row r="65" ht="21" customHeight="1" spans="2:10">
      <c r="B65" t="s">
        <v>9</v>
      </c>
      <c r="C65">
        <v>112</v>
      </c>
      <c r="E65" s="190">
        <v>24000034</v>
      </c>
      <c r="F65" t="str">
        <v>爬塔代币</v>
      </c>
      <c r="G65">
        <f t="shared" si="0"/>
        <v>27</v>
      </c>
      <c r="H65">
        <v>120</v>
      </c>
      <c r="I65">
        <f t="shared" si="1"/>
        <v>34</v>
      </c>
      <c r="J65" t="str">
        <f t="shared" si="2"/>
        <v>爬塔首通34</v>
      </c>
    </row>
    <row r="66" ht="21" customHeight="1" spans="2:10">
      <c r="B66" t="s">
        <v>669</v>
      </c>
      <c r="C66">
        <v>108</v>
      </c>
      <c r="E66" s="190">
        <v>24000034</v>
      </c>
      <c r="F66" t="str">
        <v>专武抽卡券普通</v>
      </c>
      <c r="G66">
        <f t="shared" ref="G66:G129" si="6">VLOOKUP(F66,$B:$C,2,0)</f>
        <v>107</v>
      </c>
      <c r="H66">
        <v>1</v>
      </c>
      <c r="I66">
        <f t="shared" ref="I66:I129" si="7">E66-24000000</f>
        <v>34</v>
      </c>
      <c r="J66" t="str">
        <f t="shared" ref="J66:J129" si="8">_xlfn.CONCAT("爬塔首通",I66)</f>
        <v>爬塔首通34</v>
      </c>
    </row>
    <row r="67" ht="21" customHeight="1" spans="2:10">
      <c r="B67" t="s">
        <v>605</v>
      </c>
      <c r="C67">
        <v>27</v>
      </c>
      <c r="E67" s="190">
        <v>24000035</v>
      </c>
      <c r="F67" t="str">
        <v>钻石</v>
      </c>
      <c r="G67">
        <f t="shared" si="6"/>
        <v>2</v>
      </c>
      <c r="H67">
        <v>500</v>
      </c>
      <c r="I67">
        <f t="shared" si="7"/>
        <v>35</v>
      </c>
      <c r="J67" t="str">
        <f t="shared" si="8"/>
        <v>爬塔首通35</v>
      </c>
    </row>
    <row r="68" ht="21" customHeight="1" spans="2:10">
      <c r="E68" s="190">
        <v>24000035</v>
      </c>
      <c r="F68" t="str">
        <v>额外星盘点</v>
      </c>
      <c r="G68">
        <f t="shared" si="6"/>
        <v>103</v>
      </c>
      <c r="H68">
        <v>1</v>
      </c>
      <c r="I68">
        <f t="shared" si="7"/>
        <v>35</v>
      </c>
      <c r="J68" t="str">
        <f t="shared" si="8"/>
        <v>爬塔首通35</v>
      </c>
    </row>
    <row r="69" ht="21" customHeight="1" spans="2:10">
      <c r="E69" s="190">
        <v>24000036</v>
      </c>
      <c r="F69" t="str">
        <v>金币</v>
      </c>
      <c r="G69">
        <f t="shared" si="6"/>
        <v>1</v>
      </c>
      <c r="H69">
        <v>90000</v>
      </c>
      <c r="I69">
        <f t="shared" si="7"/>
        <v>36</v>
      </c>
      <c r="J69" t="str">
        <f t="shared" si="8"/>
        <v>爬塔首通36</v>
      </c>
    </row>
    <row r="70" ht="21" customHeight="1" spans="2:10">
      <c r="E70" s="190">
        <v>24000036</v>
      </c>
      <c r="F70" t="str">
        <v>专武抽卡券普通</v>
      </c>
      <c r="G70">
        <f t="shared" si="6"/>
        <v>107</v>
      </c>
      <c r="H70">
        <v>1</v>
      </c>
      <c r="I70">
        <f t="shared" si="7"/>
        <v>36</v>
      </c>
      <c r="J70" t="str">
        <f t="shared" si="8"/>
        <v>爬塔首通36</v>
      </c>
    </row>
    <row r="71" ht="21" customHeight="1" spans="2:10">
      <c r="E71" s="190">
        <v>24000037</v>
      </c>
      <c r="F71" t="str">
        <v>角色经验高10000</v>
      </c>
      <c r="G71">
        <f t="shared" si="6"/>
        <v>102</v>
      </c>
      <c r="H71">
        <v>9</v>
      </c>
      <c r="I71">
        <f t="shared" si="7"/>
        <v>37</v>
      </c>
      <c r="J71" t="str">
        <f t="shared" si="8"/>
        <v>爬塔首通37</v>
      </c>
    </row>
    <row r="72" ht="21" customHeight="1" spans="2:10">
      <c r="E72" s="190">
        <v>24000037</v>
      </c>
      <c r="F72" t="str">
        <v>专武抽卡券普通</v>
      </c>
      <c r="G72">
        <f t="shared" si="6"/>
        <v>107</v>
      </c>
      <c r="H72">
        <v>1</v>
      </c>
      <c r="I72">
        <f t="shared" si="7"/>
        <v>37</v>
      </c>
      <c r="J72" t="str">
        <f t="shared" si="8"/>
        <v>爬塔首通37</v>
      </c>
    </row>
    <row r="73" ht="21" customHeight="1" spans="2:10">
      <c r="E73" s="190">
        <v>24000038</v>
      </c>
      <c r="F73" t="str">
        <v>专武经验高20000</v>
      </c>
      <c r="G73">
        <f t="shared" si="6"/>
        <v>110</v>
      </c>
      <c r="H73">
        <v>9</v>
      </c>
      <c r="I73">
        <f t="shared" si="7"/>
        <v>38</v>
      </c>
      <c r="J73" t="str">
        <f t="shared" si="8"/>
        <v>爬塔首通38</v>
      </c>
    </row>
    <row r="74" ht="21" customHeight="1" spans="2:10">
      <c r="E74" s="190">
        <v>24000038</v>
      </c>
      <c r="F74" t="str">
        <v>专武抽卡券普通</v>
      </c>
      <c r="G74">
        <f t="shared" si="6"/>
        <v>107</v>
      </c>
      <c r="H74">
        <v>1</v>
      </c>
      <c r="I74">
        <f t="shared" si="7"/>
        <v>38</v>
      </c>
      <c r="J74" t="str">
        <f t="shared" si="8"/>
        <v>爬塔首通38</v>
      </c>
    </row>
    <row r="75" ht="21" customHeight="1" spans="2:10">
      <c r="E75" s="190">
        <v>24000039</v>
      </c>
      <c r="F75" t="str">
        <v>爬塔代币</v>
      </c>
      <c r="G75">
        <f t="shared" si="6"/>
        <v>27</v>
      </c>
      <c r="H75">
        <v>120</v>
      </c>
      <c r="I75">
        <f t="shared" si="7"/>
        <v>39</v>
      </c>
      <c r="J75" t="str">
        <f t="shared" si="8"/>
        <v>爬塔首通39</v>
      </c>
    </row>
    <row r="76" ht="21" customHeight="1" spans="2:10">
      <c r="E76" s="190">
        <v>24000039</v>
      </c>
      <c r="F76" t="str">
        <v>专武抽卡券普通</v>
      </c>
      <c r="G76">
        <f t="shared" si="6"/>
        <v>107</v>
      </c>
      <c r="H76">
        <v>1</v>
      </c>
      <c r="I76">
        <f t="shared" si="7"/>
        <v>39</v>
      </c>
      <c r="J76" t="str">
        <f t="shared" si="8"/>
        <v>爬塔首通39</v>
      </c>
    </row>
    <row r="77" ht="21" customHeight="1" spans="2:10">
      <c r="E77" s="190">
        <v>24000040</v>
      </c>
      <c r="F77" t="str">
        <v>专武抽卡券限时</v>
      </c>
      <c r="G77">
        <f t="shared" si="6"/>
        <v>112</v>
      </c>
      <c r="H77">
        <v>10</v>
      </c>
      <c r="I77">
        <f t="shared" si="7"/>
        <v>40</v>
      </c>
      <c r="J77" t="str">
        <f t="shared" si="8"/>
        <v>爬塔首通40</v>
      </c>
    </row>
    <row r="78" ht="21" customHeight="1" spans="2:10">
      <c r="E78" s="190">
        <v>24000041</v>
      </c>
      <c r="F78" t="str">
        <v>金币</v>
      </c>
      <c r="G78">
        <f t="shared" si="6"/>
        <v>1</v>
      </c>
      <c r="H78">
        <v>120000</v>
      </c>
      <c r="I78">
        <f t="shared" si="7"/>
        <v>41</v>
      </c>
      <c r="J78" t="str">
        <f t="shared" si="8"/>
        <v>爬塔首通41</v>
      </c>
    </row>
    <row r="79" ht="21" customHeight="1" spans="2:10">
      <c r="E79" s="190">
        <v>24000041</v>
      </c>
      <c r="F79" t="str">
        <v>专武抽卡券普通</v>
      </c>
      <c r="G79">
        <f t="shared" si="6"/>
        <v>107</v>
      </c>
      <c r="H79">
        <v>1</v>
      </c>
      <c r="I79">
        <f t="shared" si="7"/>
        <v>41</v>
      </c>
      <c r="J79" t="str">
        <f t="shared" si="8"/>
        <v>爬塔首通41</v>
      </c>
    </row>
    <row r="80" ht="21" customHeight="1" spans="2:10">
      <c r="E80" s="190">
        <v>24000042</v>
      </c>
      <c r="F80" t="str">
        <v>角色经验高10000</v>
      </c>
      <c r="G80">
        <f t="shared" si="6"/>
        <v>102</v>
      </c>
      <c r="H80">
        <v>12</v>
      </c>
      <c r="I80">
        <f t="shared" si="7"/>
        <v>42</v>
      </c>
      <c r="J80" t="str">
        <f t="shared" si="8"/>
        <v>爬塔首通42</v>
      </c>
    </row>
    <row r="81" ht="21" customHeight="1" spans="2:10">
      <c r="E81" s="190">
        <v>24000042</v>
      </c>
      <c r="F81" t="str">
        <v>专武抽卡券普通</v>
      </c>
      <c r="G81">
        <f t="shared" si="6"/>
        <v>107</v>
      </c>
      <c r="H81">
        <v>1</v>
      </c>
      <c r="I81">
        <f t="shared" si="7"/>
        <v>42</v>
      </c>
      <c r="J81" t="str">
        <f t="shared" si="8"/>
        <v>爬塔首通42</v>
      </c>
    </row>
    <row r="82" ht="21" customHeight="1" spans="2:10">
      <c r="E82" s="190">
        <v>24000043</v>
      </c>
      <c r="F82" t="str">
        <v>专武经验高20000</v>
      </c>
      <c r="G82">
        <f t="shared" si="6"/>
        <v>110</v>
      </c>
      <c r="H82">
        <v>12</v>
      </c>
      <c r="I82">
        <f t="shared" si="7"/>
        <v>43</v>
      </c>
      <c r="J82" t="str">
        <f t="shared" si="8"/>
        <v>爬塔首通43</v>
      </c>
    </row>
    <row r="83" ht="21" customHeight="1" spans="2:10">
      <c r="E83" s="190">
        <v>24000043</v>
      </c>
      <c r="F83" t="str">
        <v>专武抽卡券普通</v>
      </c>
      <c r="G83">
        <f t="shared" si="6"/>
        <v>107</v>
      </c>
      <c r="H83">
        <v>1</v>
      </c>
      <c r="I83">
        <f t="shared" si="7"/>
        <v>43</v>
      </c>
      <c r="J83" t="str">
        <f t="shared" si="8"/>
        <v>爬塔首通43</v>
      </c>
    </row>
    <row r="84" ht="21" customHeight="1" spans="2:10">
      <c r="E84" s="190">
        <v>24000044</v>
      </c>
      <c r="F84" t="str">
        <v>爬塔代币</v>
      </c>
      <c r="G84">
        <f t="shared" si="6"/>
        <v>27</v>
      </c>
      <c r="H84">
        <v>150</v>
      </c>
      <c r="I84">
        <f t="shared" si="7"/>
        <v>44</v>
      </c>
      <c r="J84" t="str">
        <f t="shared" si="8"/>
        <v>爬塔首通44</v>
      </c>
    </row>
    <row r="85" ht="21" customHeight="1" spans="2:10">
      <c r="E85" s="190">
        <v>24000044</v>
      </c>
      <c r="F85" t="str">
        <v>专武抽卡券普通</v>
      </c>
      <c r="G85">
        <f t="shared" si="6"/>
        <v>107</v>
      </c>
      <c r="H85">
        <v>1</v>
      </c>
      <c r="I85">
        <f t="shared" si="7"/>
        <v>44</v>
      </c>
      <c r="J85" t="str">
        <f t="shared" si="8"/>
        <v>爬塔首通44</v>
      </c>
    </row>
    <row r="86" ht="21" customHeight="1" spans="2:10">
      <c r="E86" s="190">
        <v>24000045</v>
      </c>
      <c r="F86" t="str">
        <v>钻石</v>
      </c>
      <c r="G86">
        <f t="shared" si="6"/>
        <v>2</v>
      </c>
      <c r="H86">
        <v>500</v>
      </c>
      <c r="I86">
        <f t="shared" si="7"/>
        <v>45</v>
      </c>
      <c r="J86" t="str">
        <f t="shared" si="8"/>
        <v>爬塔首通45</v>
      </c>
    </row>
    <row r="87" ht="21" customHeight="1" spans="2:10">
      <c r="E87" s="190">
        <v>24000045</v>
      </c>
      <c r="F87" t="str">
        <v>专武抽卡券普通</v>
      </c>
      <c r="G87">
        <f t="shared" si="6"/>
        <v>107</v>
      </c>
      <c r="H87">
        <v>3</v>
      </c>
      <c r="I87">
        <f t="shared" si="7"/>
        <v>45</v>
      </c>
      <c r="J87" t="str">
        <f t="shared" si="8"/>
        <v>爬塔首通45</v>
      </c>
    </row>
    <row r="88" ht="21" customHeight="1" spans="2:10">
      <c r="E88" s="190">
        <v>24000046</v>
      </c>
      <c r="F88" t="str">
        <v>金币</v>
      </c>
      <c r="G88">
        <f t="shared" si="6"/>
        <v>1</v>
      </c>
      <c r="H88">
        <v>120000</v>
      </c>
      <c r="I88">
        <f t="shared" si="7"/>
        <v>46</v>
      </c>
      <c r="J88" t="str">
        <f t="shared" si="8"/>
        <v>爬塔首通46</v>
      </c>
    </row>
    <row r="89" ht="21" customHeight="1" spans="2:10">
      <c r="E89" s="190">
        <v>24000046</v>
      </c>
      <c r="F89" t="str">
        <v>专武抽卡券普通</v>
      </c>
      <c r="G89">
        <f t="shared" si="6"/>
        <v>107</v>
      </c>
      <c r="H89">
        <v>1</v>
      </c>
      <c r="I89">
        <f t="shared" si="7"/>
        <v>46</v>
      </c>
      <c r="J89" t="str">
        <f t="shared" si="8"/>
        <v>爬塔首通46</v>
      </c>
    </row>
    <row r="90" ht="21" customHeight="1" spans="2:10">
      <c r="E90" s="190">
        <v>24000047</v>
      </c>
      <c r="F90" t="str">
        <v>角色经验高10000</v>
      </c>
      <c r="G90">
        <f t="shared" si="6"/>
        <v>102</v>
      </c>
      <c r="H90">
        <v>12</v>
      </c>
      <c r="I90">
        <f t="shared" si="7"/>
        <v>47</v>
      </c>
      <c r="J90" t="str">
        <f t="shared" si="8"/>
        <v>爬塔首通47</v>
      </c>
    </row>
    <row r="91" ht="16.5" customHeight="1" spans="2:10">
      <c r="B91" s="16" t="s">
        <v>1918</v>
      </c>
      <c r="C91" s="192" t="s">
        <v>1789</v>
      </c>
      <c r="E91" s="190">
        <v>24000047</v>
      </c>
      <c r="F91" t="str">
        <v>专武抽卡券普通</v>
      </c>
      <c r="G91">
        <f t="shared" si="6"/>
        <v>107</v>
      </c>
      <c r="H91">
        <v>1</v>
      </c>
      <c r="I91">
        <f t="shared" si="7"/>
        <v>47</v>
      </c>
      <c r="J91" t="str">
        <f t="shared" si="8"/>
        <v>爬塔首通47</v>
      </c>
    </row>
    <row r="92" ht="16.5" customHeight="1" spans="2:10">
      <c r="B92" s="16" t="s">
        <v>1781</v>
      </c>
      <c r="C92" s="192" t="s">
        <v>1790</v>
      </c>
      <c r="E92" s="190">
        <v>24000048</v>
      </c>
      <c r="F92" t="str">
        <v>专武经验高20000</v>
      </c>
      <c r="G92">
        <f t="shared" si="6"/>
        <v>110</v>
      </c>
      <c r="H92">
        <v>12</v>
      </c>
      <c r="I92">
        <f t="shared" si="7"/>
        <v>48</v>
      </c>
      <c r="J92" t="str">
        <f t="shared" si="8"/>
        <v>爬塔首通48</v>
      </c>
    </row>
    <row r="93" ht="16.5" customHeight="1" spans="2:10">
      <c r="B93" s="16" t="s">
        <v>1596</v>
      </c>
      <c r="C93" s="193" t="s">
        <v>1791</v>
      </c>
      <c r="E93" s="190">
        <v>24000048</v>
      </c>
      <c r="F93" t="str">
        <v>专武抽卡券普通</v>
      </c>
      <c r="G93">
        <f t="shared" si="6"/>
        <v>107</v>
      </c>
      <c r="H93">
        <v>1</v>
      </c>
      <c r="I93">
        <f t="shared" si="7"/>
        <v>48</v>
      </c>
      <c r="J93" t="str">
        <f t="shared" si="8"/>
        <v>爬塔首通48</v>
      </c>
    </row>
    <row r="94" ht="21" customHeight="1" spans="2:10">
      <c r="E94" s="190">
        <v>24000049</v>
      </c>
      <c r="F94" t="str">
        <v>爬塔代币</v>
      </c>
      <c r="G94">
        <f t="shared" si="6"/>
        <v>27</v>
      </c>
      <c r="H94">
        <v>150</v>
      </c>
      <c r="I94">
        <f t="shared" si="7"/>
        <v>49</v>
      </c>
      <c r="J94" t="str">
        <f t="shared" si="8"/>
        <v>爬塔首通49</v>
      </c>
    </row>
    <row r="95" ht="21" customHeight="1" spans="2:10">
      <c r="E95" s="190">
        <v>24000049</v>
      </c>
      <c r="F95" t="str">
        <v>专武抽卡券普通</v>
      </c>
      <c r="G95">
        <f t="shared" si="6"/>
        <v>107</v>
      </c>
      <c r="H95">
        <v>1</v>
      </c>
      <c r="I95">
        <f t="shared" si="7"/>
        <v>49</v>
      </c>
      <c r="J95" t="str">
        <f t="shared" si="8"/>
        <v>爬塔首通49</v>
      </c>
    </row>
    <row r="96" ht="21" customHeight="1" spans="2:10">
      <c r="E96" s="190">
        <v>24000050</v>
      </c>
      <c r="F96" t="str">
        <v>专武抽卡券限时</v>
      </c>
      <c r="G96">
        <f t="shared" si="6"/>
        <v>112</v>
      </c>
      <c r="H96">
        <v>10</v>
      </c>
      <c r="I96">
        <f t="shared" si="7"/>
        <v>50</v>
      </c>
      <c r="J96" t="str">
        <f t="shared" si="8"/>
        <v>爬塔首通50</v>
      </c>
    </row>
    <row r="97" ht="21" customHeight="1" spans="5:10">
      <c r="E97" s="190">
        <v>24000051</v>
      </c>
      <c r="F97" t="str">
        <v>金币</v>
      </c>
      <c r="G97">
        <f t="shared" si="6"/>
        <v>1</v>
      </c>
      <c r="H97">
        <v>150000</v>
      </c>
      <c r="I97">
        <f t="shared" si="7"/>
        <v>51</v>
      </c>
      <c r="J97" t="str">
        <f t="shared" si="8"/>
        <v>爬塔首通51</v>
      </c>
    </row>
    <row r="98" ht="21" customHeight="1" spans="5:10">
      <c r="E98" s="190">
        <v>24000051</v>
      </c>
      <c r="F98" t="str">
        <v>专武抽卡券普通</v>
      </c>
      <c r="G98">
        <f t="shared" si="6"/>
        <v>107</v>
      </c>
      <c r="H98">
        <v>1</v>
      </c>
      <c r="I98">
        <f t="shared" si="7"/>
        <v>51</v>
      </c>
      <c r="J98" t="str">
        <f t="shared" si="8"/>
        <v>爬塔首通51</v>
      </c>
    </row>
    <row r="99" ht="21" customHeight="1" spans="5:10">
      <c r="E99" s="190">
        <v>24000052</v>
      </c>
      <c r="F99" t="str">
        <v>角色经验高10000</v>
      </c>
      <c r="G99">
        <f t="shared" si="6"/>
        <v>102</v>
      </c>
      <c r="H99">
        <v>15</v>
      </c>
      <c r="I99">
        <f t="shared" si="7"/>
        <v>52</v>
      </c>
      <c r="J99" t="str">
        <f t="shared" si="8"/>
        <v>爬塔首通52</v>
      </c>
    </row>
    <row r="100" ht="21" customHeight="1" spans="5:10">
      <c r="E100" s="190">
        <v>24000052</v>
      </c>
      <c r="F100" t="str">
        <v>专武抽卡券普通</v>
      </c>
      <c r="G100">
        <f t="shared" si="6"/>
        <v>107</v>
      </c>
      <c r="H100">
        <v>1</v>
      </c>
      <c r="I100">
        <f t="shared" si="7"/>
        <v>52</v>
      </c>
      <c r="J100" t="str">
        <f t="shared" si="8"/>
        <v>爬塔首通52</v>
      </c>
    </row>
    <row r="101" ht="21" customHeight="1" spans="5:10">
      <c r="E101" s="190">
        <v>24000053</v>
      </c>
      <c r="F101" t="str">
        <v>专武经验高20000</v>
      </c>
      <c r="G101">
        <f t="shared" si="6"/>
        <v>110</v>
      </c>
      <c r="H101">
        <v>15</v>
      </c>
      <c r="I101">
        <f t="shared" si="7"/>
        <v>53</v>
      </c>
      <c r="J101" t="str">
        <f t="shared" si="8"/>
        <v>爬塔首通53</v>
      </c>
    </row>
    <row r="102" ht="21" customHeight="1" spans="5:10">
      <c r="E102" s="190">
        <v>24000053</v>
      </c>
      <c r="F102" t="str">
        <v>专武抽卡券普通</v>
      </c>
      <c r="G102">
        <f t="shared" si="6"/>
        <v>107</v>
      </c>
      <c r="H102">
        <v>1</v>
      </c>
      <c r="I102">
        <f t="shared" si="7"/>
        <v>53</v>
      </c>
      <c r="J102" t="str">
        <f t="shared" si="8"/>
        <v>爬塔首通53</v>
      </c>
    </row>
    <row r="103" ht="21" customHeight="1" spans="5:10">
      <c r="E103" s="190">
        <v>24000054</v>
      </c>
      <c r="F103" t="str">
        <v>爬塔代币</v>
      </c>
      <c r="G103">
        <f t="shared" si="6"/>
        <v>27</v>
      </c>
      <c r="H103">
        <v>150</v>
      </c>
      <c r="I103">
        <f t="shared" si="7"/>
        <v>54</v>
      </c>
      <c r="J103" t="str">
        <f t="shared" si="8"/>
        <v>爬塔首通54</v>
      </c>
    </row>
    <row r="104" ht="21" customHeight="1" spans="5:10">
      <c r="E104" s="190">
        <v>24000054</v>
      </c>
      <c r="F104" t="str">
        <v>专武抽卡券普通</v>
      </c>
      <c r="G104">
        <f t="shared" si="6"/>
        <v>107</v>
      </c>
      <c r="H104">
        <v>1</v>
      </c>
      <c r="I104">
        <f t="shared" si="7"/>
        <v>54</v>
      </c>
      <c r="J104" t="str">
        <f t="shared" si="8"/>
        <v>爬塔首通54</v>
      </c>
    </row>
    <row r="105" ht="21" customHeight="1" spans="5:10">
      <c r="E105" s="190">
        <v>24000055</v>
      </c>
      <c r="F105" t="str">
        <v>钻石</v>
      </c>
      <c r="G105">
        <f t="shared" si="6"/>
        <v>2</v>
      </c>
      <c r="H105">
        <v>750</v>
      </c>
      <c r="I105">
        <f t="shared" si="7"/>
        <v>55</v>
      </c>
      <c r="J105" t="str">
        <f t="shared" si="8"/>
        <v>爬塔首通55</v>
      </c>
    </row>
    <row r="106" ht="21" customHeight="1" spans="5:10">
      <c r="E106" s="190">
        <v>24000055</v>
      </c>
      <c r="F106" t="str">
        <v>额外星盘点</v>
      </c>
      <c r="G106">
        <f t="shared" si="6"/>
        <v>103</v>
      </c>
      <c r="H106">
        <v>1</v>
      </c>
      <c r="I106">
        <f t="shared" si="7"/>
        <v>55</v>
      </c>
      <c r="J106" t="str">
        <f t="shared" si="8"/>
        <v>爬塔首通55</v>
      </c>
    </row>
    <row r="107" ht="21" customHeight="1" spans="5:10">
      <c r="E107" s="190">
        <v>24000056</v>
      </c>
      <c r="F107" t="str">
        <v>金币</v>
      </c>
      <c r="G107">
        <f t="shared" si="6"/>
        <v>1</v>
      </c>
      <c r="H107">
        <v>150000</v>
      </c>
      <c r="I107">
        <f t="shared" si="7"/>
        <v>56</v>
      </c>
      <c r="J107" t="str">
        <f t="shared" si="8"/>
        <v>爬塔首通56</v>
      </c>
    </row>
    <row r="108" ht="21" customHeight="1" spans="5:10">
      <c r="E108" s="190">
        <v>24000056</v>
      </c>
      <c r="F108" t="str">
        <v>专武抽卡券普通</v>
      </c>
      <c r="G108">
        <f t="shared" si="6"/>
        <v>107</v>
      </c>
      <c r="H108">
        <v>1</v>
      </c>
      <c r="I108">
        <f t="shared" si="7"/>
        <v>56</v>
      </c>
      <c r="J108" t="str">
        <f t="shared" si="8"/>
        <v>爬塔首通56</v>
      </c>
    </row>
    <row r="109" ht="21" customHeight="1" spans="5:10">
      <c r="E109" s="190">
        <v>24000057</v>
      </c>
      <c r="F109" t="str">
        <v>角色经验高10000</v>
      </c>
      <c r="G109">
        <f t="shared" si="6"/>
        <v>102</v>
      </c>
      <c r="H109">
        <v>15</v>
      </c>
      <c r="I109">
        <f t="shared" si="7"/>
        <v>57</v>
      </c>
      <c r="J109" t="str">
        <f t="shared" si="8"/>
        <v>爬塔首通57</v>
      </c>
    </row>
    <row r="110" ht="21" customHeight="1" spans="5:10">
      <c r="E110" s="190">
        <v>24000057</v>
      </c>
      <c r="F110" t="str">
        <v>专武抽卡券普通</v>
      </c>
      <c r="G110">
        <f t="shared" si="6"/>
        <v>107</v>
      </c>
      <c r="H110">
        <v>1</v>
      </c>
      <c r="I110">
        <f t="shared" si="7"/>
        <v>57</v>
      </c>
      <c r="J110" t="str">
        <f t="shared" si="8"/>
        <v>爬塔首通57</v>
      </c>
    </row>
    <row r="111" ht="21" customHeight="1" spans="5:10">
      <c r="E111" s="190">
        <v>24000058</v>
      </c>
      <c r="F111" t="str">
        <v>专武经验高20000</v>
      </c>
      <c r="G111">
        <f t="shared" si="6"/>
        <v>110</v>
      </c>
      <c r="H111">
        <v>15</v>
      </c>
      <c r="I111">
        <f t="shared" si="7"/>
        <v>58</v>
      </c>
      <c r="J111" t="str">
        <f t="shared" si="8"/>
        <v>爬塔首通58</v>
      </c>
    </row>
    <row r="112" ht="21" customHeight="1" spans="5:10">
      <c r="E112" s="190">
        <v>24000058</v>
      </c>
      <c r="F112" t="str">
        <v>专武抽卡券普通</v>
      </c>
      <c r="G112">
        <f t="shared" si="6"/>
        <v>107</v>
      </c>
      <c r="H112">
        <v>1</v>
      </c>
      <c r="I112">
        <f t="shared" si="7"/>
        <v>58</v>
      </c>
      <c r="J112" t="str">
        <f t="shared" si="8"/>
        <v>爬塔首通58</v>
      </c>
    </row>
    <row r="113" ht="21" customHeight="1" spans="5:10">
      <c r="E113" s="190">
        <v>24000059</v>
      </c>
      <c r="F113" t="str">
        <v>爬塔代币</v>
      </c>
      <c r="G113">
        <f t="shared" si="6"/>
        <v>27</v>
      </c>
      <c r="H113">
        <v>150</v>
      </c>
      <c r="I113">
        <f t="shared" si="7"/>
        <v>59</v>
      </c>
      <c r="J113" t="str">
        <f t="shared" si="8"/>
        <v>爬塔首通59</v>
      </c>
    </row>
    <row r="114" ht="21" customHeight="1" spans="5:10">
      <c r="E114" s="190">
        <v>24000059</v>
      </c>
      <c r="F114" t="str">
        <v>专武抽卡券普通</v>
      </c>
      <c r="G114">
        <f t="shared" si="6"/>
        <v>107</v>
      </c>
      <c r="H114">
        <v>1</v>
      </c>
      <c r="I114">
        <f t="shared" si="7"/>
        <v>59</v>
      </c>
      <c r="J114" t="str">
        <f t="shared" si="8"/>
        <v>爬塔首通59</v>
      </c>
    </row>
    <row r="115" ht="21" customHeight="1" spans="5:10">
      <c r="E115" s="190">
        <v>24000060</v>
      </c>
      <c r="F115" t="str">
        <v>专武抽卡券限时</v>
      </c>
      <c r="G115">
        <f t="shared" si="6"/>
        <v>112</v>
      </c>
      <c r="H115">
        <v>10</v>
      </c>
      <c r="I115">
        <f t="shared" si="7"/>
        <v>60</v>
      </c>
      <c r="J115" t="str">
        <f t="shared" si="8"/>
        <v>爬塔首通60</v>
      </c>
    </row>
    <row r="116" ht="21" customHeight="1" spans="5:10">
      <c r="E116" s="190">
        <v>24000061</v>
      </c>
      <c r="F116" t="str">
        <v>金币</v>
      </c>
      <c r="G116">
        <f t="shared" si="6"/>
        <v>1</v>
      </c>
      <c r="H116">
        <v>150000</v>
      </c>
      <c r="I116">
        <f t="shared" si="7"/>
        <v>61</v>
      </c>
      <c r="J116" t="str">
        <f t="shared" si="8"/>
        <v>爬塔首通61</v>
      </c>
    </row>
    <row r="117" ht="21" customHeight="1" spans="5:10">
      <c r="E117" s="190">
        <v>24000061</v>
      </c>
      <c r="F117" t="str">
        <v>专武抽卡券普通</v>
      </c>
      <c r="G117">
        <f t="shared" si="6"/>
        <v>107</v>
      </c>
      <c r="H117">
        <v>1</v>
      </c>
      <c r="I117">
        <f t="shared" si="7"/>
        <v>61</v>
      </c>
      <c r="J117" t="str">
        <f t="shared" si="8"/>
        <v>爬塔首通61</v>
      </c>
    </row>
    <row r="118" ht="21" customHeight="1" spans="5:10">
      <c r="E118" s="190">
        <v>24000062</v>
      </c>
      <c r="F118" t="str">
        <v>角色经验高10000</v>
      </c>
      <c r="G118">
        <f t="shared" si="6"/>
        <v>102</v>
      </c>
      <c r="H118">
        <v>15</v>
      </c>
      <c r="I118">
        <f t="shared" si="7"/>
        <v>62</v>
      </c>
      <c r="J118" t="str">
        <f t="shared" si="8"/>
        <v>爬塔首通62</v>
      </c>
    </row>
    <row r="119" ht="21" customHeight="1" spans="5:10">
      <c r="E119" s="190">
        <v>24000062</v>
      </c>
      <c r="F119" t="str">
        <v>专武抽卡券普通</v>
      </c>
      <c r="G119">
        <f t="shared" si="6"/>
        <v>107</v>
      </c>
      <c r="H119">
        <v>1</v>
      </c>
      <c r="I119">
        <f t="shared" si="7"/>
        <v>62</v>
      </c>
      <c r="J119" t="str">
        <f t="shared" si="8"/>
        <v>爬塔首通62</v>
      </c>
    </row>
    <row r="120" ht="21" customHeight="1" spans="5:10">
      <c r="E120" s="190">
        <v>24000063</v>
      </c>
      <c r="F120" t="str">
        <v>专武经验高20000</v>
      </c>
      <c r="G120">
        <f t="shared" si="6"/>
        <v>110</v>
      </c>
      <c r="H120">
        <v>15</v>
      </c>
      <c r="I120">
        <f t="shared" si="7"/>
        <v>63</v>
      </c>
      <c r="J120" t="str">
        <f t="shared" si="8"/>
        <v>爬塔首通63</v>
      </c>
    </row>
    <row r="121" ht="21" customHeight="1" spans="5:10">
      <c r="E121" s="190">
        <v>24000063</v>
      </c>
      <c r="F121" t="str">
        <v>专武抽卡券普通</v>
      </c>
      <c r="G121">
        <f t="shared" si="6"/>
        <v>107</v>
      </c>
      <c r="H121">
        <v>1</v>
      </c>
      <c r="I121">
        <f t="shared" si="7"/>
        <v>63</v>
      </c>
      <c r="J121" t="str">
        <f t="shared" si="8"/>
        <v>爬塔首通63</v>
      </c>
    </row>
    <row r="122" ht="21" customHeight="1" spans="5:10">
      <c r="E122" s="190">
        <v>24000064</v>
      </c>
      <c r="F122" t="str">
        <v>爬塔代币</v>
      </c>
      <c r="G122">
        <f t="shared" si="6"/>
        <v>27</v>
      </c>
      <c r="H122">
        <v>150</v>
      </c>
      <c r="I122">
        <f t="shared" si="7"/>
        <v>64</v>
      </c>
      <c r="J122" t="str">
        <f t="shared" si="8"/>
        <v>爬塔首通64</v>
      </c>
    </row>
    <row r="123" ht="21" customHeight="1" spans="5:10">
      <c r="E123" s="190">
        <v>24000064</v>
      </c>
      <c r="F123" t="str">
        <v>专武抽卡券普通</v>
      </c>
      <c r="G123">
        <f t="shared" si="6"/>
        <v>107</v>
      </c>
      <c r="H123">
        <v>1</v>
      </c>
      <c r="I123">
        <f t="shared" si="7"/>
        <v>64</v>
      </c>
      <c r="J123" t="str">
        <f t="shared" si="8"/>
        <v>爬塔首通64</v>
      </c>
    </row>
    <row r="124" ht="21" customHeight="1" spans="5:10">
      <c r="E124" s="190">
        <v>24000065</v>
      </c>
      <c r="F124" t="str">
        <v>钻石</v>
      </c>
      <c r="G124">
        <f t="shared" si="6"/>
        <v>2</v>
      </c>
      <c r="H124">
        <v>750</v>
      </c>
      <c r="I124">
        <f t="shared" si="7"/>
        <v>65</v>
      </c>
      <c r="J124" t="str">
        <f t="shared" si="8"/>
        <v>爬塔首通65</v>
      </c>
    </row>
    <row r="125" ht="21" customHeight="1" spans="5:10">
      <c r="E125" s="190">
        <v>24000065</v>
      </c>
      <c r="F125" t="str">
        <v>专武抽卡券普通</v>
      </c>
      <c r="G125">
        <f t="shared" si="6"/>
        <v>107</v>
      </c>
      <c r="H125">
        <v>3</v>
      </c>
      <c r="I125">
        <f t="shared" si="7"/>
        <v>65</v>
      </c>
      <c r="J125" t="str">
        <f t="shared" si="8"/>
        <v>爬塔首通65</v>
      </c>
    </row>
    <row r="126" ht="21" customHeight="1" spans="5:10">
      <c r="E126" s="190">
        <v>24000066</v>
      </c>
      <c r="F126" t="str">
        <v>金币</v>
      </c>
      <c r="G126">
        <f t="shared" si="6"/>
        <v>1</v>
      </c>
      <c r="H126">
        <v>150000</v>
      </c>
      <c r="I126">
        <f t="shared" si="7"/>
        <v>66</v>
      </c>
      <c r="J126" t="str">
        <f t="shared" si="8"/>
        <v>爬塔首通66</v>
      </c>
    </row>
    <row r="127" ht="21" customHeight="1" spans="5:10">
      <c r="E127" s="190">
        <v>24000066</v>
      </c>
      <c r="F127" t="str">
        <v>专武抽卡券普通</v>
      </c>
      <c r="G127">
        <f t="shared" si="6"/>
        <v>107</v>
      </c>
      <c r="H127">
        <v>1</v>
      </c>
      <c r="I127">
        <f t="shared" si="7"/>
        <v>66</v>
      </c>
      <c r="J127" t="str">
        <f t="shared" si="8"/>
        <v>爬塔首通66</v>
      </c>
    </row>
    <row r="128" ht="21" customHeight="1" spans="5:10">
      <c r="E128" s="190">
        <v>24000067</v>
      </c>
      <c r="F128" t="str">
        <v>角色经验高10000</v>
      </c>
      <c r="G128">
        <f t="shared" si="6"/>
        <v>102</v>
      </c>
      <c r="H128">
        <v>15</v>
      </c>
      <c r="I128">
        <f t="shared" si="7"/>
        <v>67</v>
      </c>
      <c r="J128" t="str">
        <f t="shared" si="8"/>
        <v>爬塔首通67</v>
      </c>
    </row>
    <row r="129" ht="21" customHeight="1" spans="5:10">
      <c r="E129" s="190">
        <v>24000067</v>
      </c>
      <c r="F129" t="str">
        <v>专武抽卡券普通</v>
      </c>
      <c r="G129">
        <f t="shared" si="6"/>
        <v>107</v>
      </c>
      <c r="H129">
        <v>1</v>
      </c>
      <c r="I129">
        <f t="shared" si="7"/>
        <v>67</v>
      </c>
      <c r="J129" t="str">
        <f t="shared" si="8"/>
        <v>爬塔首通67</v>
      </c>
    </row>
    <row r="130" ht="21" customHeight="1" spans="5:10">
      <c r="E130" s="190">
        <v>24000068</v>
      </c>
      <c r="F130" t="str">
        <v>专武经验高20000</v>
      </c>
      <c r="G130">
        <f t="shared" ref="G130:G192" si="9">VLOOKUP(F130,$B:$C,2,0)</f>
        <v>110</v>
      </c>
      <c r="H130">
        <v>15</v>
      </c>
      <c r="I130">
        <f t="shared" ref="I130:I192" si="10">E130-24000000</f>
        <v>68</v>
      </c>
      <c r="J130" t="str">
        <f t="shared" ref="J130:J192" si="11">_xlfn.CONCAT("爬塔首通",I130)</f>
        <v>爬塔首通68</v>
      </c>
    </row>
    <row r="131" ht="21" customHeight="1" spans="5:10">
      <c r="E131" s="190">
        <v>24000068</v>
      </c>
      <c r="F131" t="str">
        <v>专武抽卡券普通</v>
      </c>
      <c r="G131">
        <f t="shared" si="9"/>
        <v>107</v>
      </c>
      <c r="H131">
        <v>1</v>
      </c>
      <c r="I131">
        <f t="shared" si="10"/>
        <v>68</v>
      </c>
      <c r="J131" t="str">
        <f t="shared" si="11"/>
        <v>爬塔首通68</v>
      </c>
    </row>
    <row r="132" ht="21" customHeight="1" spans="5:10">
      <c r="E132" s="190">
        <v>24000069</v>
      </c>
      <c r="F132" t="str">
        <v>爬塔代币</v>
      </c>
      <c r="G132">
        <f t="shared" si="9"/>
        <v>27</v>
      </c>
      <c r="H132">
        <v>150</v>
      </c>
      <c r="I132">
        <f t="shared" si="10"/>
        <v>69</v>
      </c>
      <c r="J132" t="str">
        <f t="shared" si="11"/>
        <v>爬塔首通69</v>
      </c>
    </row>
    <row r="133" ht="21" customHeight="1" spans="5:10">
      <c r="E133" s="190">
        <v>24000069</v>
      </c>
      <c r="F133" t="str">
        <v>专武抽卡券普通</v>
      </c>
      <c r="G133">
        <f t="shared" si="9"/>
        <v>107</v>
      </c>
      <c r="H133">
        <v>1</v>
      </c>
      <c r="I133">
        <f t="shared" si="10"/>
        <v>69</v>
      </c>
      <c r="J133" t="str">
        <f t="shared" si="11"/>
        <v>爬塔首通69</v>
      </c>
    </row>
    <row r="134" ht="21" customHeight="1" spans="5:10">
      <c r="E134" s="190">
        <v>24000070</v>
      </c>
      <c r="F134" t="str">
        <v>专武抽卡券限时</v>
      </c>
      <c r="G134">
        <f t="shared" si="9"/>
        <v>112</v>
      </c>
      <c r="H134">
        <v>10</v>
      </c>
      <c r="I134">
        <f t="shared" si="10"/>
        <v>70</v>
      </c>
      <c r="J134" t="str">
        <f t="shared" si="11"/>
        <v>爬塔首通70</v>
      </c>
    </row>
    <row r="135" ht="21" customHeight="1" spans="5:10">
      <c r="E135" s="190">
        <v>24000071</v>
      </c>
      <c r="F135" t="str">
        <v>金币</v>
      </c>
      <c r="G135">
        <f t="shared" si="9"/>
        <v>1</v>
      </c>
      <c r="H135">
        <v>150000</v>
      </c>
      <c r="I135">
        <f t="shared" si="10"/>
        <v>71</v>
      </c>
      <c r="J135" t="str">
        <f t="shared" si="11"/>
        <v>爬塔首通71</v>
      </c>
    </row>
    <row r="136" ht="21" customHeight="1" spans="5:10">
      <c r="E136" s="190">
        <v>24000071</v>
      </c>
      <c r="F136" t="str">
        <v>专武抽卡券普通</v>
      </c>
      <c r="G136">
        <f t="shared" si="9"/>
        <v>107</v>
      </c>
      <c r="H136">
        <v>1</v>
      </c>
      <c r="I136">
        <f t="shared" si="10"/>
        <v>71</v>
      </c>
      <c r="J136" t="str">
        <f t="shared" si="11"/>
        <v>爬塔首通71</v>
      </c>
    </row>
    <row r="137" ht="21" customHeight="1" spans="5:10">
      <c r="E137" s="190">
        <v>24000072</v>
      </c>
      <c r="F137" t="str">
        <v>角色经验高10000</v>
      </c>
      <c r="G137">
        <f t="shared" si="9"/>
        <v>102</v>
      </c>
      <c r="H137">
        <v>15</v>
      </c>
      <c r="I137">
        <f t="shared" si="10"/>
        <v>72</v>
      </c>
      <c r="J137" t="str">
        <f t="shared" si="11"/>
        <v>爬塔首通72</v>
      </c>
    </row>
    <row r="138" ht="21" customHeight="1" spans="5:10">
      <c r="E138" s="190">
        <v>24000072</v>
      </c>
      <c r="F138" t="str">
        <v>专武抽卡券普通</v>
      </c>
      <c r="G138">
        <f t="shared" si="9"/>
        <v>107</v>
      </c>
      <c r="H138">
        <v>1</v>
      </c>
      <c r="I138">
        <f t="shared" si="10"/>
        <v>72</v>
      </c>
      <c r="J138" t="str">
        <f t="shared" si="11"/>
        <v>爬塔首通72</v>
      </c>
    </row>
    <row r="139" ht="21" customHeight="1" spans="5:10">
      <c r="E139" s="190">
        <v>24000073</v>
      </c>
      <c r="F139" t="str">
        <v>专武经验高20000</v>
      </c>
      <c r="G139">
        <f t="shared" si="9"/>
        <v>110</v>
      </c>
      <c r="H139">
        <v>15</v>
      </c>
      <c r="I139">
        <f t="shared" si="10"/>
        <v>73</v>
      </c>
      <c r="J139" t="str">
        <f t="shared" si="11"/>
        <v>爬塔首通73</v>
      </c>
    </row>
    <row r="140" ht="21" customHeight="1" spans="5:10">
      <c r="E140" s="190">
        <v>24000073</v>
      </c>
      <c r="F140" t="str">
        <v>专武抽卡券普通</v>
      </c>
      <c r="G140">
        <f t="shared" si="9"/>
        <v>107</v>
      </c>
      <c r="H140">
        <v>1</v>
      </c>
      <c r="I140">
        <f t="shared" si="10"/>
        <v>73</v>
      </c>
      <c r="J140" t="str">
        <f t="shared" si="11"/>
        <v>爬塔首通73</v>
      </c>
    </row>
    <row r="141" ht="21" customHeight="1" spans="5:10">
      <c r="E141" s="190">
        <v>24000074</v>
      </c>
      <c r="F141" t="str">
        <v>爬塔代币</v>
      </c>
      <c r="G141">
        <f t="shared" si="9"/>
        <v>27</v>
      </c>
      <c r="H141">
        <v>150</v>
      </c>
      <c r="I141">
        <f t="shared" si="10"/>
        <v>74</v>
      </c>
      <c r="J141" t="str">
        <f t="shared" si="11"/>
        <v>爬塔首通74</v>
      </c>
    </row>
    <row r="142" ht="21" customHeight="1" spans="5:10">
      <c r="E142" s="190">
        <v>24000074</v>
      </c>
      <c r="F142" t="str">
        <v>专武抽卡券普通</v>
      </c>
      <c r="G142">
        <f t="shared" si="9"/>
        <v>107</v>
      </c>
      <c r="H142">
        <v>1</v>
      </c>
      <c r="I142">
        <f t="shared" si="10"/>
        <v>74</v>
      </c>
      <c r="J142" t="str">
        <f t="shared" si="11"/>
        <v>爬塔首通74</v>
      </c>
    </row>
    <row r="143" ht="21" customHeight="1" spans="5:10">
      <c r="E143" s="190">
        <v>24000075</v>
      </c>
      <c r="F143" t="str">
        <v>钻石</v>
      </c>
      <c r="G143">
        <f t="shared" si="9"/>
        <v>2</v>
      </c>
      <c r="H143">
        <v>750</v>
      </c>
      <c r="I143">
        <f t="shared" si="10"/>
        <v>75</v>
      </c>
      <c r="J143" t="str">
        <f t="shared" si="11"/>
        <v>爬塔首通75</v>
      </c>
    </row>
    <row r="144" ht="21" customHeight="1" spans="5:10">
      <c r="E144" s="190">
        <v>24000075</v>
      </c>
      <c r="F144" t="str">
        <v>额外星盘点</v>
      </c>
      <c r="G144">
        <f t="shared" si="9"/>
        <v>103</v>
      </c>
      <c r="H144">
        <v>1</v>
      </c>
      <c r="I144">
        <f t="shared" si="10"/>
        <v>75</v>
      </c>
      <c r="J144" t="str">
        <f t="shared" si="11"/>
        <v>爬塔首通75</v>
      </c>
    </row>
    <row r="145" ht="21" customHeight="1" spans="5:10">
      <c r="E145" s="190">
        <v>24000076</v>
      </c>
      <c r="F145" t="str">
        <v>金币</v>
      </c>
      <c r="G145">
        <f t="shared" si="9"/>
        <v>1</v>
      </c>
      <c r="H145">
        <v>150000</v>
      </c>
      <c r="I145">
        <f t="shared" si="10"/>
        <v>76</v>
      </c>
      <c r="J145" t="str">
        <f t="shared" si="11"/>
        <v>爬塔首通76</v>
      </c>
    </row>
    <row r="146" ht="21" customHeight="1" spans="5:10">
      <c r="E146" s="190">
        <v>24000076</v>
      </c>
      <c r="F146" t="str">
        <v>专武抽卡券普通</v>
      </c>
      <c r="G146">
        <f t="shared" si="9"/>
        <v>107</v>
      </c>
      <c r="H146">
        <v>1</v>
      </c>
      <c r="I146">
        <f t="shared" si="10"/>
        <v>76</v>
      </c>
      <c r="J146" t="str">
        <f t="shared" si="11"/>
        <v>爬塔首通76</v>
      </c>
    </row>
    <row r="147" ht="21" customHeight="1" spans="5:10">
      <c r="E147" s="190">
        <v>24000077</v>
      </c>
      <c r="F147" t="str">
        <v>角色经验高10000</v>
      </c>
      <c r="G147">
        <f t="shared" si="9"/>
        <v>102</v>
      </c>
      <c r="H147">
        <v>15</v>
      </c>
      <c r="I147">
        <f t="shared" si="10"/>
        <v>77</v>
      </c>
      <c r="J147" t="str">
        <f t="shared" si="11"/>
        <v>爬塔首通77</v>
      </c>
    </row>
    <row r="148" ht="21" customHeight="1" spans="5:10">
      <c r="E148" s="190">
        <v>24000077</v>
      </c>
      <c r="F148" t="str">
        <v>专武抽卡券普通</v>
      </c>
      <c r="G148">
        <f t="shared" si="9"/>
        <v>107</v>
      </c>
      <c r="H148">
        <v>1</v>
      </c>
      <c r="I148">
        <f t="shared" si="10"/>
        <v>77</v>
      </c>
      <c r="J148" t="str">
        <f t="shared" si="11"/>
        <v>爬塔首通77</v>
      </c>
    </row>
    <row r="149" ht="21" customHeight="1" spans="5:10">
      <c r="E149" s="190">
        <v>24000078</v>
      </c>
      <c r="F149" t="str">
        <v>专武经验高20000</v>
      </c>
      <c r="G149">
        <f t="shared" si="9"/>
        <v>110</v>
      </c>
      <c r="H149">
        <v>15</v>
      </c>
      <c r="I149">
        <f t="shared" si="10"/>
        <v>78</v>
      </c>
      <c r="J149" t="str">
        <f t="shared" si="11"/>
        <v>爬塔首通78</v>
      </c>
    </row>
    <row r="150" ht="21" customHeight="1" spans="5:10">
      <c r="E150" s="190">
        <v>24000078</v>
      </c>
      <c r="F150" t="str">
        <v>专武抽卡券普通</v>
      </c>
      <c r="G150">
        <f t="shared" si="9"/>
        <v>107</v>
      </c>
      <c r="H150">
        <v>1</v>
      </c>
      <c r="I150">
        <f t="shared" si="10"/>
        <v>78</v>
      </c>
      <c r="J150" t="str">
        <f t="shared" si="11"/>
        <v>爬塔首通78</v>
      </c>
    </row>
    <row r="151" ht="21" customHeight="1" spans="5:10">
      <c r="E151" s="190">
        <v>24000079</v>
      </c>
      <c r="F151" t="str">
        <v>爬塔代币</v>
      </c>
      <c r="G151">
        <f t="shared" si="9"/>
        <v>27</v>
      </c>
      <c r="H151">
        <v>150</v>
      </c>
      <c r="I151">
        <f t="shared" si="10"/>
        <v>79</v>
      </c>
      <c r="J151" t="str">
        <f t="shared" si="11"/>
        <v>爬塔首通79</v>
      </c>
    </row>
    <row r="152" ht="21" customHeight="1" spans="5:10">
      <c r="E152" s="190">
        <v>24000079</v>
      </c>
      <c r="F152" t="str">
        <v>专武抽卡券普通</v>
      </c>
      <c r="G152">
        <f t="shared" si="9"/>
        <v>107</v>
      </c>
      <c r="H152">
        <v>1</v>
      </c>
      <c r="I152">
        <f t="shared" si="10"/>
        <v>79</v>
      </c>
      <c r="J152" t="str">
        <f t="shared" si="11"/>
        <v>爬塔首通79</v>
      </c>
    </row>
    <row r="153" ht="21" customHeight="1" spans="5:10">
      <c r="E153" s="190">
        <v>24000080</v>
      </c>
      <c r="F153" t="str">
        <v>专武抽卡券限时</v>
      </c>
      <c r="G153">
        <f t="shared" si="9"/>
        <v>112</v>
      </c>
      <c r="H153">
        <v>10</v>
      </c>
      <c r="I153">
        <f t="shared" si="10"/>
        <v>80</v>
      </c>
      <c r="J153" t="str">
        <f t="shared" si="11"/>
        <v>爬塔首通80</v>
      </c>
    </row>
    <row r="154" ht="21" customHeight="1" spans="5:10">
      <c r="E154" s="190">
        <v>24000081</v>
      </c>
      <c r="F154" t="str">
        <v>金币</v>
      </c>
      <c r="G154">
        <f t="shared" si="9"/>
        <v>1</v>
      </c>
      <c r="H154">
        <v>150000</v>
      </c>
      <c r="I154">
        <f t="shared" si="10"/>
        <v>81</v>
      </c>
      <c r="J154" t="str">
        <f t="shared" si="11"/>
        <v>爬塔首通81</v>
      </c>
    </row>
    <row r="155" ht="21" customHeight="1" spans="5:10">
      <c r="E155" s="190">
        <v>24000081</v>
      </c>
      <c r="F155" t="str">
        <v>专武抽卡券普通</v>
      </c>
      <c r="G155">
        <f t="shared" si="9"/>
        <v>107</v>
      </c>
      <c r="H155">
        <v>1</v>
      </c>
      <c r="I155">
        <f t="shared" si="10"/>
        <v>81</v>
      </c>
      <c r="J155" t="str">
        <f t="shared" si="11"/>
        <v>爬塔首通81</v>
      </c>
    </row>
    <row r="156" ht="21" customHeight="1" spans="5:10">
      <c r="E156" s="190">
        <v>24000082</v>
      </c>
      <c r="F156" t="str">
        <v>角色经验高10000</v>
      </c>
      <c r="G156">
        <f t="shared" si="9"/>
        <v>102</v>
      </c>
      <c r="H156">
        <v>15</v>
      </c>
      <c r="I156">
        <f t="shared" si="10"/>
        <v>82</v>
      </c>
      <c r="J156" t="str">
        <f t="shared" si="11"/>
        <v>爬塔首通82</v>
      </c>
    </row>
    <row r="157" ht="21" customHeight="1" spans="5:10">
      <c r="E157" s="190">
        <v>24000082</v>
      </c>
      <c r="F157" t="str">
        <v>专武抽卡券普通</v>
      </c>
      <c r="G157">
        <f t="shared" si="9"/>
        <v>107</v>
      </c>
      <c r="H157">
        <v>1</v>
      </c>
      <c r="I157">
        <f t="shared" si="10"/>
        <v>82</v>
      </c>
      <c r="J157" t="str">
        <f t="shared" si="11"/>
        <v>爬塔首通82</v>
      </c>
    </row>
    <row r="158" ht="21" customHeight="1" spans="5:10">
      <c r="E158" s="190">
        <v>24000083</v>
      </c>
      <c r="F158" t="str">
        <v>专武经验高20000</v>
      </c>
      <c r="G158">
        <f t="shared" si="9"/>
        <v>110</v>
      </c>
      <c r="H158">
        <v>15</v>
      </c>
      <c r="I158">
        <f t="shared" si="10"/>
        <v>83</v>
      </c>
      <c r="J158" t="str">
        <f t="shared" si="11"/>
        <v>爬塔首通83</v>
      </c>
    </row>
    <row r="159" ht="21" customHeight="1" spans="5:10">
      <c r="E159" s="190">
        <v>24000083</v>
      </c>
      <c r="F159" t="str">
        <v>专武抽卡券普通</v>
      </c>
      <c r="G159">
        <f t="shared" si="9"/>
        <v>107</v>
      </c>
      <c r="H159">
        <v>1</v>
      </c>
      <c r="I159">
        <f t="shared" si="10"/>
        <v>83</v>
      </c>
      <c r="J159" t="str">
        <f t="shared" si="11"/>
        <v>爬塔首通83</v>
      </c>
    </row>
    <row r="160" ht="21" customHeight="1" spans="5:10">
      <c r="E160" s="190">
        <v>24000084</v>
      </c>
      <c r="F160" t="str">
        <v>爬塔代币</v>
      </c>
      <c r="G160">
        <f t="shared" si="9"/>
        <v>27</v>
      </c>
      <c r="H160">
        <v>150</v>
      </c>
      <c r="I160">
        <f t="shared" si="10"/>
        <v>84</v>
      </c>
      <c r="J160" t="str">
        <f t="shared" si="11"/>
        <v>爬塔首通84</v>
      </c>
    </row>
    <row r="161" ht="21" customHeight="1" spans="5:10">
      <c r="E161" s="190">
        <v>24000084</v>
      </c>
      <c r="F161" t="str">
        <v>专武抽卡券普通</v>
      </c>
      <c r="G161">
        <f t="shared" si="9"/>
        <v>107</v>
      </c>
      <c r="H161">
        <v>1</v>
      </c>
      <c r="I161">
        <f t="shared" si="10"/>
        <v>84</v>
      </c>
      <c r="J161" t="str">
        <f t="shared" si="11"/>
        <v>爬塔首通84</v>
      </c>
    </row>
    <row r="162" ht="21" customHeight="1" spans="5:10">
      <c r="E162" s="190">
        <v>24000085</v>
      </c>
      <c r="F162" t="str">
        <v>钻石</v>
      </c>
      <c r="G162">
        <f t="shared" si="9"/>
        <v>2</v>
      </c>
      <c r="H162">
        <v>750</v>
      </c>
      <c r="I162">
        <f t="shared" si="10"/>
        <v>85</v>
      </c>
      <c r="J162" t="str">
        <f t="shared" si="11"/>
        <v>爬塔首通85</v>
      </c>
    </row>
    <row r="163" ht="21" customHeight="1" spans="5:10">
      <c r="E163" s="190">
        <v>24000085</v>
      </c>
      <c r="F163" t="str">
        <v>专武抽卡券普通</v>
      </c>
      <c r="G163">
        <f t="shared" si="9"/>
        <v>107</v>
      </c>
      <c r="H163">
        <v>3</v>
      </c>
      <c r="I163">
        <f t="shared" si="10"/>
        <v>85</v>
      </c>
      <c r="J163" t="str">
        <f t="shared" si="11"/>
        <v>爬塔首通85</v>
      </c>
    </row>
    <row r="164" ht="21" customHeight="1" spans="5:10">
      <c r="E164" s="190">
        <v>24000086</v>
      </c>
      <c r="F164" t="str">
        <v>金币</v>
      </c>
      <c r="G164">
        <f t="shared" si="9"/>
        <v>1</v>
      </c>
      <c r="H164">
        <v>150000</v>
      </c>
      <c r="I164">
        <f t="shared" si="10"/>
        <v>86</v>
      </c>
      <c r="J164" t="str">
        <f t="shared" si="11"/>
        <v>爬塔首通86</v>
      </c>
    </row>
    <row r="165" ht="21" customHeight="1" spans="5:10">
      <c r="E165" s="190">
        <v>24000086</v>
      </c>
      <c r="F165" t="str">
        <v>专武抽卡券普通</v>
      </c>
      <c r="G165">
        <f t="shared" si="9"/>
        <v>107</v>
      </c>
      <c r="H165">
        <v>1</v>
      </c>
      <c r="I165">
        <f t="shared" si="10"/>
        <v>86</v>
      </c>
      <c r="J165" t="str">
        <f t="shared" si="11"/>
        <v>爬塔首通86</v>
      </c>
    </row>
    <row r="166" ht="21" customHeight="1" spans="5:10">
      <c r="E166" s="190">
        <v>24000087</v>
      </c>
      <c r="F166" t="str">
        <v>角色经验高10000</v>
      </c>
      <c r="G166">
        <f t="shared" si="9"/>
        <v>102</v>
      </c>
      <c r="H166">
        <v>15</v>
      </c>
      <c r="I166">
        <f t="shared" si="10"/>
        <v>87</v>
      </c>
      <c r="J166" t="str">
        <f t="shared" si="11"/>
        <v>爬塔首通87</v>
      </c>
    </row>
    <row r="167" ht="21" customHeight="1" spans="5:10">
      <c r="E167" s="190">
        <v>24000087</v>
      </c>
      <c r="F167" t="str">
        <v>专武抽卡券普通</v>
      </c>
      <c r="G167">
        <f t="shared" si="9"/>
        <v>107</v>
      </c>
      <c r="H167">
        <v>1</v>
      </c>
      <c r="I167">
        <f t="shared" si="10"/>
        <v>87</v>
      </c>
      <c r="J167" t="str">
        <f t="shared" si="11"/>
        <v>爬塔首通87</v>
      </c>
    </row>
    <row r="168" ht="21" customHeight="1" spans="5:10">
      <c r="E168" s="190">
        <v>24000088</v>
      </c>
      <c r="F168" t="str">
        <v>专武经验高20000</v>
      </c>
      <c r="G168">
        <f t="shared" si="9"/>
        <v>110</v>
      </c>
      <c r="H168">
        <v>15</v>
      </c>
      <c r="I168">
        <f t="shared" si="10"/>
        <v>88</v>
      </c>
      <c r="J168" t="str">
        <f t="shared" si="11"/>
        <v>爬塔首通88</v>
      </c>
    </row>
    <row r="169" ht="21" customHeight="1" spans="5:10">
      <c r="E169" s="190">
        <v>24000088</v>
      </c>
      <c r="F169" t="str">
        <v>专武抽卡券普通</v>
      </c>
      <c r="G169">
        <f t="shared" si="9"/>
        <v>107</v>
      </c>
      <c r="H169">
        <v>1</v>
      </c>
      <c r="I169">
        <f t="shared" si="10"/>
        <v>88</v>
      </c>
      <c r="J169" t="str">
        <f t="shared" si="11"/>
        <v>爬塔首通88</v>
      </c>
    </row>
    <row r="170" ht="21" customHeight="1" spans="5:10">
      <c r="E170" s="190">
        <v>24000089</v>
      </c>
      <c r="F170" t="str">
        <v>爬塔代币</v>
      </c>
      <c r="G170">
        <f t="shared" si="9"/>
        <v>27</v>
      </c>
      <c r="H170">
        <v>150</v>
      </c>
      <c r="I170">
        <f t="shared" si="10"/>
        <v>89</v>
      </c>
      <c r="J170" t="str">
        <f t="shared" si="11"/>
        <v>爬塔首通89</v>
      </c>
    </row>
    <row r="171" ht="21" customHeight="1" spans="5:10">
      <c r="E171" s="190">
        <v>24000089</v>
      </c>
      <c r="F171" t="str">
        <v>专武抽卡券普通</v>
      </c>
      <c r="G171">
        <f t="shared" si="9"/>
        <v>107</v>
      </c>
      <c r="H171">
        <v>1</v>
      </c>
      <c r="I171">
        <f t="shared" si="10"/>
        <v>89</v>
      </c>
      <c r="J171" t="str">
        <f t="shared" si="11"/>
        <v>爬塔首通89</v>
      </c>
    </row>
    <row r="172" ht="21" customHeight="1" spans="5:10">
      <c r="E172" s="190">
        <v>24000090</v>
      </c>
      <c r="F172" t="str">
        <v>专武抽卡券限时</v>
      </c>
      <c r="G172">
        <f t="shared" si="9"/>
        <v>112</v>
      </c>
      <c r="H172">
        <v>10</v>
      </c>
      <c r="I172">
        <f t="shared" si="10"/>
        <v>90</v>
      </c>
      <c r="J172" t="str">
        <f t="shared" si="11"/>
        <v>爬塔首通90</v>
      </c>
    </row>
    <row r="173" ht="21" customHeight="1" spans="5:10">
      <c r="E173" s="190">
        <v>24000091</v>
      </c>
      <c r="F173" t="str">
        <v>金币</v>
      </c>
      <c r="G173">
        <f t="shared" si="9"/>
        <v>1</v>
      </c>
      <c r="H173">
        <v>150000</v>
      </c>
      <c r="I173">
        <f t="shared" si="10"/>
        <v>91</v>
      </c>
      <c r="J173" t="str">
        <f t="shared" si="11"/>
        <v>爬塔首通91</v>
      </c>
    </row>
    <row r="174" ht="21" customHeight="1" spans="5:10">
      <c r="E174" s="190">
        <v>24000091</v>
      </c>
      <c r="F174" t="str">
        <v>专武抽卡券普通</v>
      </c>
      <c r="G174">
        <f t="shared" si="9"/>
        <v>107</v>
      </c>
      <c r="H174">
        <v>1</v>
      </c>
      <c r="I174">
        <f t="shared" si="10"/>
        <v>91</v>
      </c>
      <c r="J174" t="str">
        <f t="shared" si="11"/>
        <v>爬塔首通91</v>
      </c>
    </row>
    <row r="175" ht="21" customHeight="1" spans="5:10">
      <c r="E175" s="190">
        <v>24000092</v>
      </c>
      <c r="F175" t="str">
        <v>角色经验高10000</v>
      </c>
      <c r="G175">
        <f t="shared" si="9"/>
        <v>102</v>
      </c>
      <c r="H175">
        <v>15</v>
      </c>
      <c r="I175">
        <f t="shared" si="10"/>
        <v>92</v>
      </c>
      <c r="J175" t="str">
        <f t="shared" si="11"/>
        <v>爬塔首通92</v>
      </c>
    </row>
    <row r="176" ht="21" customHeight="1" spans="5:10">
      <c r="E176" s="190">
        <v>24000092</v>
      </c>
      <c r="F176" t="str">
        <v>专武抽卡券普通</v>
      </c>
      <c r="G176">
        <f t="shared" si="9"/>
        <v>107</v>
      </c>
      <c r="H176">
        <v>1</v>
      </c>
      <c r="I176">
        <f t="shared" si="10"/>
        <v>92</v>
      </c>
      <c r="J176" t="str">
        <f t="shared" si="11"/>
        <v>爬塔首通92</v>
      </c>
    </row>
    <row r="177" ht="21" customHeight="1" spans="5:10">
      <c r="E177" s="190">
        <v>24000093</v>
      </c>
      <c r="F177" t="str">
        <v>专武经验高20000</v>
      </c>
      <c r="G177">
        <f t="shared" si="9"/>
        <v>110</v>
      </c>
      <c r="H177">
        <v>15</v>
      </c>
      <c r="I177">
        <f t="shared" si="10"/>
        <v>93</v>
      </c>
      <c r="J177" t="str">
        <f t="shared" si="11"/>
        <v>爬塔首通93</v>
      </c>
    </row>
    <row r="178" ht="21" customHeight="1" spans="5:10">
      <c r="E178" s="190">
        <v>24000093</v>
      </c>
      <c r="F178" t="str">
        <v>专武抽卡券普通</v>
      </c>
      <c r="G178">
        <f t="shared" si="9"/>
        <v>107</v>
      </c>
      <c r="H178">
        <v>1</v>
      </c>
      <c r="I178">
        <f t="shared" si="10"/>
        <v>93</v>
      </c>
      <c r="J178" t="str">
        <f t="shared" si="11"/>
        <v>爬塔首通93</v>
      </c>
    </row>
    <row r="179" ht="21" customHeight="1" spans="5:10">
      <c r="E179" s="190">
        <v>24000094</v>
      </c>
      <c r="F179" t="str">
        <v>爬塔代币</v>
      </c>
      <c r="G179">
        <f t="shared" si="9"/>
        <v>27</v>
      </c>
      <c r="H179">
        <v>150</v>
      </c>
      <c r="I179">
        <f t="shared" si="10"/>
        <v>94</v>
      </c>
      <c r="J179" t="str">
        <f t="shared" si="11"/>
        <v>爬塔首通94</v>
      </c>
    </row>
    <row r="180" ht="21" customHeight="1" spans="5:10">
      <c r="E180" s="190">
        <v>24000094</v>
      </c>
      <c r="F180" t="str">
        <v>专武抽卡券普通</v>
      </c>
      <c r="G180">
        <f t="shared" si="9"/>
        <v>107</v>
      </c>
      <c r="H180">
        <v>1</v>
      </c>
      <c r="I180">
        <f t="shared" si="10"/>
        <v>94</v>
      </c>
      <c r="J180" t="str">
        <f t="shared" si="11"/>
        <v>爬塔首通94</v>
      </c>
    </row>
    <row r="181" ht="21" customHeight="1" spans="5:10">
      <c r="E181" s="190">
        <v>24000095</v>
      </c>
      <c r="F181" t="str">
        <v>钻石</v>
      </c>
      <c r="G181">
        <f t="shared" si="9"/>
        <v>2</v>
      </c>
      <c r="H181">
        <v>750</v>
      </c>
      <c r="I181">
        <f t="shared" si="10"/>
        <v>95</v>
      </c>
      <c r="J181" t="str">
        <f t="shared" si="11"/>
        <v>爬塔首通95</v>
      </c>
    </row>
    <row r="182" ht="21" customHeight="1" spans="5:10">
      <c r="E182" s="190">
        <v>24000095</v>
      </c>
      <c r="F182" t="str">
        <v>额外星盘点</v>
      </c>
      <c r="G182">
        <f t="shared" si="9"/>
        <v>103</v>
      </c>
      <c r="H182">
        <v>1</v>
      </c>
      <c r="I182">
        <f t="shared" si="10"/>
        <v>95</v>
      </c>
      <c r="J182" t="str">
        <f t="shared" si="11"/>
        <v>爬塔首通95</v>
      </c>
    </row>
    <row r="183" ht="21" customHeight="1" spans="5:10">
      <c r="E183" s="190">
        <v>24000096</v>
      </c>
      <c r="F183" t="str">
        <v>金币</v>
      </c>
      <c r="G183">
        <f t="shared" si="9"/>
        <v>1</v>
      </c>
      <c r="H183">
        <v>150000</v>
      </c>
      <c r="I183">
        <f t="shared" si="10"/>
        <v>96</v>
      </c>
      <c r="J183" t="str">
        <f t="shared" si="11"/>
        <v>爬塔首通96</v>
      </c>
    </row>
    <row r="184" ht="21" customHeight="1" spans="5:10">
      <c r="E184" s="190">
        <v>24000096</v>
      </c>
      <c r="F184" t="str">
        <v>专武抽卡券普通</v>
      </c>
      <c r="G184">
        <f t="shared" si="9"/>
        <v>107</v>
      </c>
      <c r="H184">
        <v>1</v>
      </c>
      <c r="I184">
        <f t="shared" si="10"/>
        <v>96</v>
      </c>
      <c r="J184" t="str">
        <f t="shared" si="11"/>
        <v>爬塔首通96</v>
      </c>
    </row>
    <row r="185" ht="21" customHeight="1" spans="5:10">
      <c r="E185" s="190">
        <v>24000097</v>
      </c>
      <c r="F185" t="str">
        <v>角色经验高10000</v>
      </c>
      <c r="G185">
        <f t="shared" si="9"/>
        <v>102</v>
      </c>
      <c r="H185">
        <v>15</v>
      </c>
      <c r="I185">
        <f t="shared" si="10"/>
        <v>97</v>
      </c>
      <c r="J185" t="str">
        <f t="shared" si="11"/>
        <v>爬塔首通97</v>
      </c>
    </row>
    <row r="186" ht="21" customHeight="1" spans="5:10">
      <c r="E186" s="190">
        <v>24000097</v>
      </c>
      <c r="F186" t="str">
        <v>专武抽卡券普通</v>
      </c>
      <c r="G186">
        <f t="shared" si="9"/>
        <v>107</v>
      </c>
      <c r="H186">
        <v>1</v>
      </c>
      <c r="I186">
        <f t="shared" si="10"/>
        <v>97</v>
      </c>
      <c r="J186" t="str">
        <f t="shared" si="11"/>
        <v>爬塔首通97</v>
      </c>
    </row>
    <row r="187" ht="21" customHeight="1" spans="5:10">
      <c r="E187" s="190">
        <v>24000098</v>
      </c>
      <c r="F187" t="str">
        <v>专武经验高20000</v>
      </c>
      <c r="G187">
        <f t="shared" si="9"/>
        <v>110</v>
      </c>
      <c r="H187">
        <v>15</v>
      </c>
      <c r="I187">
        <f t="shared" si="10"/>
        <v>98</v>
      </c>
      <c r="J187" t="str">
        <f t="shared" si="11"/>
        <v>爬塔首通98</v>
      </c>
    </row>
    <row r="188" ht="21" customHeight="1" spans="5:10">
      <c r="E188" s="190">
        <v>24000098</v>
      </c>
      <c r="F188" t="str">
        <v>专武抽卡券普通</v>
      </c>
      <c r="G188">
        <f t="shared" si="9"/>
        <v>107</v>
      </c>
      <c r="H188">
        <v>1</v>
      </c>
      <c r="I188">
        <f t="shared" si="10"/>
        <v>98</v>
      </c>
      <c r="J188" t="str">
        <f t="shared" si="11"/>
        <v>爬塔首通98</v>
      </c>
    </row>
    <row r="189" ht="21" customHeight="1" spans="5:10">
      <c r="E189" s="190">
        <v>24000099</v>
      </c>
      <c r="F189" t="str">
        <v>爬塔代币</v>
      </c>
      <c r="G189">
        <f t="shared" si="9"/>
        <v>27</v>
      </c>
      <c r="H189">
        <v>150</v>
      </c>
      <c r="I189">
        <f t="shared" si="10"/>
        <v>99</v>
      </c>
      <c r="J189" t="str">
        <f t="shared" si="11"/>
        <v>爬塔首通99</v>
      </c>
    </row>
    <row r="190" ht="21" customHeight="1" spans="5:10">
      <c r="E190" s="190">
        <v>24000099</v>
      </c>
      <c r="F190" t="str">
        <v>专武抽卡券普通</v>
      </c>
      <c r="G190">
        <f t="shared" si="9"/>
        <v>107</v>
      </c>
      <c r="H190">
        <v>1</v>
      </c>
      <c r="I190">
        <f t="shared" si="10"/>
        <v>99</v>
      </c>
      <c r="J190" t="str">
        <f t="shared" si="11"/>
        <v>爬塔首通99</v>
      </c>
    </row>
    <row r="191" ht="21" customHeight="1" spans="5:10">
      <c r="E191" s="190">
        <v>24000100</v>
      </c>
      <c r="F191" t="str">
        <v>专武抽卡券限时</v>
      </c>
      <c r="G191">
        <f t="shared" si="9"/>
        <v>112</v>
      </c>
      <c r="H191">
        <v>10</v>
      </c>
      <c r="I191">
        <f t="shared" si="10"/>
        <v>100</v>
      </c>
      <c r="J191" t="str">
        <f t="shared" si="11"/>
        <v>爬塔首通100</v>
      </c>
    </row>
    <row r="192" ht="21" customHeight="1" spans="5:10">
      <c r="E192" s="190">
        <v>24000100</v>
      </c>
      <c r="F192" t="str">
        <v>角色抽卡券限时</v>
      </c>
      <c r="G192">
        <f t="shared" si="9"/>
        <v>111</v>
      </c>
      <c r="H192">
        <v>10</v>
      </c>
      <c r="I192">
        <f t="shared" si="10"/>
        <v>100</v>
      </c>
      <c r="J192" t="str">
        <f t="shared" si="11"/>
        <v>爬塔首通100</v>
      </c>
    </row>
  </sheetData>
  <conditionalFormatting sqref="C91">
    <cfRule type="duplicateValues" dxfId="0" priority="1"/>
  </conditionalFormatting>
  <conditionalFormatting sqref="C92">
    <cfRule type="duplicateValues" dxfId="0" priority="2"/>
  </conditionalFormatting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B2:Y68"/>
  <sheetViews>
    <sheetView topLeftCell="A33" workbookViewId="0">
      <selection activeCell="K60" sqref="K60"/>
    </sheetView>
  </sheetViews>
  <sheetFormatPr defaultColWidth="9" defaultRowHeight="16.5"/>
  <cols>
    <col min="1" max="2" width="9" style="3" customWidth="1"/>
    <col min="3" max="6" width="17.125" style="3" customWidth="1"/>
    <col min="7" max="7" width="12.875" style="3" customWidth="1"/>
    <col min="8" max="8" width="12.75" style="3" customWidth="1"/>
    <col min="9" max="9" width="9.5" style="3" customWidth="1"/>
    <col min="10" max="10" width="8.875" style="3" customWidth="1"/>
    <col min="11" max="11" width="12.875" style="3" customWidth="1"/>
    <col min="12" max="12" width="17.125" style="3" customWidth="1"/>
    <col min="13" max="13" width="21.25" style="3" customWidth="1"/>
    <col min="14" max="14" width="12.875" style="3" customWidth="1"/>
    <col min="15" max="15" width="20" style="3" customWidth="1"/>
    <col min="16" max="16" width="14.125" style="3" customWidth="1"/>
    <col min="17" max="18" width="12.875" style="3" customWidth="1"/>
    <col min="19" max="19" width="7.875" style="3" customWidth="1"/>
    <col min="20" max="20" width="10" style="3" customWidth="1"/>
    <col min="21" max="16384" width="9" style="3" customWidth="1"/>
  </cols>
  <sheetData>
    <row r="2" spans="2:18">
      <c r="B2" s="3" t="s">
        <v>1922</v>
      </c>
    </row>
    <row r="3" spans="2:18">
      <c r="B3" s="179">
        <v>25</v>
      </c>
    </row>
    <row r="5" spans="2:18">
      <c r="L5" s="3" t="s">
        <v>180</v>
      </c>
    </row>
    <row r="7" spans="2:18">
      <c r="L7" s="19" t="s">
        <v>1902</v>
      </c>
      <c r="M7" s="19" t="s">
        <v>1923</v>
      </c>
      <c r="N7" s="19" t="s">
        <v>1924</v>
      </c>
      <c r="O7" s="19" t="s">
        <v>1925</v>
      </c>
      <c r="P7" s="19" t="s">
        <v>1926</v>
      </c>
      <c r="Q7" s="19"/>
      <c r="R7" s="19"/>
    </row>
    <row r="8" spans="2:18">
      <c r="L8" s="16">
        <v>1</v>
      </c>
      <c r="M8" s="3" t="s">
        <v>8</v>
      </c>
      <c r="N8" s="3">
        <v>1</v>
      </c>
    </row>
    <row r="9" spans="2:18">
      <c r="L9" s="16">
        <v>2</v>
      </c>
      <c r="M9" s="3" t="s">
        <v>8</v>
      </c>
      <c r="N9" s="3">
        <v>1</v>
      </c>
    </row>
    <row r="10" spans="2:18">
      <c r="L10" s="16">
        <v>3</v>
      </c>
      <c r="M10" s="3" t="s">
        <v>8</v>
      </c>
      <c r="N10" s="3">
        <v>1</v>
      </c>
    </row>
    <row r="11" spans="2:18">
      <c r="L11" s="16">
        <v>4</v>
      </c>
      <c r="M11" s="3" t="s">
        <v>8</v>
      </c>
      <c r="N11" s="3">
        <v>1</v>
      </c>
    </row>
    <row r="12" spans="2:18">
      <c r="L12" s="16">
        <v>5</v>
      </c>
      <c r="M12" s="3" t="s">
        <v>8</v>
      </c>
      <c r="N12" s="3">
        <v>1</v>
      </c>
    </row>
    <row r="13" spans="2:18">
      <c r="L13" s="16">
        <v>6</v>
      </c>
      <c r="M13" s="3" t="s">
        <v>8</v>
      </c>
      <c r="N13" s="3">
        <v>1</v>
      </c>
    </row>
    <row r="14" spans="2:18">
      <c r="L14" s="16">
        <v>7</v>
      </c>
      <c r="M14" s="3" t="s">
        <v>8</v>
      </c>
      <c r="N14" s="3">
        <v>1</v>
      </c>
      <c r="O14" s="3" t="s">
        <v>9</v>
      </c>
      <c r="P14" s="3">
        <v>1</v>
      </c>
    </row>
    <row r="15" spans="2:18">
      <c r="L15" s="16">
        <v>8</v>
      </c>
      <c r="M15" s="3" t="s">
        <v>8</v>
      </c>
      <c r="N15" s="3">
        <v>1</v>
      </c>
      <c r="O15" s="3" t="s">
        <v>9</v>
      </c>
      <c r="P15" s="3">
        <v>1</v>
      </c>
    </row>
    <row r="16" spans="2:18">
      <c r="L16" s="16">
        <v>9</v>
      </c>
      <c r="M16" s="3" t="s">
        <v>8</v>
      </c>
      <c r="N16" s="3">
        <v>1</v>
      </c>
      <c r="O16" s="3" t="s">
        <v>9</v>
      </c>
      <c r="P16" s="3">
        <v>1</v>
      </c>
    </row>
    <row r="17" spans="12:16">
      <c r="L17" s="16">
        <v>10</v>
      </c>
      <c r="M17" s="3" t="s">
        <v>8</v>
      </c>
      <c r="N17" s="3">
        <v>1</v>
      </c>
      <c r="O17" s="3" t="s">
        <v>9</v>
      </c>
      <c r="P17" s="3">
        <v>1</v>
      </c>
    </row>
    <row r="18" spans="12:16">
      <c r="L18" s="16">
        <v>11</v>
      </c>
      <c r="M18" s="3" t="s">
        <v>8</v>
      </c>
      <c r="N18" s="3">
        <v>1</v>
      </c>
      <c r="O18" s="3" t="s">
        <v>9</v>
      </c>
      <c r="P18" s="3">
        <v>1</v>
      </c>
    </row>
    <row r="19" spans="12:16">
      <c r="L19" s="16">
        <v>12</v>
      </c>
      <c r="M19" s="3" t="s">
        <v>8</v>
      </c>
      <c r="N19" s="3">
        <v>1</v>
      </c>
      <c r="O19" s="3" t="s">
        <v>9</v>
      </c>
      <c r="P19" s="3">
        <v>1</v>
      </c>
    </row>
    <row r="20" spans="12:16">
      <c r="L20" s="16">
        <v>13</v>
      </c>
      <c r="M20" s="3" t="s">
        <v>8</v>
      </c>
      <c r="N20" s="3">
        <v>2</v>
      </c>
      <c r="O20" s="3" t="s">
        <v>9</v>
      </c>
      <c r="P20" s="3">
        <v>1</v>
      </c>
    </row>
    <row r="21" spans="12:16">
      <c r="L21" s="16">
        <v>14</v>
      </c>
      <c r="M21" s="3" t="s">
        <v>8</v>
      </c>
      <c r="N21" s="3">
        <v>2</v>
      </c>
      <c r="O21" s="3" t="s">
        <v>9</v>
      </c>
      <c r="P21" s="3">
        <v>1</v>
      </c>
    </row>
    <row r="22" spans="12:16">
      <c r="L22" s="16">
        <v>15</v>
      </c>
      <c r="M22" s="3" t="s">
        <v>8</v>
      </c>
      <c r="N22" s="3">
        <v>2</v>
      </c>
      <c r="O22" s="3" t="s">
        <v>9</v>
      </c>
      <c r="P22" s="3">
        <v>1</v>
      </c>
    </row>
    <row r="23" spans="12:16">
      <c r="L23" s="16">
        <v>16</v>
      </c>
      <c r="M23" s="3" t="s">
        <v>8</v>
      </c>
      <c r="N23" s="3">
        <v>2</v>
      </c>
      <c r="O23" s="3" t="s">
        <v>9</v>
      </c>
      <c r="P23" s="3">
        <v>1</v>
      </c>
    </row>
    <row r="24" spans="12:16">
      <c r="L24" s="16">
        <v>17</v>
      </c>
      <c r="M24" s="3" t="s">
        <v>8</v>
      </c>
      <c r="N24" s="3">
        <v>2</v>
      </c>
      <c r="O24" s="3" t="s">
        <v>9</v>
      </c>
      <c r="P24" s="3">
        <v>1</v>
      </c>
    </row>
    <row r="25" spans="12:16">
      <c r="L25" s="16">
        <v>18</v>
      </c>
      <c r="M25" s="3" t="s">
        <v>8</v>
      </c>
      <c r="N25" s="3">
        <v>2</v>
      </c>
      <c r="O25" s="3" t="s">
        <v>9</v>
      </c>
      <c r="P25" s="3">
        <v>1</v>
      </c>
    </row>
    <row r="26" spans="12:16">
      <c r="L26" s="16">
        <v>19</v>
      </c>
      <c r="M26" s="3" t="s">
        <v>8</v>
      </c>
      <c r="N26" s="3">
        <v>2</v>
      </c>
      <c r="O26" s="3" t="s">
        <v>9</v>
      </c>
      <c r="P26" s="3">
        <v>2</v>
      </c>
    </row>
    <row r="27" spans="12:16">
      <c r="L27" s="16">
        <v>20</v>
      </c>
      <c r="M27" s="3" t="s">
        <v>8</v>
      </c>
      <c r="N27" s="3">
        <v>2</v>
      </c>
      <c r="O27" s="3" t="s">
        <v>9</v>
      </c>
      <c r="P27" s="3">
        <v>2</v>
      </c>
    </row>
    <row r="28" spans="12:16">
      <c r="L28" s="16">
        <v>21</v>
      </c>
      <c r="M28" s="3" t="s">
        <v>8</v>
      </c>
      <c r="N28" s="3">
        <v>2</v>
      </c>
      <c r="O28" s="3" t="s">
        <v>9</v>
      </c>
      <c r="P28" s="3">
        <v>2</v>
      </c>
    </row>
    <row r="29" spans="12:16">
      <c r="L29" s="16">
        <v>22</v>
      </c>
      <c r="M29" s="3" t="s">
        <v>8</v>
      </c>
      <c r="N29" s="3">
        <v>2</v>
      </c>
      <c r="O29" s="3" t="s">
        <v>9</v>
      </c>
      <c r="P29" s="3">
        <v>2</v>
      </c>
    </row>
    <row r="30" spans="12:16">
      <c r="L30" s="16">
        <v>23</v>
      </c>
      <c r="M30" s="3" t="s">
        <v>8</v>
      </c>
      <c r="N30" s="3">
        <v>2</v>
      </c>
      <c r="O30" s="3" t="s">
        <v>9</v>
      </c>
      <c r="P30" s="3">
        <v>2</v>
      </c>
    </row>
    <row r="31" spans="12:16">
      <c r="L31" s="16">
        <v>24</v>
      </c>
      <c r="M31" s="3" t="s">
        <v>8</v>
      </c>
      <c r="N31" s="3">
        <v>2</v>
      </c>
      <c r="O31" s="3" t="s">
        <v>9</v>
      </c>
      <c r="P31" s="3">
        <v>2</v>
      </c>
    </row>
    <row r="32" spans="12:16">
      <c r="L32" s="16">
        <v>25</v>
      </c>
      <c r="M32" s="3" t="s">
        <v>8</v>
      </c>
      <c r="N32" s="3">
        <v>2</v>
      </c>
      <c r="O32" s="3" t="s">
        <v>9</v>
      </c>
      <c r="P32" s="3">
        <v>2</v>
      </c>
    </row>
    <row r="35" spans="2:25">
      <c r="B35" s="3" t="s">
        <v>1927</v>
      </c>
    </row>
    <row r="37" spans="2:25">
      <c r="B37" s="19" t="s">
        <v>1262</v>
      </c>
      <c r="C37" s="19" t="s">
        <v>1928</v>
      </c>
      <c r="D37" s="19" t="s">
        <v>1929</v>
      </c>
    </row>
    <row r="38" spans="2:25">
      <c r="B38" s="16">
        <v>1</v>
      </c>
      <c r="C38" s="16">
        <v>120</v>
      </c>
      <c r="D38" s="16">
        <v>3</v>
      </c>
    </row>
    <row r="39" spans="2:25">
      <c r="B39" s="16">
        <v>2</v>
      </c>
      <c r="C39" s="16">
        <v>150</v>
      </c>
      <c r="D39" s="16">
        <v>2</v>
      </c>
    </row>
    <row r="40" spans="2:25">
      <c r="B40" s="16">
        <v>3</v>
      </c>
      <c r="C40" s="16">
        <v>180</v>
      </c>
      <c r="D40" s="16">
        <v>1</v>
      </c>
    </row>
    <row r="41" spans="2:25">
      <c r="K41" s="3" t="s">
        <v>1930</v>
      </c>
      <c r="O41" s="3" t="s">
        <v>1931</v>
      </c>
      <c r="S41" s="3" t="s">
        <v>1690</v>
      </c>
      <c r="T41" s="3" t="s">
        <v>1689</v>
      </c>
    </row>
    <row r="42" spans="2:25">
      <c r="K42" s="19" t="s">
        <v>1262</v>
      </c>
      <c r="L42" s="19" t="s">
        <v>1932</v>
      </c>
      <c r="M42" s="19" t="s">
        <v>1123</v>
      </c>
      <c r="O42" s="19" t="s">
        <v>1262</v>
      </c>
      <c r="P42" s="19" t="s">
        <v>1932</v>
      </c>
      <c r="Q42" s="19" t="s">
        <v>1123</v>
      </c>
      <c r="S42" s="19" t="s">
        <v>1262</v>
      </c>
      <c r="T42" s="19" t="s">
        <v>1932</v>
      </c>
      <c r="U42" s="19" t="s">
        <v>1123</v>
      </c>
      <c r="V42" s="19" t="s">
        <v>1933</v>
      </c>
      <c r="W42" s="19" t="s">
        <v>1125</v>
      </c>
      <c r="X42" s="19" t="s">
        <v>1934</v>
      </c>
      <c r="Y42" s="19" t="s">
        <v>1127</v>
      </c>
    </row>
    <row r="43" spans="2:25">
      <c r="B43" s="19" t="s">
        <v>1902</v>
      </c>
      <c r="C43" s="19" t="s">
        <v>1935</v>
      </c>
      <c r="D43" s="19" t="s">
        <v>1936</v>
      </c>
      <c r="E43" s="19" t="s">
        <v>1937</v>
      </c>
      <c r="G43" s="3" t="s">
        <v>1938</v>
      </c>
      <c r="H43" s="5">
        <v>1</v>
      </c>
      <c r="K43" s="3">
        <v>100</v>
      </c>
      <c r="L43" s="3" t="s">
        <v>601</v>
      </c>
      <c r="M43" s="3">
        <v>20000</v>
      </c>
      <c r="O43" s="16">
        <v>500</v>
      </c>
      <c r="P43" s="3" t="s">
        <v>6</v>
      </c>
      <c r="Q43" s="3">
        <v>3</v>
      </c>
      <c r="S43" s="187">
        <v>0.01</v>
      </c>
    </row>
    <row r="44" spans="2:25">
      <c r="B44" s="16">
        <f t="array" ref="B44:B68">_xlfn.SEQUENCE(B3,1,1,1)</f>
        <v>1</v>
      </c>
      <c r="C44" s="3">
        <v>100</v>
      </c>
      <c r="D44" s="3">
        <v>100</v>
      </c>
      <c r="E44" s="3">
        <v>100</v>
      </c>
      <c r="F44" s="3" t="s">
        <v>1136</v>
      </c>
      <c r="G44" s="3" t="str">
        <f t="shared" ref="G44:G68" si="0">_xlfn.CONCAT(C44,$F$44,D44,$F$44,E44)</f>
        <v>100;100;100</v>
      </c>
      <c r="K44" s="3">
        <v>200</v>
      </c>
      <c r="L44" s="3" t="s">
        <v>5</v>
      </c>
      <c r="M44" s="3">
        <v>50</v>
      </c>
      <c r="O44" s="16">
        <v>1000</v>
      </c>
      <c r="P44" s="3" t="s">
        <v>5</v>
      </c>
      <c r="Q44" s="3">
        <v>300</v>
      </c>
      <c r="S44" s="187">
        <v>0.05</v>
      </c>
    </row>
    <row r="45" spans="2:25">
      <c r="B45" s="16">
        <v>2</v>
      </c>
      <c r="C45" s="3">
        <v>200</v>
      </c>
      <c r="D45" s="3">
        <v>200</v>
      </c>
      <c r="E45" s="3">
        <v>200</v>
      </c>
      <c r="G45" s="3" t="str">
        <f t="shared" si="0"/>
        <v>200;200;200</v>
      </c>
      <c r="K45" s="3">
        <v>300</v>
      </c>
      <c r="L45" s="3" t="s">
        <v>614</v>
      </c>
      <c r="M45" s="3">
        <v>3</v>
      </c>
      <c r="O45" s="16">
        <v>1500</v>
      </c>
      <c r="P45" s="3" t="s">
        <v>7</v>
      </c>
      <c r="Q45" s="3">
        <v>3</v>
      </c>
      <c r="S45" s="187">
        <v>0.15</v>
      </c>
    </row>
    <row r="46" spans="2:25">
      <c r="B46" s="16">
        <v>3</v>
      </c>
      <c r="C46" s="3">
        <v>300</v>
      </c>
      <c r="D46" s="3">
        <v>300</v>
      </c>
      <c r="E46" s="3">
        <v>300</v>
      </c>
      <c r="G46" s="3" t="str">
        <f t="shared" si="0"/>
        <v>300;300;300</v>
      </c>
      <c r="K46" s="3">
        <v>400</v>
      </c>
      <c r="L46" s="3" t="s">
        <v>5</v>
      </c>
      <c r="M46" s="3">
        <v>50</v>
      </c>
      <c r="O46" s="16">
        <v>2000</v>
      </c>
      <c r="P46" s="3" t="s">
        <v>1939</v>
      </c>
      <c r="Q46" s="3">
        <v>1</v>
      </c>
      <c r="S46" s="187">
        <v>0.3</v>
      </c>
    </row>
    <row r="47" spans="2:25">
      <c r="B47" s="16">
        <v>4</v>
      </c>
      <c r="C47" s="3">
        <v>400</v>
      </c>
      <c r="D47" s="3">
        <v>400</v>
      </c>
      <c r="E47" s="3">
        <v>400</v>
      </c>
      <c r="G47" s="3" t="str">
        <f t="shared" si="0"/>
        <v>400;400;400</v>
      </c>
      <c r="K47" s="3">
        <v>500</v>
      </c>
      <c r="L47" s="3" t="s">
        <v>6</v>
      </c>
      <c r="M47" s="3">
        <v>1</v>
      </c>
      <c r="O47" s="16">
        <v>3000</v>
      </c>
      <c r="P47" s="3" t="s">
        <v>5</v>
      </c>
      <c r="Q47" s="3">
        <v>3</v>
      </c>
      <c r="S47" s="187">
        <v>0.5</v>
      </c>
    </row>
    <row r="48" spans="2:25">
      <c r="B48" s="16">
        <v>5</v>
      </c>
      <c r="C48" s="3">
        <v>500</v>
      </c>
      <c r="D48" s="3">
        <v>500</v>
      </c>
      <c r="E48" s="3">
        <v>500</v>
      </c>
      <c r="G48" s="3" t="str">
        <f t="shared" si="0"/>
        <v>500;500;500</v>
      </c>
      <c r="K48" s="3">
        <v>600</v>
      </c>
      <c r="L48" s="3" t="s">
        <v>670</v>
      </c>
      <c r="M48" s="3">
        <v>3</v>
      </c>
      <c r="O48" s="16">
        <v>4000</v>
      </c>
      <c r="P48" s="3" t="s">
        <v>1940</v>
      </c>
      <c r="Q48" s="3">
        <v>400</v>
      </c>
      <c r="S48" s="187">
        <v>1</v>
      </c>
    </row>
    <row r="49" spans="2:17">
      <c r="B49" s="16">
        <v>6</v>
      </c>
      <c r="C49" s="3">
        <v>600</v>
      </c>
      <c r="D49" s="3">
        <v>600</v>
      </c>
      <c r="E49" s="3">
        <v>600</v>
      </c>
      <c r="G49" s="3" t="str">
        <f t="shared" si="0"/>
        <v>600;600;600</v>
      </c>
      <c r="K49" s="3">
        <v>700</v>
      </c>
      <c r="L49" s="3" t="s">
        <v>601</v>
      </c>
      <c r="M49" s="3">
        <v>30000</v>
      </c>
      <c r="O49" s="16">
        <v>5000</v>
      </c>
      <c r="P49" s="3" t="s">
        <v>1941</v>
      </c>
      <c r="Q49" s="3">
        <v>3</v>
      </c>
    </row>
    <row r="50" spans="2:17">
      <c r="B50" s="16">
        <v>7</v>
      </c>
      <c r="C50" s="3">
        <v>700</v>
      </c>
      <c r="D50" s="3">
        <v>700</v>
      </c>
      <c r="E50" s="3">
        <v>700</v>
      </c>
      <c r="G50" s="3" t="str">
        <f t="shared" si="0"/>
        <v>700;700;700</v>
      </c>
      <c r="K50" s="3">
        <v>800</v>
      </c>
      <c r="L50" s="3" t="s">
        <v>5</v>
      </c>
      <c r="M50" s="3">
        <v>100</v>
      </c>
      <c r="O50" s="16">
        <v>6000</v>
      </c>
      <c r="P50" s="3" t="s">
        <v>5</v>
      </c>
      <c r="Q50" s="3">
        <v>1</v>
      </c>
    </row>
    <row r="51" spans="2:17">
      <c r="B51" s="16">
        <v>8</v>
      </c>
      <c r="C51" s="3">
        <v>800</v>
      </c>
      <c r="D51" s="3">
        <v>800</v>
      </c>
      <c r="E51" s="3">
        <v>800</v>
      </c>
      <c r="G51" s="3" t="str">
        <f t="shared" si="0"/>
        <v>800;800;800</v>
      </c>
      <c r="K51" s="3">
        <v>900</v>
      </c>
      <c r="L51" s="3" t="s">
        <v>7</v>
      </c>
      <c r="M51" s="3">
        <v>1</v>
      </c>
      <c r="O51" s="16">
        <v>7000</v>
      </c>
      <c r="P51" s="3" t="s">
        <v>1940</v>
      </c>
      <c r="Q51" s="3">
        <v>3</v>
      </c>
    </row>
    <row r="52" spans="2:17">
      <c r="B52" s="16">
        <v>9</v>
      </c>
      <c r="C52" s="3">
        <v>900</v>
      </c>
      <c r="D52" s="3">
        <v>900</v>
      </c>
      <c r="E52" s="3">
        <v>900</v>
      </c>
      <c r="G52" s="3" t="str">
        <f t="shared" si="0"/>
        <v>900;900;900</v>
      </c>
      <c r="K52" s="3">
        <v>1000</v>
      </c>
      <c r="L52" s="3" t="s">
        <v>5</v>
      </c>
      <c r="M52" s="3">
        <v>150</v>
      </c>
      <c r="O52" s="16">
        <v>8000</v>
      </c>
      <c r="P52" s="3" t="s">
        <v>5</v>
      </c>
      <c r="Q52" s="3">
        <v>600</v>
      </c>
    </row>
    <row r="53" spans="2:17">
      <c r="B53" s="16">
        <v>10</v>
      </c>
      <c r="C53" s="3">
        <v>1000</v>
      </c>
      <c r="D53" s="3">
        <v>1000</v>
      </c>
      <c r="E53" s="3">
        <v>1000</v>
      </c>
      <c r="G53" s="3" t="str">
        <f t="shared" si="0"/>
        <v>1000;1000;1000</v>
      </c>
    </row>
    <row r="54" spans="2:17">
      <c r="B54" s="16">
        <v>11</v>
      </c>
      <c r="C54" s="3">
        <v>1100</v>
      </c>
      <c r="D54" s="3">
        <v>1100</v>
      </c>
      <c r="E54" s="3">
        <v>1100</v>
      </c>
      <c r="G54" s="3" t="str">
        <f t="shared" si="0"/>
        <v>1100;1100;1100</v>
      </c>
    </row>
    <row r="55" spans="2:17">
      <c r="B55" s="16">
        <v>12</v>
      </c>
      <c r="C55" s="3">
        <v>1200</v>
      </c>
      <c r="D55" s="3">
        <v>1200</v>
      </c>
      <c r="E55" s="3">
        <v>1200</v>
      </c>
      <c r="G55" s="3" t="str">
        <f t="shared" si="0"/>
        <v>1200;1200;1200</v>
      </c>
    </row>
    <row r="56" spans="2:17">
      <c r="B56" s="16">
        <v>13</v>
      </c>
      <c r="C56" s="3">
        <v>1300</v>
      </c>
      <c r="D56" s="3">
        <v>1300</v>
      </c>
      <c r="E56" s="3">
        <v>1300</v>
      </c>
      <c r="G56" s="3" t="str">
        <f t="shared" si="0"/>
        <v>1300;1300;1300</v>
      </c>
    </row>
    <row r="57" spans="2:17">
      <c r="B57" s="16">
        <v>14</v>
      </c>
      <c r="C57" s="3">
        <v>1400</v>
      </c>
      <c r="D57" s="3">
        <v>1400</v>
      </c>
      <c r="E57" s="3">
        <v>1400</v>
      </c>
      <c r="G57" s="3" t="str">
        <f t="shared" si="0"/>
        <v>1400;1400;1400</v>
      </c>
    </row>
    <row r="58" spans="2:17">
      <c r="B58" s="16">
        <v>15</v>
      </c>
      <c r="C58" s="3">
        <v>1500</v>
      </c>
      <c r="D58" s="3">
        <v>1500</v>
      </c>
      <c r="E58" s="3">
        <v>1500</v>
      </c>
      <c r="G58" s="3" t="str">
        <f t="shared" si="0"/>
        <v>1500;1500;1500</v>
      </c>
    </row>
    <row r="59" spans="2:17">
      <c r="B59" s="16">
        <v>16</v>
      </c>
      <c r="C59" s="3">
        <v>1600</v>
      </c>
      <c r="D59" s="3">
        <v>1600</v>
      </c>
      <c r="E59" s="3">
        <v>1600</v>
      </c>
      <c r="G59" s="3" t="str">
        <f t="shared" si="0"/>
        <v>1600;1600;1600</v>
      </c>
    </row>
    <row r="60" spans="2:17">
      <c r="B60" s="16">
        <v>17</v>
      </c>
      <c r="C60" s="3">
        <v>1700</v>
      </c>
      <c r="D60" s="3">
        <v>1700</v>
      </c>
      <c r="E60" s="3">
        <v>1700</v>
      </c>
      <c r="G60" s="3" t="str">
        <f t="shared" si="0"/>
        <v>1700;1700;1700</v>
      </c>
    </row>
    <row r="61" spans="2:17">
      <c r="B61" s="16">
        <v>18</v>
      </c>
      <c r="C61" s="3">
        <v>1800</v>
      </c>
      <c r="D61" s="3">
        <v>1800</v>
      </c>
      <c r="E61" s="3">
        <v>1800</v>
      </c>
      <c r="G61" s="3" t="str">
        <f t="shared" si="0"/>
        <v>1800;1800;1800</v>
      </c>
    </row>
    <row r="62" spans="2:17">
      <c r="B62" s="16">
        <v>19</v>
      </c>
      <c r="C62" s="3">
        <v>1900</v>
      </c>
      <c r="D62" s="3">
        <v>1900</v>
      </c>
      <c r="E62" s="3">
        <v>1900</v>
      </c>
      <c r="G62" s="3" t="str">
        <f t="shared" si="0"/>
        <v>1900;1900;1900</v>
      </c>
    </row>
    <row r="63" spans="2:17">
      <c r="B63" s="16">
        <v>20</v>
      </c>
      <c r="C63" s="3">
        <v>2000</v>
      </c>
      <c r="D63" s="3">
        <v>2000</v>
      </c>
      <c r="E63" s="3">
        <v>2000</v>
      </c>
      <c r="G63" s="3" t="str">
        <f t="shared" si="0"/>
        <v>2000;2000;2000</v>
      </c>
    </row>
    <row r="64" spans="2:17">
      <c r="B64" s="16">
        <v>21</v>
      </c>
      <c r="C64" s="3">
        <v>2100</v>
      </c>
      <c r="D64" s="3">
        <v>2100</v>
      </c>
      <c r="E64" s="3">
        <v>2100</v>
      </c>
      <c r="G64" s="3" t="str">
        <f t="shared" si="0"/>
        <v>2100;2100;2100</v>
      </c>
    </row>
    <row r="65" spans="2:7">
      <c r="B65" s="16">
        <v>22</v>
      </c>
      <c r="C65" s="3">
        <v>2200</v>
      </c>
      <c r="D65" s="3">
        <v>2200</v>
      </c>
      <c r="E65" s="3">
        <v>2200</v>
      </c>
      <c r="G65" s="3" t="str">
        <f t="shared" si="0"/>
        <v>2200;2200;2200</v>
      </c>
    </row>
    <row r="66" spans="2:7">
      <c r="B66" s="16">
        <v>23</v>
      </c>
      <c r="C66" s="3">
        <v>2300</v>
      </c>
      <c r="D66" s="3">
        <v>2300</v>
      </c>
      <c r="E66" s="3">
        <v>2300</v>
      </c>
      <c r="G66" s="3" t="str">
        <f t="shared" si="0"/>
        <v>2300;2300;2300</v>
      </c>
    </row>
    <row r="67" spans="2:7">
      <c r="B67" s="16">
        <v>24</v>
      </c>
      <c r="C67" s="3">
        <v>2400</v>
      </c>
      <c r="D67" s="3">
        <v>2400</v>
      </c>
      <c r="E67" s="3">
        <v>2400</v>
      </c>
      <c r="G67" s="3" t="str">
        <f t="shared" si="0"/>
        <v>2400;2400;2400</v>
      </c>
    </row>
    <row r="68" spans="2:7">
      <c r="B68" s="16">
        <v>25</v>
      </c>
      <c r="C68" s="3">
        <v>2500</v>
      </c>
      <c r="D68" s="3">
        <v>2500</v>
      </c>
      <c r="E68" s="3">
        <v>2500</v>
      </c>
      <c r="G68" s="3" t="str">
        <f t="shared" si="0"/>
        <v>2500;2500;2500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2:Q68"/>
  <sheetViews>
    <sheetView workbookViewId="0">
      <selection activeCell="C25" sqref="C25"/>
    </sheetView>
  </sheetViews>
  <sheetFormatPr defaultColWidth="9" defaultRowHeight="16.5"/>
  <cols>
    <col min="1" max="1" width="9" style="16" customWidth="1"/>
    <col min="2" max="2" width="13.875" style="16" customWidth="1"/>
    <col min="3" max="3" width="15.625" style="16" customWidth="1"/>
    <col min="4" max="4" width="15.5" style="16" customWidth="1"/>
    <col min="5" max="5" width="12.25" style="16" customWidth="1"/>
    <col min="6" max="6" width="16.625" style="16" customWidth="1"/>
    <col min="7" max="8" width="9" style="16" customWidth="1"/>
    <col min="9" max="9" width="9.625" style="16" customWidth="1"/>
    <col min="10" max="10" width="14.75" style="16" customWidth="1"/>
    <col min="11" max="11" width="9" style="16" customWidth="1"/>
    <col min="12" max="12" width="18.375" style="16" customWidth="1"/>
    <col min="13" max="16384" width="9" style="16" customWidth="1"/>
  </cols>
  <sheetData>
    <row r="2" spans="2:17">
      <c r="B2" s="185" t="s">
        <v>1942</v>
      </c>
      <c r="N2" s="185" t="s">
        <v>599</v>
      </c>
    </row>
    <row r="4" spans="2:17">
      <c r="B4" s="19" t="s">
        <v>1585</v>
      </c>
      <c r="C4" s="19" t="s">
        <v>1586</v>
      </c>
      <c r="D4" s="19" t="s">
        <v>1587</v>
      </c>
      <c r="E4" s="19" t="s">
        <v>1588</v>
      </c>
      <c r="F4" s="19" t="s">
        <v>1589</v>
      </c>
      <c r="G4" s="19" t="s">
        <v>1590</v>
      </c>
      <c r="H4" s="19" t="s">
        <v>1591</v>
      </c>
      <c r="I4" s="19" t="s">
        <v>1592</v>
      </c>
      <c r="J4" s="19" t="s">
        <v>1593</v>
      </c>
      <c r="K4" s="19" t="s">
        <v>1594</v>
      </c>
      <c r="N4" s="19" t="s">
        <v>1731</v>
      </c>
      <c r="O4" s="19" t="s">
        <v>1943</v>
      </c>
      <c r="P4" s="19" t="s">
        <v>1732</v>
      </c>
      <c r="Q4" s="19" t="s">
        <v>1944</v>
      </c>
    </row>
    <row r="5" spans="2:17">
      <c r="B5" s="16">
        <v>1</v>
      </c>
      <c r="C5" s="3" t="s">
        <v>6</v>
      </c>
      <c r="D5" s="16">
        <v>1</v>
      </c>
      <c r="E5" s="16">
        <f>VLOOKUP(C5,道具定价!$C:$F,4,0)*D5</f>
        <v>150</v>
      </c>
      <c r="F5" s="16" t="s">
        <v>603</v>
      </c>
      <c r="G5" s="16">
        <v>10</v>
      </c>
      <c r="H5" s="16">
        <f>VLOOKUP(F5,道具定价!$C:$F,4,0)*G5</f>
        <v>150</v>
      </c>
      <c r="I5" s="16">
        <f t="shared" ref="I5:I15" si="0">H5/E5</f>
        <v>1</v>
      </c>
      <c r="J5" s="16" t="s">
        <v>1596</v>
      </c>
      <c r="N5" s="16">
        <v>1</v>
      </c>
      <c r="O5" s="16">
        <v>60</v>
      </c>
      <c r="P5" s="16">
        <v>50</v>
      </c>
      <c r="Q5" s="186">
        <f t="shared" ref="Q5:Q12" si="1">P5/O5/4</f>
        <v>0.208333333333333</v>
      </c>
    </row>
    <row r="6" spans="2:17">
      <c r="B6" s="16">
        <v>2</v>
      </c>
      <c r="C6" s="3" t="s">
        <v>7</v>
      </c>
      <c r="D6" s="16">
        <v>1</v>
      </c>
      <c r="E6" s="16">
        <f>VLOOKUP(C6,道具定价!$C:$F,4,0)*D6</f>
        <v>150</v>
      </c>
      <c r="F6" s="16" t="s">
        <v>603</v>
      </c>
      <c r="G6" s="16">
        <v>10</v>
      </c>
      <c r="H6" s="16">
        <f>VLOOKUP(F6,道具定价!$C:$F,4,0)*G6</f>
        <v>150</v>
      </c>
      <c r="I6" s="16">
        <f t="shared" si="0"/>
        <v>1</v>
      </c>
      <c r="J6" s="16" t="s">
        <v>1596</v>
      </c>
      <c r="N6" s="16">
        <v>2</v>
      </c>
      <c r="O6" s="16">
        <v>60</v>
      </c>
      <c r="P6" s="16">
        <v>100</v>
      </c>
      <c r="Q6" s="186">
        <f t="shared" si="1"/>
        <v>0.416666666666667</v>
      </c>
    </row>
    <row r="7" spans="2:17">
      <c r="B7" s="16">
        <v>3</v>
      </c>
      <c r="C7" s="3" t="s">
        <v>8</v>
      </c>
      <c r="D7" s="16">
        <v>1</v>
      </c>
      <c r="E7" s="16">
        <f>VLOOKUP(C7,道具定价!$C:$F,4,0)*D7</f>
        <v>150</v>
      </c>
      <c r="F7" s="16" t="s">
        <v>603</v>
      </c>
      <c r="G7" s="16">
        <v>10</v>
      </c>
      <c r="H7" s="16">
        <f>VLOOKUP(F7,道具定价!$C:$F,4,0)*G7</f>
        <v>150</v>
      </c>
      <c r="I7" s="16">
        <f t="shared" si="0"/>
        <v>1</v>
      </c>
      <c r="J7" s="16" t="s">
        <v>1596</v>
      </c>
      <c r="N7" s="16">
        <v>3</v>
      </c>
      <c r="O7" s="16">
        <v>60</v>
      </c>
      <c r="P7" s="16">
        <v>100</v>
      </c>
      <c r="Q7" s="186">
        <f t="shared" si="1"/>
        <v>0.416666666666667</v>
      </c>
    </row>
    <row r="8" spans="2:17">
      <c r="B8" s="16">
        <v>4</v>
      </c>
      <c r="C8" s="3" t="s">
        <v>9</v>
      </c>
      <c r="D8" s="16">
        <v>1</v>
      </c>
      <c r="E8" s="16">
        <f>VLOOKUP(C8,道具定价!$C:$F,4,0)*D8</f>
        <v>150</v>
      </c>
      <c r="F8" s="16" t="s">
        <v>603</v>
      </c>
      <c r="G8" s="16">
        <v>10</v>
      </c>
      <c r="H8" s="16">
        <f>VLOOKUP(F8,道具定价!$C:$F,4,0)*G8</f>
        <v>150</v>
      </c>
      <c r="I8" s="16">
        <f t="shared" si="0"/>
        <v>1</v>
      </c>
      <c r="J8" s="16" t="s">
        <v>1596</v>
      </c>
      <c r="L8" s="16" t="s">
        <v>1945</v>
      </c>
      <c r="N8" s="16">
        <v>4</v>
      </c>
      <c r="O8" s="16">
        <v>60</v>
      </c>
      <c r="P8" s="16">
        <v>200</v>
      </c>
      <c r="Q8" s="186">
        <f t="shared" si="1"/>
        <v>0.833333333333333</v>
      </c>
    </row>
    <row r="9" spans="2:17">
      <c r="B9" s="16">
        <v>5</v>
      </c>
      <c r="C9" s="116" t="s">
        <v>629</v>
      </c>
      <c r="D9" s="16">
        <v>1</v>
      </c>
      <c r="E9" s="16">
        <f>VLOOKUP(C9,道具定价!$C:$F,4,0)*D9</f>
        <v>7500</v>
      </c>
      <c r="F9" s="16" t="s">
        <v>603</v>
      </c>
      <c r="G9" s="16">
        <v>300</v>
      </c>
      <c r="H9" s="16">
        <f>VLOOKUP(F9,道具定价!$C:$F,4,0)*G9</f>
        <v>4500</v>
      </c>
      <c r="I9" s="16">
        <f t="shared" si="0"/>
        <v>0.6</v>
      </c>
      <c r="J9" s="16" t="s">
        <v>1946</v>
      </c>
      <c r="K9" s="16">
        <v>1</v>
      </c>
      <c r="N9" s="16">
        <v>5</v>
      </c>
      <c r="O9" s="16">
        <v>60</v>
      </c>
      <c r="P9" s="16">
        <v>200</v>
      </c>
      <c r="Q9" s="186">
        <f t="shared" si="1"/>
        <v>0.833333333333333</v>
      </c>
    </row>
    <row r="10" spans="2:17">
      <c r="B10" s="16">
        <v>6</v>
      </c>
      <c r="C10" s="116" t="s">
        <v>629</v>
      </c>
      <c r="D10" s="16">
        <v>1</v>
      </c>
      <c r="E10" s="16">
        <f>VLOOKUP(C10,道具定价!$C:$F,4,0)*D10</f>
        <v>7500</v>
      </c>
      <c r="F10" s="16" t="s">
        <v>603</v>
      </c>
      <c r="G10" s="16">
        <v>400</v>
      </c>
      <c r="H10" s="16">
        <f>VLOOKUP(F10,道具定价!$C:$F,4,0)*G10</f>
        <v>6000</v>
      </c>
      <c r="I10" s="16">
        <f t="shared" si="0"/>
        <v>0.8</v>
      </c>
      <c r="J10" s="16" t="s">
        <v>1946</v>
      </c>
      <c r="K10" s="16">
        <v>1</v>
      </c>
      <c r="N10" s="16">
        <v>6</v>
      </c>
      <c r="O10" s="16">
        <v>60</v>
      </c>
      <c r="P10" s="16">
        <v>300</v>
      </c>
      <c r="Q10" s="186">
        <f t="shared" si="1"/>
        <v>1.25</v>
      </c>
    </row>
    <row r="11" spans="2:17">
      <c r="B11" s="16">
        <v>7</v>
      </c>
      <c r="C11" s="3" t="s">
        <v>665</v>
      </c>
      <c r="D11" s="16">
        <v>1</v>
      </c>
      <c r="E11" s="16">
        <f>VLOOKUP(C11,道具定价!$C:$F,4,0)*D11</f>
        <v>500</v>
      </c>
      <c r="F11" s="16" t="s">
        <v>603</v>
      </c>
      <c r="G11" s="16">
        <v>35</v>
      </c>
      <c r="H11" s="16">
        <f>VLOOKUP(F11,道具定价!$C:$F,4,0)*G11</f>
        <v>525</v>
      </c>
      <c r="I11" s="16">
        <f t="shared" si="0"/>
        <v>1.05</v>
      </c>
      <c r="J11" s="16" t="s">
        <v>1947</v>
      </c>
      <c r="K11" s="16">
        <v>6</v>
      </c>
      <c r="L11" s="16" t="s">
        <v>1945</v>
      </c>
      <c r="N11" s="16">
        <v>7</v>
      </c>
      <c r="O11" s="16">
        <v>60</v>
      </c>
      <c r="P11" s="16">
        <v>300</v>
      </c>
      <c r="Q11" s="186">
        <f t="shared" si="1"/>
        <v>1.25</v>
      </c>
    </row>
    <row r="12" spans="2:17">
      <c r="B12" s="16">
        <v>8</v>
      </c>
      <c r="C12" s="3" t="s">
        <v>684</v>
      </c>
      <c r="D12" s="16">
        <v>1</v>
      </c>
      <c r="E12" s="16">
        <f>VLOOKUP(C12,道具定价!$C:$F,4,0)*D12</f>
        <v>5000</v>
      </c>
      <c r="F12" s="16" t="s">
        <v>603</v>
      </c>
      <c r="G12" s="16">
        <v>200</v>
      </c>
      <c r="H12" s="16">
        <f>VLOOKUP(F12,道具定价!$C:$F,4,0)*G12</f>
        <v>3000</v>
      </c>
      <c r="I12" s="16">
        <f t="shared" si="0"/>
        <v>0.6</v>
      </c>
      <c r="J12" s="16" t="s">
        <v>1946</v>
      </c>
      <c r="K12" s="16">
        <v>5</v>
      </c>
      <c r="N12" s="16">
        <v>8</v>
      </c>
      <c r="O12" s="16">
        <v>60</v>
      </c>
      <c r="P12" s="16">
        <v>300</v>
      </c>
      <c r="Q12" s="186">
        <f t="shared" si="1"/>
        <v>1.25</v>
      </c>
    </row>
    <row r="13" spans="2:17">
      <c r="B13" s="16">
        <v>9</v>
      </c>
      <c r="C13" s="3" t="s">
        <v>684</v>
      </c>
      <c r="D13" s="16">
        <v>1</v>
      </c>
      <c r="E13" s="16">
        <f>VLOOKUP(C13,道具定价!$C:$F,4,0)*D13</f>
        <v>5000</v>
      </c>
      <c r="F13" s="16" t="s">
        <v>603</v>
      </c>
      <c r="G13" s="16">
        <v>260</v>
      </c>
      <c r="H13" s="16">
        <f>VLOOKUP(F13,道具定价!$C:$F,4,0)*G13</f>
        <v>3900</v>
      </c>
      <c r="I13" s="16">
        <f t="shared" si="0"/>
        <v>0.78</v>
      </c>
      <c r="J13" s="16" t="s">
        <v>1946</v>
      </c>
      <c r="K13" s="16">
        <v>1</v>
      </c>
      <c r="Q13" s="186"/>
    </row>
    <row r="14" spans="2:17">
      <c r="B14" s="16">
        <v>10</v>
      </c>
      <c r="C14" s="3" t="s">
        <v>630</v>
      </c>
      <c r="D14" s="16">
        <v>1</v>
      </c>
      <c r="E14" s="16">
        <f>VLOOKUP(C14,道具定价!$C:$F,4,0)*D14</f>
        <v>500</v>
      </c>
      <c r="F14" s="16" t="s">
        <v>603</v>
      </c>
      <c r="G14" s="16">
        <v>32</v>
      </c>
      <c r="H14" s="16">
        <f>VLOOKUP(F14,道具定价!$C:$F,4,0)*G14</f>
        <v>480</v>
      </c>
      <c r="I14" s="16">
        <f t="shared" si="0"/>
        <v>0.96</v>
      </c>
      <c r="J14" s="16" t="s">
        <v>1946</v>
      </c>
      <c r="K14" s="16">
        <v>1</v>
      </c>
    </row>
    <row r="15" spans="2:17">
      <c r="B15" s="16">
        <v>11</v>
      </c>
      <c r="C15" s="3" t="s">
        <v>709</v>
      </c>
      <c r="D15" s="16">
        <v>1</v>
      </c>
      <c r="E15" s="16">
        <f>VLOOKUP(C15,道具定价!$C:$F,4,0)*D15</f>
        <v>1000</v>
      </c>
      <c r="F15" s="16" t="s">
        <v>603</v>
      </c>
      <c r="G15" s="16">
        <v>40</v>
      </c>
      <c r="H15" s="16">
        <f>VLOOKUP(F15,道具定价!$C:$F,4,0)*G15</f>
        <v>600</v>
      </c>
      <c r="I15" s="16">
        <f t="shared" si="0"/>
        <v>0.6</v>
      </c>
      <c r="J15" s="16" t="s">
        <v>1947</v>
      </c>
      <c r="K15" s="16">
        <v>2</v>
      </c>
    </row>
    <row r="18" spans="2:11">
      <c r="B18" s="185" t="s">
        <v>1948</v>
      </c>
    </row>
    <row r="20" spans="2:11">
      <c r="B20" s="19" t="s">
        <v>1585</v>
      </c>
      <c r="C20" s="19" t="s">
        <v>1586</v>
      </c>
      <c r="D20" s="19" t="s">
        <v>1587</v>
      </c>
      <c r="E20" s="19" t="s">
        <v>1588</v>
      </c>
      <c r="F20" s="19" t="s">
        <v>1589</v>
      </c>
      <c r="G20" s="19" t="s">
        <v>1590</v>
      </c>
      <c r="H20" s="19" t="s">
        <v>1591</v>
      </c>
      <c r="I20" s="19" t="s">
        <v>1592</v>
      </c>
      <c r="J20" s="19" t="s">
        <v>1593</v>
      </c>
      <c r="K20" s="19" t="s">
        <v>1594</v>
      </c>
    </row>
    <row r="21" spans="2:11">
      <c r="B21" s="16">
        <v>1</v>
      </c>
      <c r="C21" s="3" t="s">
        <v>6</v>
      </c>
      <c r="D21" s="16">
        <v>1</v>
      </c>
      <c r="E21" s="16">
        <f>VLOOKUP(C21,道具定价!$C:$F,4,0)*D21</f>
        <v>150</v>
      </c>
      <c r="F21" s="16" t="s">
        <v>604</v>
      </c>
      <c r="G21" s="16">
        <v>60</v>
      </c>
      <c r="H21" s="16">
        <f>VLOOKUP(F21,道具定价!$C:$F,4,0)*G21</f>
        <v>90</v>
      </c>
      <c r="I21" s="16">
        <f t="shared" ref="I21:I29" si="2">H21/E21</f>
        <v>0.6</v>
      </c>
      <c r="J21" s="16" t="s">
        <v>1947</v>
      </c>
      <c r="K21" s="16">
        <v>5</v>
      </c>
    </row>
    <row r="22" spans="2:11">
      <c r="B22" s="16">
        <v>2</v>
      </c>
      <c r="C22" s="3" t="s">
        <v>7</v>
      </c>
      <c r="D22" s="16">
        <v>1</v>
      </c>
      <c r="E22" s="16">
        <f>VLOOKUP(C22,道具定价!$C:$F,4,0)*D22</f>
        <v>150</v>
      </c>
      <c r="F22" s="16" t="s">
        <v>604</v>
      </c>
      <c r="G22" s="16">
        <v>60</v>
      </c>
      <c r="H22" s="16">
        <f>VLOOKUP(F22,道具定价!$C:$F,4,0)*G22</f>
        <v>90</v>
      </c>
      <c r="I22" s="16">
        <f t="shared" si="2"/>
        <v>0.6</v>
      </c>
      <c r="J22" s="16" t="s">
        <v>1947</v>
      </c>
      <c r="K22" s="16">
        <v>5</v>
      </c>
    </row>
    <row r="23" spans="2:11">
      <c r="B23" s="16">
        <v>3</v>
      </c>
      <c r="C23" s="3" t="s">
        <v>601</v>
      </c>
      <c r="D23" s="16">
        <v>10000</v>
      </c>
      <c r="E23" s="16">
        <f>VLOOKUP(C23,道具定价!$C:$F,4,0)*D23</f>
        <v>10</v>
      </c>
      <c r="F23" s="16" t="s">
        <v>604</v>
      </c>
      <c r="G23" s="16">
        <v>8</v>
      </c>
      <c r="H23" s="16">
        <f>VLOOKUP(F23,道具定价!$C:$F,4,0)*G23</f>
        <v>12</v>
      </c>
      <c r="I23" s="16">
        <f t="shared" si="2"/>
        <v>1.2</v>
      </c>
      <c r="J23" s="16" t="s">
        <v>1947</v>
      </c>
      <c r="K23" s="16">
        <v>100</v>
      </c>
    </row>
    <row r="24" spans="2:11">
      <c r="B24" s="16">
        <v>5</v>
      </c>
      <c r="C24" s="3" t="s">
        <v>614</v>
      </c>
      <c r="D24" s="16">
        <v>1</v>
      </c>
      <c r="E24" s="16">
        <f>VLOOKUP(C24,道具定价!$C:$F,4,0)*D24</f>
        <v>10</v>
      </c>
      <c r="F24" s="16" t="s">
        <v>604</v>
      </c>
      <c r="G24" s="16">
        <v>8</v>
      </c>
      <c r="H24" s="16">
        <f>VLOOKUP(F24,道具定价!$C:$F,4,0)*G24</f>
        <v>12</v>
      </c>
      <c r="I24" s="16">
        <f t="shared" si="2"/>
        <v>1.2</v>
      </c>
      <c r="J24" s="16" t="s">
        <v>1947</v>
      </c>
      <c r="K24" s="16">
        <v>30</v>
      </c>
    </row>
    <row r="25" spans="2:11">
      <c r="B25" s="16">
        <v>6</v>
      </c>
      <c r="C25" s="3" t="s">
        <v>670</v>
      </c>
      <c r="D25" s="16">
        <v>1</v>
      </c>
      <c r="E25" s="16">
        <f>VLOOKUP(C25,道具定价!$C:$F,4,0)*D25</f>
        <v>10</v>
      </c>
      <c r="F25" s="16" t="s">
        <v>604</v>
      </c>
      <c r="G25" s="16">
        <v>8</v>
      </c>
      <c r="H25" s="16">
        <f>VLOOKUP(F25,道具定价!$C:$F,4,0)*G25</f>
        <v>12</v>
      </c>
      <c r="I25" s="16">
        <f t="shared" si="2"/>
        <v>1.2</v>
      </c>
      <c r="J25" s="16" t="s">
        <v>1947</v>
      </c>
      <c r="K25" s="16">
        <v>30</v>
      </c>
    </row>
    <row r="26" spans="2:11">
      <c r="B26" s="16">
        <v>7</v>
      </c>
      <c r="C26" s="116" t="s">
        <v>615</v>
      </c>
      <c r="D26" s="16">
        <v>1</v>
      </c>
      <c r="E26" s="16">
        <f>VLOOKUP(C26,道具定价!$C:$F,4,0)*D26</f>
        <v>4</v>
      </c>
      <c r="F26" s="16" t="s">
        <v>604</v>
      </c>
      <c r="G26" s="16">
        <v>3</v>
      </c>
      <c r="H26" s="16">
        <f>VLOOKUP(F26,道具定价!$C:$F,4,0)*G26</f>
        <v>4.5</v>
      </c>
      <c r="I26" s="16">
        <f t="shared" si="2"/>
        <v>1.125</v>
      </c>
      <c r="J26" s="16" t="s">
        <v>1946</v>
      </c>
      <c r="K26" s="16">
        <v>30</v>
      </c>
    </row>
    <row r="27" spans="2:11">
      <c r="B27" s="16">
        <v>8</v>
      </c>
      <c r="C27" s="116" t="s">
        <v>671</v>
      </c>
      <c r="D27" s="16">
        <v>1</v>
      </c>
      <c r="E27" s="16">
        <f>VLOOKUP(C27,道具定价!$C:$F,4,0)*D27</f>
        <v>4</v>
      </c>
      <c r="F27" s="16" t="s">
        <v>604</v>
      </c>
      <c r="G27" s="16">
        <v>3</v>
      </c>
      <c r="H27" s="16">
        <f>VLOOKUP(F27,道具定价!$C:$F,4,0)*G27</f>
        <v>4.5</v>
      </c>
      <c r="I27" s="16">
        <f t="shared" si="2"/>
        <v>1.125</v>
      </c>
      <c r="J27" s="16" t="s">
        <v>1946</v>
      </c>
      <c r="K27" s="16">
        <v>30</v>
      </c>
    </row>
    <row r="28" spans="2:11">
      <c r="B28" s="16">
        <v>10</v>
      </c>
      <c r="C28" s="3" t="s">
        <v>700</v>
      </c>
      <c r="D28" s="16">
        <v>1000</v>
      </c>
      <c r="E28" s="16">
        <f>VLOOKUP(C28,道具定价!$C:$F,4,0)*D28</f>
        <v>10</v>
      </c>
      <c r="F28" s="16" t="s">
        <v>604</v>
      </c>
      <c r="G28" s="16">
        <v>8</v>
      </c>
      <c r="H28" s="16">
        <f>VLOOKUP(F28,道具定价!$C:$F,4,0)*G28</f>
        <v>12</v>
      </c>
      <c r="I28" s="16">
        <f t="shared" si="2"/>
        <v>1.2</v>
      </c>
      <c r="J28" s="16" t="s">
        <v>1947</v>
      </c>
      <c r="K28" s="16">
        <v>100</v>
      </c>
    </row>
    <row r="29" spans="2:11">
      <c r="B29" s="16">
        <v>11</v>
      </c>
      <c r="C29" s="3" t="s">
        <v>728</v>
      </c>
      <c r="D29" s="16">
        <v>1000</v>
      </c>
      <c r="E29" s="16">
        <f>VLOOKUP(C29,道具定价!$C:$F,4,0)*D29</f>
        <v>10</v>
      </c>
      <c r="F29" s="16" t="s">
        <v>604</v>
      </c>
      <c r="G29" s="16">
        <v>8</v>
      </c>
      <c r="H29" s="16">
        <f>VLOOKUP(F29,道具定价!$C:$F,4,0)*G29</f>
        <v>12</v>
      </c>
      <c r="I29" s="16">
        <f t="shared" si="2"/>
        <v>1.2</v>
      </c>
      <c r="J29" s="16" t="s">
        <v>1947</v>
      </c>
      <c r="K29" s="16">
        <v>100</v>
      </c>
    </row>
    <row r="33" spans="1:12">
      <c r="B33" s="185" t="s">
        <v>1949</v>
      </c>
    </row>
    <row r="34" spans="1:12">
      <c r="B34" s="19" t="s">
        <v>1585</v>
      </c>
      <c r="C34" s="19" t="s">
        <v>1586</v>
      </c>
      <c r="D34" s="19" t="s">
        <v>1587</v>
      </c>
      <c r="E34" s="19" t="s">
        <v>1588</v>
      </c>
      <c r="F34" s="19" t="s">
        <v>1589</v>
      </c>
      <c r="G34" s="19" t="s">
        <v>1590</v>
      </c>
      <c r="H34" s="19" t="s">
        <v>1591</v>
      </c>
      <c r="I34" s="19" t="s">
        <v>1592</v>
      </c>
      <c r="J34" s="19" t="s">
        <v>1593</v>
      </c>
      <c r="K34" s="19" t="s">
        <v>1594</v>
      </c>
      <c r="L34" s="19" t="s">
        <v>1779</v>
      </c>
    </row>
    <row r="35" spans="1:12">
      <c r="B35" s="16">
        <v>1</v>
      </c>
      <c r="C35" s="16" t="s">
        <v>709</v>
      </c>
      <c r="D35" s="16">
        <v>1</v>
      </c>
      <c r="E35" s="16">
        <f>VLOOKUP(C35,道具定价!$C:$F,4,0)*D35</f>
        <v>1000</v>
      </c>
      <c r="F35" s="3" t="s">
        <v>730</v>
      </c>
      <c r="G35" s="16">
        <v>100</v>
      </c>
      <c r="H35" s="16">
        <f>VLOOKUP(F35,道具定价!$C:$F,4,0)*G35</f>
        <v>1000</v>
      </c>
      <c r="I35" s="16">
        <f t="shared" ref="I35:I47" si="3">H35/E35</f>
        <v>1</v>
      </c>
      <c r="J35" s="16" t="s">
        <v>1596</v>
      </c>
    </row>
    <row r="36" spans="1:12">
      <c r="B36" s="16">
        <v>2</v>
      </c>
      <c r="C36" s="16" t="s">
        <v>708</v>
      </c>
      <c r="D36" s="16">
        <v>1</v>
      </c>
      <c r="E36" s="16">
        <f>VLOOKUP(C36,道具定价!$C:$F,4,0)*D36</f>
        <v>20</v>
      </c>
      <c r="F36" s="3" t="s">
        <v>730</v>
      </c>
      <c r="G36" s="16">
        <v>10</v>
      </c>
      <c r="H36" s="16">
        <f>VLOOKUP(F36,道具定价!$C:$F,4,0)*G36</f>
        <v>100</v>
      </c>
      <c r="I36" s="16">
        <f t="shared" si="3"/>
        <v>5</v>
      </c>
      <c r="J36" s="16" t="s">
        <v>1596</v>
      </c>
    </row>
    <row r="37" spans="1:12">
      <c r="B37" s="16">
        <v>3</v>
      </c>
      <c r="C37" s="16" t="s">
        <v>707</v>
      </c>
      <c r="D37" s="16">
        <v>1</v>
      </c>
      <c r="E37" s="16">
        <f>VLOOKUP(C37,道具定价!$C:$F,4,0)*D37</f>
        <v>8</v>
      </c>
      <c r="F37" s="16" t="s">
        <v>729</v>
      </c>
      <c r="G37" s="16">
        <v>10</v>
      </c>
      <c r="H37" s="16">
        <f>VLOOKUP(F37,道具定价!$C:$F,4,0)*G37</f>
        <v>20</v>
      </c>
      <c r="I37" s="16">
        <f t="shared" si="3"/>
        <v>2.5</v>
      </c>
      <c r="J37" s="16" t="s">
        <v>1596</v>
      </c>
    </row>
    <row r="38" spans="1:12">
      <c r="A38" s="16" t="s">
        <v>1950</v>
      </c>
      <c r="B38" s="16">
        <v>4</v>
      </c>
      <c r="C38" s="16" t="s">
        <v>706</v>
      </c>
      <c r="D38" s="16">
        <v>1</v>
      </c>
      <c r="E38" s="16">
        <f>VLOOKUP(C38,道具定价!$C:$F,4,0)*D38</f>
        <v>2</v>
      </c>
      <c r="F38" s="16" t="s">
        <v>729</v>
      </c>
      <c r="G38" s="16">
        <v>2</v>
      </c>
      <c r="H38" s="16">
        <f>VLOOKUP(F38,道具定价!$C:$F,4,0)*G38</f>
        <v>4</v>
      </c>
      <c r="I38" s="16">
        <f t="shared" si="3"/>
        <v>2</v>
      </c>
      <c r="J38" s="16" t="s">
        <v>1596</v>
      </c>
    </row>
    <row r="39" spans="1:12">
      <c r="B39" s="16">
        <v>5</v>
      </c>
      <c r="C39" s="16" t="s">
        <v>728</v>
      </c>
      <c r="D39" s="16">
        <v>1000</v>
      </c>
      <c r="E39" s="16">
        <f>VLOOKUP(C39,道具定价!$C:$F,4,0)*D39</f>
        <v>10</v>
      </c>
      <c r="F39" s="16" t="s">
        <v>729</v>
      </c>
      <c r="G39" s="16">
        <v>20</v>
      </c>
      <c r="H39" s="16">
        <f>VLOOKUP(F39,道具定价!$C:$F,4,0)*G39</f>
        <v>40</v>
      </c>
      <c r="I39" s="16">
        <f t="shared" si="3"/>
        <v>4</v>
      </c>
      <c r="J39" s="16" t="s">
        <v>1596</v>
      </c>
    </row>
    <row r="40" spans="1:12">
      <c r="B40" s="16">
        <v>6</v>
      </c>
      <c r="C40" s="16" t="s">
        <v>721</v>
      </c>
      <c r="D40" s="16">
        <v>1</v>
      </c>
      <c r="E40" s="16">
        <f>VLOOKUP(C40,道具定价!$C:$F,4,0)*D40</f>
        <v>270</v>
      </c>
      <c r="F40" s="3" t="s">
        <v>730</v>
      </c>
      <c r="G40" s="16">
        <v>40</v>
      </c>
      <c r="H40" s="16">
        <f>VLOOKUP(F40,道具定价!$C:$F,4,0)*G40</f>
        <v>400</v>
      </c>
      <c r="I40" s="16">
        <f t="shared" si="3"/>
        <v>1.48148148148148</v>
      </c>
      <c r="J40" s="16" t="s">
        <v>1596</v>
      </c>
    </row>
    <row r="41" spans="1:12">
      <c r="B41" s="16">
        <v>7</v>
      </c>
      <c r="C41" s="16" t="s">
        <v>720</v>
      </c>
      <c r="D41" s="16">
        <v>1</v>
      </c>
      <c r="E41" s="16">
        <f>VLOOKUP(C41,道具定价!$C:$F,4,0)*D41</f>
        <v>90</v>
      </c>
      <c r="F41" s="16" t="s">
        <v>729</v>
      </c>
      <c r="G41" s="16">
        <v>50</v>
      </c>
      <c r="H41" s="16">
        <f>VLOOKUP(F41,道具定价!$C:$F,4,0)*G41</f>
        <v>100</v>
      </c>
      <c r="I41" s="16">
        <f t="shared" si="3"/>
        <v>1.11111111111111</v>
      </c>
      <c r="J41" s="16" t="s">
        <v>1596</v>
      </c>
    </row>
    <row r="42" spans="1:12">
      <c r="A42" s="16" t="s">
        <v>1950</v>
      </c>
      <c r="B42" s="16">
        <v>8</v>
      </c>
      <c r="C42" s="16" t="s">
        <v>719</v>
      </c>
      <c r="D42" s="16">
        <v>1</v>
      </c>
      <c r="E42" s="16">
        <f>VLOOKUP(C42,道具定价!$C:$F,4,0)*D42</f>
        <v>30</v>
      </c>
      <c r="F42" s="16" t="s">
        <v>729</v>
      </c>
      <c r="G42" s="16">
        <v>20</v>
      </c>
      <c r="H42" s="16">
        <f>VLOOKUP(F42,道具定价!$C:$F,4,0)*G42</f>
        <v>40</v>
      </c>
      <c r="I42" s="16">
        <f t="shared" si="3"/>
        <v>1.33333333333333</v>
      </c>
      <c r="J42" s="16" t="s">
        <v>1596</v>
      </c>
    </row>
    <row r="43" spans="1:12">
      <c r="A43" s="16" t="s">
        <v>1950</v>
      </c>
      <c r="B43" s="16">
        <v>9</v>
      </c>
      <c r="C43" s="16" t="s">
        <v>718</v>
      </c>
      <c r="D43" s="16">
        <v>1</v>
      </c>
      <c r="E43" s="16">
        <f>VLOOKUP(C43,道具定价!$C:$F,4,0)*D43</f>
        <v>10</v>
      </c>
      <c r="F43" s="16" t="s">
        <v>729</v>
      </c>
      <c r="G43" s="16">
        <v>8</v>
      </c>
      <c r="H43" s="16">
        <f>VLOOKUP(F43,道具定价!$C:$F,4,0)*G43</f>
        <v>16</v>
      </c>
      <c r="I43" s="16">
        <f t="shared" si="3"/>
        <v>1.6</v>
      </c>
      <c r="J43" s="16" t="s">
        <v>1596</v>
      </c>
    </row>
    <row r="44" spans="1:12">
      <c r="B44" s="16">
        <v>10</v>
      </c>
      <c r="C44" s="3" t="s">
        <v>713</v>
      </c>
      <c r="D44" s="16">
        <v>1</v>
      </c>
      <c r="E44" s="16">
        <f>VLOOKUP(C44,道具定价!$C:$F,4,0)*D44</f>
        <v>3000</v>
      </c>
      <c r="F44" s="3" t="s">
        <v>730</v>
      </c>
      <c r="G44" s="16">
        <v>150</v>
      </c>
      <c r="H44" s="16">
        <f>VLOOKUP(F44,道具定价!$C:$F,4,0)*G44</f>
        <v>1500</v>
      </c>
      <c r="I44" s="16">
        <f t="shared" si="3"/>
        <v>0.5</v>
      </c>
      <c r="J44" s="16" t="s">
        <v>1947</v>
      </c>
      <c r="K44" s="16">
        <v>2</v>
      </c>
    </row>
    <row r="45" spans="1:12">
      <c r="B45" s="16">
        <v>11</v>
      </c>
      <c r="C45" s="3" t="s">
        <v>712</v>
      </c>
      <c r="D45" s="16">
        <v>1</v>
      </c>
      <c r="E45" s="16">
        <f>VLOOKUP(C45,道具定价!$C:$F,4,0)*D45</f>
        <v>500</v>
      </c>
      <c r="F45" s="3" t="s">
        <v>730</v>
      </c>
      <c r="G45" s="16">
        <v>30</v>
      </c>
      <c r="H45" s="16">
        <f>VLOOKUP(F45,道具定价!$C:$F,4,0)*G45</f>
        <v>300</v>
      </c>
      <c r="I45" s="16">
        <f t="shared" si="3"/>
        <v>0.6</v>
      </c>
      <c r="J45" s="16" t="s">
        <v>1596</v>
      </c>
    </row>
    <row r="46" spans="1:12">
      <c r="B46" s="16">
        <v>12</v>
      </c>
      <c r="C46" s="3" t="s">
        <v>711</v>
      </c>
      <c r="D46" s="16">
        <v>1</v>
      </c>
      <c r="E46" s="16">
        <f>VLOOKUP(C46,道具定价!$C:$F,4,0)*D46</f>
        <v>150</v>
      </c>
      <c r="F46" s="16" t="s">
        <v>729</v>
      </c>
      <c r="G46" s="16">
        <v>75</v>
      </c>
      <c r="H46" s="16">
        <f>VLOOKUP(F46,道具定价!$C:$F,4,0)*G46</f>
        <v>150</v>
      </c>
      <c r="I46" s="16">
        <f t="shared" si="3"/>
        <v>1</v>
      </c>
      <c r="J46" s="16" t="s">
        <v>1596</v>
      </c>
    </row>
    <row r="47" spans="1:12">
      <c r="B47" s="16">
        <v>13</v>
      </c>
      <c r="C47" s="3" t="s">
        <v>710</v>
      </c>
      <c r="D47" s="16">
        <v>1</v>
      </c>
      <c r="E47" s="16">
        <f>VLOOKUP(C47,道具定价!$C:$F,4,0)*D47</f>
        <v>50</v>
      </c>
      <c r="F47" s="16" t="s">
        <v>729</v>
      </c>
      <c r="G47" s="16">
        <v>25</v>
      </c>
      <c r="H47" s="16">
        <f>VLOOKUP(F47,道具定价!$C:$F,4,0)*G47</f>
        <v>50</v>
      </c>
      <c r="I47" s="16">
        <f t="shared" si="3"/>
        <v>1</v>
      </c>
      <c r="J47" s="16" t="s">
        <v>1596</v>
      </c>
    </row>
    <row r="50" spans="2:11">
      <c r="B50" s="185" t="s">
        <v>1951</v>
      </c>
      <c r="C50" s="16" t="s">
        <v>1952</v>
      </c>
    </row>
    <row r="51" spans="2:11">
      <c r="B51" s="19" t="s">
        <v>1585</v>
      </c>
      <c r="C51" s="19" t="s">
        <v>1586</v>
      </c>
      <c r="D51" s="19" t="s">
        <v>1587</v>
      </c>
      <c r="E51" s="19" t="s">
        <v>1588</v>
      </c>
      <c r="F51" s="19" t="s">
        <v>1589</v>
      </c>
      <c r="G51" s="19" t="s">
        <v>1590</v>
      </c>
      <c r="H51" s="19" t="s">
        <v>1591</v>
      </c>
      <c r="I51" s="19" t="s">
        <v>1592</v>
      </c>
      <c r="J51" s="19" t="s">
        <v>1593</v>
      </c>
      <c r="K51" s="19" t="s">
        <v>1594</v>
      </c>
    </row>
    <row r="52" spans="2:11">
      <c r="B52" s="16">
        <v>1</v>
      </c>
      <c r="C52" s="16" t="s">
        <v>1953</v>
      </c>
      <c r="D52" s="16">
        <v>1</v>
      </c>
      <c r="F52" s="16" t="s">
        <v>1954</v>
      </c>
      <c r="G52" s="16">
        <v>20</v>
      </c>
      <c r="J52" s="16" t="s">
        <v>1781</v>
      </c>
      <c r="K52" s="16">
        <v>1</v>
      </c>
    </row>
    <row r="53" spans="2:11">
      <c r="B53" s="16">
        <v>2</v>
      </c>
      <c r="C53" s="16" t="s">
        <v>1955</v>
      </c>
      <c r="D53" s="16">
        <v>1</v>
      </c>
      <c r="F53" s="16" t="s">
        <v>1954</v>
      </c>
      <c r="G53" s="16">
        <v>10</v>
      </c>
      <c r="J53" s="16" t="s">
        <v>1781</v>
      </c>
      <c r="K53" s="16">
        <v>1</v>
      </c>
    </row>
    <row r="54" spans="2:11">
      <c r="B54" s="16">
        <v>3</v>
      </c>
      <c r="C54" s="16" t="s">
        <v>1956</v>
      </c>
      <c r="D54" s="16">
        <v>1</v>
      </c>
      <c r="F54" s="16" t="s">
        <v>1954</v>
      </c>
      <c r="G54" s="16">
        <v>5</v>
      </c>
      <c r="J54" s="16" t="s">
        <v>1781</v>
      </c>
      <c r="K54" s="16">
        <v>1</v>
      </c>
    </row>
    <row r="55" spans="2:11">
      <c r="B55" s="16">
        <v>4</v>
      </c>
      <c r="C55" s="16" t="s">
        <v>1957</v>
      </c>
      <c r="D55" s="16">
        <v>1</v>
      </c>
      <c r="F55" s="16" t="s">
        <v>1954</v>
      </c>
      <c r="G55" s="16">
        <v>30</v>
      </c>
      <c r="J55" s="16" t="s">
        <v>1781</v>
      </c>
      <c r="K55" s="16">
        <v>20</v>
      </c>
    </row>
    <row r="56" spans="2:11">
      <c r="B56" s="16">
        <v>5</v>
      </c>
      <c r="C56" s="16" t="s">
        <v>1958</v>
      </c>
      <c r="D56" s="16">
        <v>1</v>
      </c>
      <c r="F56" s="16" t="s">
        <v>1954</v>
      </c>
      <c r="G56" s="16">
        <v>15</v>
      </c>
      <c r="J56" s="16" t="s">
        <v>1781</v>
      </c>
      <c r="K56" s="16">
        <v>20</v>
      </c>
    </row>
    <row r="57" spans="2:11">
      <c r="B57" s="16">
        <v>6</v>
      </c>
      <c r="C57" s="16" t="s">
        <v>1959</v>
      </c>
      <c r="D57" s="16">
        <v>1</v>
      </c>
      <c r="F57" s="16" t="s">
        <v>1954</v>
      </c>
      <c r="G57" s="16">
        <v>7</v>
      </c>
      <c r="J57" s="16" t="s">
        <v>1781</v>
      </c>
      <c r="K57" s="16">
        <v>20</v>
      </c>
    </row>
    <row r="58" spans="2:11">
      <c r="B58" s="16">
        <v>7</v>
      </c>
      <c r="C58" s="16" t="s">
        <v>670</v>
      </c>
      <c r="D58" s="16">
        <v>1</v>
      </c>
      <c r="F58" s="16" t="s">
        <v>1954</v>
      </c>
      <c r="G58" s="16">
        <v>1</v>
      </c>
      <c r="J58" s="16" t="s">
        <v>1781</v>
      </c>
    </row>
    <row r="59" spans="2:11">
      <c r="B59" s="16">
        <v>8</v>
      </c>
      <c r="C59" s="16" t="s">
        <v>601</v>
      </c>
      <c r="D59" s="16">
        <v>10000</v>
      </c>
      <c r="F59" s="16" t="s">
        <v>1954</v>
      </c>
      <c r="G59" s="16">
        <v>1</v>
      </c>
      <c r="J59" s="16" t="s">
        <v>1781</v>
      </c>
    </row>
    <row r="62" spans="2:11">
      <c r="B62" s="185" t="s">
        <v>1960</v>
      </c>
      <c r="C62" s="16" t="s">
        <v>1952</v>
      </c>
    </row>
    <row r="63" spans="2:11">
      <c r="B63" s="19" t="s">
        <v>1585</v>
      </c>
      <c r="C63" s="19" t="s">
        <v>1586</v>
      </c>
      <c r="D63" s="19" t="s">
        <v>1587</v>
      </c>
      <c r="E63" s="19" t="s">
        <v>1588</v>
      </c>
      <c r="F63" s="19" t="s">
        <v>1589</v>
      </c>
      <c r="G63" s="19" t="s">
        <v>1590</v>
      </c>
      <c r="H63" s="19" t="s">
        <v>1591</v>
      </c>
      <c r="I63" s="19" t="s">
        <v>1592</v>
      </c>
      <c r="J63" s="19" t="s">
        <v>1593</v>
      </c>
      <c r="K63" s="19" t="s">
        <v>1594</v>
      </c>
    </row>
    <row r="64" spans="2:11">
      <c r="B64" s="16">
        <v>1</v>
      </c>
      <c r="C64" s="16" t="s">
        <v>6</v>
      </c>
      <c r="D64" s="16">
        <v>1</v>
      </c>
      <c r="E64" s="16">
        <f>VLOOKUP(C64,道具定价!$C:$F,4,0)*D64</f>
        <v>150</v>
      </c>
      <c r="F64" s="16" t="s">
        <v>5</v>
      </c>
      <c r="G64" s="16">
        <v>150</v>
      </c>
      <c r="H64" s="16">
        <f>VLOOKUP(F64,道具定价!$C:$F,4,0)*G64</f>
        <v>150</v>
      </c>
      <c r="I64" s="16">
        <f>H64/E64</f>
        <v>1</v>
      </c>
      <c r="J64" s="16" t="s">
        <v>1596</v>
      </c>
    </row>
    <row r="65" spans="2:11">
      <c r="B65" s="16">
        <v>2</v>
      </c>
      <c r="C65" s="16" t="s">
        <v>601</v>
      </c>
      <c r="D65" s="16">
        <v>100000</v>
      </c>
      <c r="E65" s="16">
        <f>VLOOKUP(C65,道具定价!$C:$F,4,0)*D65</f>
        <v>100</v>
      </c>
      <c r="F65" s="16" t="s">
        <v>5</v>
      </c>
      <c r="G65" s="16">
        <v>100</v>
      </c>
      <c r="H65" s="16">
        <f>VLOOKUP(F65,道具定价!$C:$F,4,0)*G65</f>
        <v>100</v>
      </c>
      <c r="I65" s="16">
        <f>H65/E65</f>
        <v>1</v>
      </c>
      <c r="J65" s="16" t="s">
        <v>1961</v>
      </c>
      <c r="K65" s="16">
        <v>10</v>
      </c>
    </row>
    <row r="66" spans="2:11">
      <c r="B66" s="16">
        <v>3</v>
      </c>
      <c r="C66" s="16" t="s">
        <v>665</v>
      </c>
      <c r="D66" s="16">
        <v>1</v>
      </c>
      <c r="E66" s="16">
        <f>VLOOKUP(C66,道具定价!$C:$F,4,0)*D66</f>
        <v>500</v>
      </c>
      <c r="F66" s="16" t="s">
        <v>5</v>
      </c>
      <c r="G66" s="16">
        <v>800</v>
      </c>
      <c r="H66" s="16">
        <f>VLOOKUP(F66,道具定价!$C:$F,4,0)*G66</f>
        <v>800</v>
      </c>
      <c r="I66" s="16">
        <f>H66/E66</f>
        <v>1.6</v>
      </c>
      <c r="J66" s="16" t="s">
        <v>1595</v>
      </c>
      <c r="K66" s="16">
        <v>3</v>
      </c>
    </row>
    <row r="67" spans="2:11">
      <c r="B67" s="16">
        <v>4</v>
      </c>
      <c r="C67" s="3" t="s">
        <v>614</v>
      </c>
      <c r="D67" s="16">
        <v>3</v>
      </c>
      <c r="E67" s="16">
        <f>VLOOKUP(C67,道具定价!$C:$F,4,0)*D67</f>
        <v>30</v>
      </c>
      <c r="F67" s="16" t="s">
        <v>5</v>
      </c>
      <c r="G67" s="16">
        <v>30</v>
      </c>
      <c r="H67" s="16">
        <f>VLOOKUP(F67,道具定价!$C:$F,4,0)*G67</f>
        <v>30</v>
      </c>
      <c r="I67" s="16">
        <f>H67/E67</f>
        <v>1</v>
      </c>
      <c r="J67" s="16" t="s">
        <v>1961</v>
      </c>
      <c r="K67" s="16">
        <v>10</v>
      </c>
    </row>
    <row r="68" spans="2:11">
      <c r="B68" s="16">
        <v>5</v>
      </c>
      <c r="C68" s="3" t="s">
        <v>670</v>
      </c>
      <c r="D68" s="16">
        <v>3</v>
      </c>
      <c r="E68" s="16">
        <f>VLOOKUP(C68,道具定价!$C:$F,4,0)*D68</f>
        <v>30</v>
      </c>
      <c r="F68" s="16" t="s">
        <v>5</v>
      </c>
      <c r="G68" s="16">
        <v>30</v>
      </c>
      <c r="H68" s="16">
        <f>VLOOKUP(F68,道具定价!$C:$F,4,0)*G68</f>
        <v>30</v>
      </c>
      <c r="I68" s="16">
        <f>H68/E68</f>
        <v>1</v>
      </c>
      <c r="J68" s="16" t="s">
        <v>1961</v>
      </c>
      <c r="K68" s="16">
        <v>10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B3:AA43"/>
  <sheetViews>
    <sheetView workbookViewId="0">
      <selection activeCell="Q40" sqref="Q40"/>
    </sheetView>
  </sheetViews>
  <sheetFormatPr defaultColWidth="9" defaultRowHeight="13.5"/>
  <cols>
    <col min="8" max="8" width="12.875" style="14" customWidth="1"/>
    <col min="13" max="20" width="12.875" style="14" customWidth="1"/>
    <col min="21" max="21" width="8.125" style="14" customWidth="1"/>
    <col min="22" max="23" width="10" style="14" customWidth="1"/>
    <col min="24" max="24" width="12.625" style="14" customWidth="1"/>
    <col min="25" max="25" width="12" style="14" customWidth="1"/>
    <col min="26" max="26" width="11.875" style="14" customWidth="1"/>
  </cols>
  <sheetData>
    <row r="3" ht="16.5" customHeight="1" spans="2:27">
      <c r="B3" s="3"/>
      <c r="C3" s="6" t="s">
        <v>1962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80" t="s">
        <v>1963</v>
      </c>
      <c r="W3" s="180" t="s">
        <v>1964</v>
      </c>
      <c r="X3" s="180" t="s">
        <v>1965</v>
      </c>
      <c r="Y3" s="180" t="s">
        <v>1966</v>
      </c>
    </row>
    <row r="4" ht="16.5" customHeight="1" spans="2:2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81" t="s">
        <v>1967</v>
      </c>
      <c r="W4" s="181" t="s">
        <v>1968</v>
      </c>
      <c r="X4" s="181" t="s">
        <v>1969</v>
      </c>
      <c r="Y4" s="182" t="s">
        <v>1970</v>
      </c>
    </row>
    <row r="5" ht="16.5" customHeight="1" spans="2:27">
      <c r="B5" s="3"/>
      <c r="C5" s="7" t="s">
        <v>1540</v>
      </c>
      <c r="D5" s="8" t="s">
        <v>1971</v>
      </c>
      <c r="E5" s="9" t="s">
        <v>1972</v>
      </c>
      <c r="F5" s="9" t="s">
        <v>602</v>
      </c>
      <c r="G5" s="9" t="s">
        <v>601</v>
      </c>
      <c r="H5" s="19" t="s">
        <v>1973</v>
      </c>
      <c r="I5" s="19" t="s">
        <v>1974</v>
      </c>
      <c r="J5" s="19" t="s">
        <v>1975</v>
      </c>
      <c r="K5" s="19" t="s">
        <v>1976</v>
      </c>
      <c r="L5" s="19" t="s">
        <v>1977</v>
      </c>
      <c r="M5" s="19" t="s">
        <v>1978</v>
      </c>
      <c r="N5" s="19" t="s">
        <v>1979</v>
      </c>
      <c r="O5" s="19" t="s">
        <v>1980</v>
      </c>
      <c r="P5" s="19" t="s">
        <v>1981</v>
      </c>
      <c r="Q5" s="19" t="s">
        <v>1982</v>
      </c>
      <c r="R5" s="19" t="s">
        <v>1983</v>
      </c>
      <c r="S5" s="19" t="s">
        <v>1984</v>
      </c>
      <c r="T5" s="19" t="s">
        <v>1985</v>
      </c>
      <c r="U5" s="19" t="s">
        <v>1436</v>
      </c>
      <c r="V5" s="19" t="s">
        <v>1903</v>
      </c>
      <c r="W5" s="19" t="s">
        <v>1905</v>
      </c>
      <c r="X5" s="19" t="s">
        <v>1986</v>
      </c>
      <c r="Y5" s="19" t="s">
        <v>1987</v>
      </c>
      <c r="Z5" s="19" t="s">
        <v>1988</v>
      </c>
      <c r="AA5" s="19"/>
    </row>
    <row r="6" ht="16.5" customHeight="1" spans="2:27">
      <c r="B6" s="3">
        <v>0.4</v>
      </c>
      <c r="C6" s="11">
        <v>1</v>
      </c>
      <c r="D6" s="11">
        <v>15</v>
      </c>
      <c r="E6" s="183">
        <v>0</v>
      </c>
      <c r="F6" s="13">
        <f t="shared" ref="F6:F15" si="0">D6*10</f>
        <v>150</v>
      </c>
      <c r="G6" s="9">
        <f t="shared" ref="G6:G15" si="1">D6*200*B6</f>
        <v>1200</v>
      </c>
      <c r="H6" s="3">
        <v>2</v>
      </c>
      <c r="I6" s="3">
        <f t="shared" ref="I6:I15" si="2">1-J6-K6-L6</f>
        <v>0.8</v>
      </c>
      <c r="J6" s="3">
        <v>0.2</v>
      </c>
      <c r="K6" s="3">
        <v>0</v>
      </c>
      <c r="L6" s="3">
        <v>0</v>
      </c>
      <c r="M6" s="3">
        <f t="shared" ref="M6:M15" si="3">I6*$H6</f>
        <v>1.6</v>
      </c>
      <c r="N6" s="3">
        <f t="shared" ref="N6:N15" si="4">J6*$H6</f>
        <v>0.4</v>
      </c>
      <c r="O6" s="3">
        <f t="shared" ref="O6:O15" si="5">K6*$H6</f>
        <v>0</v>
      </c>
      <c r="P6" s="3">
        <f t="shared" ref="P6:P15" si="6">L6*$H6</f>
        <v>0</v>
      </c>
      <c r="Q6" s="3">
        <f>M6*道具定价!$F$115</f>
        <v>3.2</v>
      </c>
      <c r="R6" s="3">
        <f>N6*道具定价!$F$114</f>
        <v>2</v>
      </c>
      <c r="S6" s="3">
        <f>O6*道具定价!$F$113</f>
        <v>0</v>
      </c>
      <c r="T6" s="3">
        <f>P6*道具定价!$F$112</f>
        <v>0</v>
      </c>
      <c r="U6" s="3">
        <f t="shared" ref="U6:U15" si="7">Q6+R6+T6</f>
        <v>5.2</v>
      </c>
      <c r="V6" t="s">
        <v>1989</v>
      </c>
      <c r="W6" t="s">
        <v>1990</v>
      </c>
      <c r="X6" t="s">
        <v>1991</v>
      </c>
      <c r="Y6" t="s">
        <v>1992</v>
      </c>
      <c r="Z6" s="14">
        <v>1000</v>
      </c>
    </row>
    <row r="7" ht="16.5" customHeight="1" spans="2:27">
      <c r="B7" s="3">
        <v>0.4</v>
      </c>
      <c r="C7" s="11">
        <v>2</v>
      </c>
      <c r="D7" s="11">
        <v>15</v>
      </c>
      <c r="E7" s="183">
        <v>0</v>
      </c>
      <c r="F7" s="13">
        <f t="shared" si="0"/>
        <v>150</v>
      </c>
      <c r="G7" s="9">
        <f t="shared" si="1"/>
        <v>1200</v>
      </c>
      <c r="H7" s="3">
        <v>2</v>
      </c>
      <c r="I7" s="3">
        <f t="shared" si="2"/>
        <v>0.7</v>
      </c>
      <c r="J7" s="3">
        <v>0.3</v>
      </c>
      <c r="K7" s="3">
        <v>0</v>
      </c>
      <c r="L7" s="3">
        <v>0</v>
      </c>
      <c r="M7" s="3">
        <f t="shared" si="3"/>
        <v>1.4</v>
      </c>
      <c r="N7" s="3">
        <f t="shared" si="4"/>
        <v>0.6</v>
      </c>
      <c r="O7" s="3">
        <f t="shared" si="5"/>
        <v>0</v>
      </c>
      <c r="P7" s="3">
        <f t="shared" si="6"/>
        <v>0</v>
      </c>
      <c r="Q7" s="3">
        <f>M7*道具定价!$F$115</f>
        <v>2.8</v>
      </c>
      <c r="R7" s="3">
        <f>N7*道具定价!$F$114</f>
        <v>3</v>
      </c>
      <c r="S7" s="3">
        <f>O7*道具定价!$F$113</f>
        <v>0</v>
      </c>
      <c r="T7" s="3">
        <f>P7*道具定价!$F$112</f>
        <v>0</v>
      </c>
      <c r="U7" s="3">
        <f t="shared" si="7"/>
        <v>5.8</v>
      </c>
      <c r="V7" t="s">
        <v>1993</v>
      </c>
      <c r="W7" t="s">
        <v>1994</v>
      </c>
      <c r="X7" t="s">
        <v>1995</v>
      </c>
      <c r="Y7" t="s">
        <v>1992</v>
      </c>
      <c r="Z7" s="14">
        <v>1000</v>
      </c>
    </row>
    <row r="8" ht="16.5" customHeight="1" spans="2:27">
      <c r="B8" s="3">
        <f>B6+0.1</f>
        <v>0.5</v>
      </c>
      <c r="C8" s="11">
        <v>3</v>
      </c>
      <c r="D8" s="11">
        <v>15</v>
      </c>
      <c r="E8" s="183">
        <v>35</v>
      </c>
      <c r="F8" s="13">
        <f t="shared" si="0"/>
        <v>150</v>
      </c>
      <c r="G8" s="9">
        <f t="shared" si="1"/>
        <v>1500</v>
      </c>
      <c r="H8" s="3">
        <v>3</v>
      </c>
      <c r="I8" s="3">
        <f t="shared" si="2"/>
        <v>0.6</v>
      </c>
      <c r="J8" s="3">
        <v>0.4</v>
      </c>
      <c r="K8" s="3">
        <v>0</v>
      </c>
      <c r="L8" s="3">
        <v>0</v>
      </c>
      <c r="M8" s="3">
        <f t="shared" si="3"/>
        <v>1.8</v>
      </c>
      <c r="N8" s="3">
        <f t="shared" si="4"/>
        <v>1.2</v>
      </c>
      <c r="O8" s="3">
        <f t="shared" si="5"/>
        <v>0</v>
      </c>
      <c r="P8" s="3">
        <f t="shared" si="6"/>
        <v>0</v>
      </c>
      <c r="Q8" s="3">
        <f>M8*道具定价!$F$115</f>
        <v>3.6</v>
      </c>
      <c r="R8" s="3">
        <f>N8*道具定价!$F$114</f>
        <v>6</v>
      </c>
      <c r="S8" s="3">
        <f>O8*道具定价!$F$113</f>
        <v>0</v>
      </c>
      <c r="T8" s="3">
        <f>P8*道具定价!$F$112</f>
        <v>0</v>
      </c>
      <c r="U8" s="3">
        <f t="shared" si="7"/>
        <v>9.6</v>
      </c>
      <c r="V8" t="s">
        <v>1996</v>
      </c>
      <c r="W8" t="s">
        <v>1997</v>
      </c>
      <c r="X8" t="s">
        <v>1998</v>
      </c>
      <c r="Y8" t="s">
        <v>1992</v>
      </c>
      <c r="Z8" s="14">
        <v>2000</v>
      </c>
    </row>
    <row r="9" ht="16.5" customHeight="1" spans="2:27">
      <c r="B9" s="3">
        <f>B7+0.1</f>
        <v>0.5</v>
      </c>
      <c r="C9" s="11">
        <v>4</v>
      </c>
      <c r="D9" s="11">
        <v>15</v>
      </c>
      <c r="E9" s="183">
        <f t="shared" ref="E9:E15" si="8">E8+3</f>
        <v>38</v>
      </c>
      <c r="F9" s="13">
        <f t="shared" si="0"/>
        <v>150</v>
      </c>
      <c r="G9" s="9">
        <f t="shared" si="1"/>
        <v>1500</v>
      </c>
      <c r="H9" s="3">
        <v>3</v>
      </c>
      <c r="I9" s="3">
        <f t="shared" si="2"/>
        <v>0.4</v>
      </c>
      <c r="J9" s="3">
        <v>0.5</v>
      </c>
      <c r="K9" s="3">
        <v>0.1</v>
      </c>
      <c r="L9" s="3">
        <v>0</v>
      </c>
      <c r="M9" s="3">
        <f t="shared" si="3"/>
        <v>1.2</v>
      </c>
      <c r="N9" s="3">
        <f t="shared" si="4"/>
        <v>1.5</v>
      </c>
      <c r="O9" s="3">
        <f t="shared" si="5"/>
        <v>0.3</v>
      </c>
      <c r="P9" s="3">
        <f t="shared" si="6"/>
        <v>0</v>
      </c>
      <c r="Q9" s="3">
        <f>M9*道具定价!$F$115</f>
        <v>2.4</v>
      </c>
      <c r="R9" s="3">
        <f>N9*道具定价!$F$114</f>
        <v>7.5</v>
      </c>
      <c r="S9" s="3">
        <f>O9*道具定价!$F$113</f>
        <v>3</v>
      </c>
      <c r="T9" s="3">
        <f>P9*道具定价!$F$112</f>
        <v>0</v>
      </c>
      <c r="U9" s="3">
        <f t="shared" si="7"/>
        <v>9.9</v>
      </c>
      <c r="V9" t="s">
        <v>1999</v>
      </c>
      <c r="W9" t="s">
        <v>2000</v>
      </c>
      <c r="X9" t="s">
        <v>2001</v>
      </c>
      <c r="Y9" t="s">
        <v>1992</v>
      </c>
      <c r="Z9" s="14">
        <v>2000</v>
      </c>
    </row>
    <row r="10" ht="16.5" customHeight="1" spans="2:27">
      <c r="B10" s="3">
        <f>B8+0.1</f>
        <v>0.6</v>
      </c>
      <c r="C10" s="11">
        <v>5</v>
      </c>
      <c r="D10" s="11">
        <v>15</v>
      </c>
      <c r="E10" s="183">
        <f t="shared" si="8"/>
        <v>41</v>
      </c>
      <c r="F10" s="13">
        <f t="shared" si="0"/>
        <v>150</v>
      </c>
      <c r="G10" s="9">
        <f t="shared" si="1"/>
        <v>1800</v>
      </c>
      <c r="H10" s="3">
        <v>4</v>
      </c>
      <c r="I10" s="3">
        <f t="shared" si="2"/>
        <v>0.2</v>
      </c>
      <c r="J10" s="3">
        <v>0.6</v>
      </c>
      <c r="K10" s="3">
        <v>0.2</v>
      </c>
      <c r="L10" s="3">
        <v>0</v>
      </c>
      <c r="M10" s="3">
        <f t="shared" si="3"/>
        <v>0.8</v>
      </c>
      <c r="N10" s="3">
        <f t="shared" si="4"/>
        <v>2.4</v>
      </c>
      <c r="O10" s="3">
        <f t="shared" si="5"/>
        <v>0.8</v>
      </c>
      <c r="P10" s="3">
        <f t="shared" si="6"/>
        <v>0</v>
      </c>
      <c r="Q10" s="3">
        <f>M10*道具定价!$F$115</f>
        <v>1.6</v>
      </c>
      <c r="R10" s="3">
        <f>N10*道具定价!$F$114</f>
        <v>12</v>
      </c>
      <c r="S10" s="3">
        <f>O10*道具定价!$F$113</f>
        <v>8</v>
      </c>
      <c r="T10" s="3">
        <f>P10*道具定价!$F$112</f>
        <v>0</v>
      </c>
      <c r="U10" s="3">
        <f t="shared" si="7"/>
        <v>13.6</v>
      </c>
      <c r="V10" t="s">
        <v>2002</v>
      </c>
      <c r="W10" t="s">
        <v>2003</v>
      </c>
      <c r="X10"/>
      <c r="Y10" t="s">
        <v>1992</v>
      </c>
      <c r="Z10" s="14">
        <v>3000</v>
      </c>
    </row>
    <row r="11" ht="16.5" customHeight="1" spans="2:27">
      <c r="B11" s="3">
        <f>B9+0.1</f>
        <v>0.6</v>
      </c>
      <c r="C11" s="11">
        <v>6</v>
      </c>
      <c r="D11" s="11">
        <v>15</v>
      </c>
      <c r="E11" s="183">
        <f t="shared" si="8"/>
        <v>44</v>
      </c>
      <c r="F11" s="13">
        <f t="shared" si="0"/>
        <v>150</v>
      </c>
      <c r="G11" s="9">
        <f t="shared" si="1"/>
        <v>1800</v>
      </c>
      <c r="H11" s="3">
        <v>4</v>
      </c>
      <c r="I11" s="3">
        <f t="shared" si="2"/>
        <v>0.1</v>
      </c>
      <c r="J11" s="3">
        <v>0.6</v>
      </c>
      <c r="K11" s="3">
        <v>0.3</v>
      </c>
      <c r="L11" s="3">
        <v>0</v>
      </c>
      <c r="M11" s="3">
        <f t="shared" si="3"/>
        <v>0.4</v>
      </c>
      <c r="N11" s="3">
        <f t="shared" si="4"/>
        <v>2.4</v>
      </c>
      <c r="O11" s="3">
        <f t="shared" si="5"/>
        <v>1.2</v>
      </c>
      <c r="P11" s="3">
        <f t="shared" si="6"/>
        <v>0</v>
      </c>
      <c r="Q11" s="3">
        <f>M11*道具定价!$F$115</f>
        <v>0.8</v>
      </c>
      <c r="R11" s="3">
        <f>N11*道具定价!$F$114</f>
        <v>12</v>
      </c>
      <c r="S11" s="3">
        <f>O11*道具定价!$F$113</f>
        <v>12</v>
      </c>
      <c r="T11" s="3">
        <f>P11*道具定价!$F$112</f>
        <v>0</v>
      </c>
      <c r="U11" s="3">
        <f t="shared" si="7"/>
        <v>12.8</v>
      </c>
      <c r="V11" t="s">
        <v>2004</v>
      </c>
      <c r="W11" t="s">
        <v>2005</v>
      </c>
      <c r="X11"/>
      <c r="Y11" t="s">
        <v>1992</v>
      </c>
      <c r="Z11" s="14">
        <v>3000</v>
      </c>
    </row>
    <row r="12" ht="16.5" customHeight="1" spans="2:27">
      <c r="B12" s="3">
        <f>B10+0.1</f>
        <v>0.7</v>
      </c>
      <c r="C12" s="11">
        <v>7</v>
      </c>
      <c r="D12" s="11">
        <v>15</v>
      </c>
      <c r="E12" s="183">
        <f t="shared" si="8"/>
        <v>47</v>
      </c>
      <c r="F12" s="13">
        <f t="shared" si="0"/>
        <v>150</v>
      </c>
      <c r="G12" s="9">
        <f t="shared" si="1"/>
        <v>2100</v>
      </c>
      <c r="H12" s="3">
        <v>5</v>
      </c>
      <c r="I12" s="3">
        <f t="shared" si="2"/>
        <v>0.1</v>
      </c>
      <c r="J12" s="3">
        <v>0.5</v>
      </c>
      <c r="K12" s="3">
        <v>0.35</v>
      </c>
      <c r="L12" s="3">
        <v>0.05</v>
      </c>
      <c r="M12" s="3">
        <f t="shared" si="3"/>
        <v>0.5</v>
      </c>
      <c r="N12" s="3">
        <f t="shared" si="4"/>
        <v>2.5</v>
      </c>
      <c r="O12" s="3">
        <f t="shared" si="5"/>
        <v>1.75</v>
      </c>
      <c r="P12" s="3">
        <f t="shared" si="6"/>
        <v>0.25</v>
      </c>
      <c r="Q12" s="3">
        <f>M12*道具定价!$F$115</f>
        <v>1</v>
      </c>
      <c r="R12" s="3">
        <f>N12*道具定价!$F$114</f>
        <v>12.5</v>
      </c>
      <c r="S12" s="3">
        <f>O12*道具定价!$F$113</f>
        <v>17.5</v>
      </c>
      <c r="T12" s="3">
        <f>P12*道具定价!$F$112</f>
        <v>12.5</v>
      </c>
      <c r="U12" s="3">
        <f t="shared" si="7"/>
        <v>26</v>
      </c>
      <c r="V12" t="s">
        <v>2006</v>
      </c>
      <c r="W12" t="s">
        <v>2007</v>
      </c>
      <c r="X12"/>
      <c r="Y12" t="s">
        <v>1992</v>
      </c>
      <c r="Z12" s="14">
        <v>4000</v>
      </c>
    </row>
    <row r="13" ht="16.5" customHeight="1" spans="2:27">
      <c r="B13" s="3">
        <v>0.8</v>
      </c>
      <c r="C13" s="11">
        <v>8</v>
      </c>
      <c r="D13" s="11">
        <v>15</v>
      </c>
      <c r="E13" s="183">
        <f t="shared" si="8"/>
        <v>50</v>
      </c>
      <c r="F13" s="13">
        <f t="shared" si="0"/>
        <v>150</v>
      </c>
      <c r="G13" s="9">
        <f t="shared" si="1"/>
        <v>2400</v>
      </c>
      <c r="H13" s="3">
        <v>5</v>
      </c>
      <c r="I13" s="3">
        <f t="shared" si="2"/>
        <v>0</v>
      </c>
      <c r="J13" s="3">
        <v>0.5</v>
      </c>
      <c r="K13" s="3">
        <v>0.4</v>
      </c>
      <c r="L13" s="3">
        <v>0.1</v>
      </c>
      <c r="M13" s="3">
        <f t="shared" si="3"/>
        <v>0</v>
      </c>
      <c r="N13" s="3">
        <f t="shared" si="4"/>
        <v>2.5</v>
      </c>
      <c r="O13" s="3">
        <f t="shared" si="5"/>
        <v>2</v>
      </c>
      <c r="P13" s="3">
        <f t="shared" si="6"/>
        <v>0.5</v>
      </c>
      <c r="Q13" s="3">
        <f>M13*道具定价!$F$115</f>
        <v>0</v>
      </c>
      <c r="R13" s="3">
        <f>N13*道具定价!$F$114</f>
        <v>12.5</v>
      </c>
      <c r="S13" s="3">
        <f>O13*道具定价!$F$113</f>
        <v>20</v>
      </c>
      <c r="T13" s="3">
        <f>P13*道具定价!$F$112</f>
        <v>25</v>
      </c>
      <c r="U13" s="3">
        <f t="shared" si="7"/>
        <v>37.5</v>
      </c>
      <c r="V13" t="s">
        <v>2008</v>
      </c>
      <c r="W13" t="s">
        <v>2009</v>
      </c>
      <c r="X13"/>
      <c r="Y13" t="s">
        <v>1992</v>
      </c>
      <c r="Z13" s="14">
        <v>4000</v>
      </c>
    </row>
    <row r="14" ht="16.5" customHeight="1" spans="2:27">
      <c r="B14" s="3">
        <v>0.9</v>
      </c>
      <c r="C14" s="11">
        <v>9</v>
      </c>
      <c r="D14" s="11">
        <v>15</v>
      </c>
      <c r="E14" s="183">
        <f t="shared" si="8"/>
        <v>53</v>
      </c>
      <c r="F14" s="13">
        <f t="shared" si="0"/>
        <v>150</v>
      </c>
      <c r="G14" s="9">
        <f t="shared" si="1"/>
        <v>2700</v>
      </c>
      <c r="H14" s="3">
        <v>6</v>
      </c>
      <c r="I14" s="3">
        <f t="shared" si="2"/>
        <v>0</v>
      </c>
      <c r="J14" s="3">
        <v>0.4</v>
      </c>
      <c r="K14" s="3">
        <v>0.45</v>
      </c>
      <c r="L14" s="3">
        <v>0.15</v>
      </c>
      <c r="M14" s="3">
        <f t="shared" si="3"/>
        <v>0</v>
      </c>
      <c r="N14" s="3">
        <f t="shared" si="4"/>
        <v>2.4</v>
      </c>
      <c r="O14" s="3">
        <f t="shared" si="5"/>
        <v>2.7</v>
      </c>
      <c r="P14" s="3">
        <f t="shared" si="6"/>
        <v>0.9</v>
      </c>
      <c r="Q14" s="3">
        <f>M14*道具定价!$F$115</f>
        <v>0</v>
      </c>
      <c r="R14" s="3">
        <f>N14*道具定价!$F$114</f>
        <v>12</v>
      </c>
      <c r="S14" s="3">
        <f>O14*道具定价!$F$113</f>
        <v>27</v>
      </c>
      <c r="T14" s="3">
        <f>P14*道具定价!$F$112</f>
        <v>45</v>
      </c>
      <c r="U14" s="3">
        <f t="shared" si="7"/>
        <v>57</v>
      </c>
      <c r="V14" t="s">
        <v>2010</v>
      </c>
      <c r="W14" t="s">
        <v>2011</v>
      </c>
      <c r="X14"/>
      <c r="Y14" t="s">
        <v>1992</v>
      </c>
      <c r="Z14" s="14">
        <v>5000</v>
      </c>
    </row>
    <row r="15" ht="16.5" customHeight="1" spans="2:27">
      <c r="B15" s="3">
        <v>1</v>
      </c>
      <c r="C15" s="11">
        <v>10</v>
      </c>
      <c r="D15" s="11">
        <v>15</v>
      </c>
      <c r="E15" s="183">
        <f t="shared" si="8"/>
        <v>56</v>
      </c>
      <c r="F15" s="13">
        <f t="shared" si="0"/>
        <v>150</v>
      </c>
      <c r="G15" s="9">
        <f t="shared" si="1"/>
        <v>3000</v>
      </c>
      <c r="H15" s="3">
        <v>6</v>
      </c>
      <c r="I15" s="3">
        <f t="shared" si="2"/>
        <v>0</v>
      </c>
      <c r="J15" s="3">
        <v>0.3</v>
      </c>
      <c r="K15" s="3">
        <v>0.5</v>
      </c>
      <c r="L15" s="3">
        <v>0.2</v>
      </c>
      <c r="M15" s="3">
        <f t="shared" si="3"/>
        <v>0</v>
      </c>
      <c r="N15" s="3">
        <f t="shared" si="4"/>
        <v>1.8</v>
      </c>
      <c r="O15" s="3">
        <f t="shared" si="5"/>
        <v>3</v>
      </c>
      <c r="P15" s="3">
        <f t="shared" si="6"/>
        <v>1.2</v>
      </c>
      <c r="Q15" s="3">
        <f>M15*道具定价!$F$115</f>
        <v>0</v>
      </c>
      <c r="R15" s="3">
        <f>N15*道具定价!$F$114</f>
        <v>9</v>
      </c>
      <c r="S15" s="3">
        <f>O15*道具定价!$F$113</f>
        <v>30</v>
      </c>
      <c r="T15" s="3">
        <f>P15*道具定价!$F$112</f>
        <v>60</v>
      </c>
      <c r="U15" s="3">
        <f t="shared" si="7"/>
        <v>69</v>
      </c>
      <c r="V15" t="s">
        <v>2012</v>
      </c>
      <c r="W15" t="s">
        <v>2013</v>
      </c>
      <c r="X15"/>
      <c r="Y15" t="s">
        <v>1992</v>
      </c>
      <c r="Z15" s="14">
        <v>5000</v>
      </c>
    </row>
    <row r="21" ht="21" customHeight="1" spans="5:12">
      <c r="E21" s="184">
        <v>60007</v>
      </c>
      <c r="F21">
        <v>60031</v>
      </c>
      <c r="G21">
        <v>60055</v>
      </c>
      <c r="H21">
        <v>60079</v>
      </c>
      <c r="I21">
        <v>60103</v>
      </c>
      <c r="J21">
        <v>60127</v>
      </c>
      <c r="K21" t="s">
        <v>2014</v>
      </c>
      <c r="L21" t="str">
        <f>_xlfn.CONCAT(E21,$K$21,F21,$K$21,G21,$K$21,H21,$K$21,I21,$K$21,J21,$K$22)</f>
        <v>60007,-1;60031,-1;60055,-1;60079,-1;60103,-1;60127,-1</v>
      </c>
    </row>
    <row r="22" spans="5:12">
      <c r="E22">
        <v>60013</v>
      </c>
      <c r="F22">
        <v>60037</v>
      </c>
      <c r="G22">
        <v>60061</v>
      </c>
      <c r="H22">
        <v>60085</v>
      </c>
      <c r="I22">
        <v>60109</v>
      </c>
      <c r="J22">
        <v>60133</v>
      </c>
      <c r="K22" t="s">
        <v>2015</v>
      </c>
      <c r="L22" t="str">
        <f>_xlfn.CONCAT(E22,$K$21,F22,$K$21,G22,$K$21,H22,$K$21,I22,$K$21,J22,$K$22)</f>
        <v>60013,-1;60037,-1;60061,-1;60085,-1;60109,-1;60133,-1</v>
      </c>
    </row>
    <row r="23" spans="5:12">
      <c r="E23">
        <v>60019</v>
      </c>
      <c r="F23">
        <v>60043</v>
      </c>
      <c r="G23">
        <v>60067</v>
      </c>
      <c r="H23">
        <v>60091</v>
      </c>
      <c r="I23">
        <v>60115</v>
      </c>
      <c r="J23">
        <v>60139</v>
      </c>
      <c r="L23" t="str">
        <f>_xlfn.CONCAT(E23,$K$21,F23,$K$21,G23,$K$21,H23,$K$21,I23,$K$21,J23,$K$22)</f>
        <v>60019,-1;60043,-1;60067,-1;60091,-1;60115,-1;60139,-1</v>
      </c>
    </row>
    <row r="25" spans="5:12">
      <c r="E25">
        <f t="shared" ref="E25:J25" si="9">E21+144</f>
        <v>60151</v>
      </c>
      <c r="F25">
        <f t="shared" si="9"/>
        <v>60175</v>
      </c>
      <c r="G25">
        <f t="shared" si="9"/>
        <v>60199</v>
      </c>
      <c r="H25">
        <f t="shared" si="9"/>
        <v>60223</v>
      </c>
      <c r="I25">
        <f t="shared" si="9"/>
        <v>60247</v>
      </c>
      <c r="J25">
        <f t="shared" si="9"/>
        <v>60271</v>
      </c>
      <c r="L25" t="str">
        <f>_xlfn.CONCAT(E25,$K$21,F25,$K$21,G25,$K$21,H25,$K$21,I25,$K$21,J25,$K$22)</f>
        <v>60151,-1;60175,-1;60199,-1;60223,-1;60247,-1;60271,-1</v>
      </c>
    </row>
    <row r="26" spans="5:12">
      <c r="E26">
        <f t="shared" ref="E26:J26" si="10">E22+144</f>
        <v>60157</v>
      </c>
      <c r="F26">
        <f t="shared" si="10"/>
        <v>60181</v>
      </c>
      <c r="G26">
        <f t="shared" si="10"/>
        <v>60205</v>
      </c>
      <c r="H26">
        <f t="shared" si="10"/>
        <v>60229</v>
      </c>
      <c r="I26">
        <f t="shared" si="10"/>
        <v>60253</v>
      </c>
      <c r="J26">
        <f t="shared" si="10"/>
        <v>60277</v>
      </c>
      <c r="L26" t="str">
        <f>_xlfn.CONCAT(E26,$K$21,F26,$K$21,G26,$K$21,H26,$K$21,I26,$K$21,J26,$K$22)</f>
        <v>60157,-1;60181,-1;60205,-1;60229,-1;60253,-1;60277,-1</v>
      </c>
    </row>
    <row r="27" spans="5:12">
      <c r="E27">
        <f t="shared" ref="E27:J27" si="11">E23+144</f>
        <v>60163</v>
      </c>
      <c r="F27">
        <f t="shared" si="11"/>
        <v>60187</v>
      </c>
      <c r="G27">
        <f t="shared" si="11"/>
        <v>60211</v>
      </c>
      <c r="H27">
        <f t="shared" si="11"/>
        <v>60235</v>
      </c>
      <c r="I27">
        <f t="shared" si="11"/>
        <v>60259</v>
      </c>
      <c r="J27">
        <f t="shared" si="11"/>
        <v>60283</v>
      </c>
      <c r="L27" t="str">
        <f>_xlfn.CONCAT(E27,$K$21,F27,$K$21,G27,$K$21,H27,$K$21,I27,$K$21,J27,$K$22)</f>
        <v>60163,-1;60187,-1;60211,-1;60235,-1;60259,-1;60283,-1</v>
      </c>
    </row>
    <row r="29" spans="5:12">
      <c r="E29">
        <f t="shared" ref="E29:J29" si="12">E25+144</f>
        <v>60295</v>
      </c>
      <c r="F29">
        <f t="shared" si="12"/>
        <v>60319</v>
      </c>
      <c r="G29">
        <f t="shared" si="12"/>
        <v>60343</v>
      </c>
      <c r="H29">
        <f t="shared" si="12"/>
        <v>60367</v>
      </c>
      <c r="I29">
        <f t="shared" si="12"/>
        <v>60391</v>
      </c>
      <c r="J29">
        <f t="shared" si="12"/>
        <v>60415</v>
      </c>
      <c r="L29" t="str">
        <f>_xlfn.CONCAT(E29,$K$21,F29,$K$21,G29,$K$21,H29,$K$21,I29,$K$21,J29,$K$22)</f>
        <v>60295,-1;60319,-1;60343,-1;60367,-1;60391,-1;60415,-1</v>
      </c>
    </row>
    <row r="30" spans="5:12">
      <c r="E30">
        <f t="shared" ref="E30:J30" si="13">E26+144</f>
        <v>60301</v>
      </c>
      <c r="F30">
        <f t="shared" si="13"/>
        <v>60325</v>
      </c>
      <c r="G30">
        <f t="shared" si="13"/>
        <v>60349</v>
      </c>
      <c r="H30">
        <f t="shared" si="13"/>
        <v>60373</v>
      </c>
      <c r="I30">
        <f t="shared" si="13"/>
        <v>60397</v>
      </c>
      <c r="J30">
        <f t="shared" si="13"/>
        <v>60421</v>
      </c>
      <c r="L30" t="str">
        <f>_xlfn.CONCAT(E30,$K$21,F30,$K$21,G30,$K$21,H30,$K$21,I30,$K$21,J30,$K$22)</f>
        <v>60301,-1;60325,-1;60349,-1;60373,-1;60397,-1;60421,-1</v>
      </c>
    </row>
    <row r="31" spans="5:12">
      <c r="E31">
        <f t="shared" ref="E31:J31" si="14">E27+144</f>
        <v>60307</v>
      </c>
      <c r="F31">
        <f t="shared" si="14"/>
        <v>60331</v>
      </c>
      <c r="G31">
        <f t="shared" si="14"/>
        <v>60355</v>
      </c>
      <c r="H31">
        <f t="shared" si="14"/>
        <v>60379</v>
      </c>
      <c r="I31">
        <f t="shared" si="14"/>
        <v>60403</v>
      </c>
      <c r="J31">
        <f t="shared" si="14"/>
        <v>60427</v>
      </c>
      <c r="L31" t="str">
        <f>_xlfn.CONCAT(E31,$K$21,F31,$K$21,G31,$K$21,H31,$K$21,I31,$K$21,J31,$K$22)</f>
        <v>60307,-1;60331,-1;60355,-1;60379,-1;60403,-1;60427,-1</v>
      </c>
    </row>
    <row r="33" spans="5:12">
      <c r="E33">
        <f t="shared" ref="E33:J33" si="15">E29+144</f>
        <v>60439</v>
      </c>
      <c r="F33">
        <f t="shared" si="15"/>
        <v>60463</v>
      </c>
      <c r="G33">
        <f t="shared" si="15"/>
        <v>60487</v>
      </c>
      <c r="H33">
        <f t="shared" si="15"/>
        <v>60511</v>
      </c>
      <c r="I33">
        <f t="shared" si="15"/>
        <v>60535</v>
      </c>
      <c r="J33">
        <f t="shared" si="15"/>
        <v>60559</v>
      </c>
      <c r="L33" t="str">
        <f>_xlfn.CONCAT(E33,$K$21,F33,$K$21,G33,$K$21,H33,$K$21,I33,$K$21,J33,$K$22)</f>
        <v>60439,-1;60463,-1;60487,-1;60511,-1;60535,-1;60559,-1</v>
      </c>
    </row>
    <row r="34" spans="5:12">
      <c r="E34">
        <f t="shared" ref="E34:J34" si="16">E30+144</f>
        <v>60445</v>
      </c>
      <c r="F34">
        <f t="shared" si="16"/>
        <v>60469</v>
      </c>
      <c r="G34">
        <f t="shared" si="16"/>
        <v>60493</v>
      </c>
      <c r="H34">
        <f t="shared" si="16"/>
        <v>60517</v>
      </c>
      <c r="I34">
        <f t="shared" si="16"/>
        <v>60541</v>
      </c>
      <c r="J34">
        <f t="shared" si="16"/>
        <v>60565</v>
      </c>
      <c r="L34" t="str">
        <f>_xlfn.CONCAT(E34,$K$21,F34,$K$21,G34,$K$21,H34,$K$21,I34,$K$21,J34,$K$22)</f>
        <v>60445,-1;60469,-1;60493,-1;60517,-1;60541,-1;60565,-1</v>
      </c>
    </row>
    <row r="35" spans="5:12">
      <c r="E35">
        <f t="shared" ref="E35:J35" si="17">E31+144</f>
        <v>60451</v>
      </c>
      <c r="F35">
        <f t="shared" si="17"/>
        <v>60475</v>
      </c>
      <c r="G35">
        <f t="shared" si="17"/>
        <v>60499</v>
      </c>
      <c r="H35">
        <f t="shared" si="17"/>
        <v>60523</v>
      </c>
      <c r="I35">
        <f t="shared" si="17"/>
        <v>60547</v>
      </c>
      <c r="J35">
        <f t="shared" si="17"/>
        <v>60571</v>
      </c>
      <c r="L35" t="str">
        <f>_xlfn.CONCAT(E35,$K$21,F35,$K$21,G35,$K$21,H35,$K$21,I35,$K$21,J35,$K$22)</f>
        <v>60451,-1;60475,-1;60499,-1;60523,-1;60547,-1;60571,-1</v>
      </c>
    </row>
    <row r="40" ht="22.5" spans="5:12">
      <c r="E40" s="180" t="s">
        <v>2016</v>
      </c>
      <c r="F40" s="181" t="s">
        <v>1967</v>
      </c>
      <c r="G40" s="181" t="s">
        <v>1011</v>
      </c>
      <c r="H40" s="181" t="s">
        <v>2017</v>
      </c>
      <c r="I40" s="182" t="s">
        <v>2018</v>
      </c>
    </row>
    <row r="41" ht="22.5" spans="5:12">
      <c r="E41" s="180" t="s">
        <v>2019</v>
      </c>
      <c r="F41" s="181" t="s">
        <v>2020</v>
      </c>
      <c r="G41" s="181" t="s">
        <v>1968</v>
      </c>
      <c r="H41" s="181" t="s">
        <v>1017</v>
      </c>
      <c r="I41" s="181" t="s">
        <v>2021</v>
      </c>
    </row>
    <row r="42" ht="22.5" spans="5:12">
      <c r="E42" s="180" t="s">
        <v>2022</v>
      </c>
      <c r="F42" s="181" t="s">
        <v>939</v>
      </c>
      <c r="G42" s="181" t="s">
        <v>1969</v>
      </c>
      <c r="H42" s="181" t="s">
        <v>1025</v>
      </c>
      <c r="I42" s="180"/>
    </row>
    <row r="43" ht="22.5" spans="5:12">
      <c r="E43" s="180" t="s">
        <v>2023</v>
      </c>
      <c r="F43" s="181" t="s">
        <v>1014</v>
      </c>
      <c r="G43" s="182" t="s">
        <v>1970</v>
      </c>
      <c r="H43" s="182" t="s">
        <v>2024</v>
      </c>
      <c r="I43" s="180"/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5"/>
  </sheetPr>
  <dimension ref="B2:T66"/>
  <sheetViews>
    <sheetView zoomScale="110" zoomScaleNormal="110" topLeftCell="G5" workbookViewId="0">
      <selection activeCell="I29" sqref="I29"/>
    </sheetView>
  </sheetViews>
  <sheetFormatPr defaultColWidth="9" defaultRowHeight="16.5"/>
  <cols>
    <col min="1" max="1" width="9" style="3" customWidth="1"/>
    <col min="2" max="2" width="12.125" style="3" customWidth="1"/>
    <col min="3" max="6" width="12.875" style="3" customWidth="1"/>
    <col min="7" max="7" width="9" style="3" customWidth="1"/>
    <col min="8" max="8" width="14.75" style="3" customWidth="1"/>
    <col min="9" max="9" width="15.625" style="3" customWidth="1"/>
    <col min="10" max="12" width="9" style="3" customWidth="1"/>
    <col min="13" max="13" width="12.725" style="3" customWidth="1"/>
    <col min="14" max="14" width="28.25" style="3" customWidth="1"/>
    <col min="15" max="15" width="15" style="3" customWidth="1"/>
    <col min="16" max="16" width="12.875" style="3" customWidth="1"/>
    <col min="17" max="17" width="9" style="3" customWidth="1"/>
    <col min="18" max="19" width="9.25" style="3" customWidth="1"/>
    <col min="20" max="20" width="12.875" style="3" customWidth="1"/>
    <col min="21" max="16384" width="9" style="3" customWidth="1"/>
  </cols>
  <sheetData>
    <row r="2" spans="2:20">
      <c r="B2" s="77" t="s">
        <v>1038</v>
      </c>
      <c r="C2" s="179">
        <v>60</v>
      </c>
      <c r="E2" s="77" t="s">
        <v>1096</v>
      </c>
      <c r="F2" s="179">
        <v>4</v>
      </c>
      <c r="L2" s="77" t="s">
        <v>2025</v>
      </c>
      <c r="M2" s="77"/>
      <c r="N2" s="3">
        <f>MAX(E7:E76)</f>
        <v>110531</v>
      </c>
      <c r="O2" s="3">
        <f>N2*道具定价!$F$100</f>
        <v>1105.31</v>
      </c>
      <c r="Q2" s="77" t="s">
        <v>2026</v>
      </c>
      <c r="R2" s="77"/>
      <c r="S2" s="3">
        <f>N2*$F$2</f>
        <v>442124</v>
      </c>
      <c r="T2" s="3">
        <f>O2*4</f>
        <v>4421.24</v>
      </c>
    </row>
    <row r="3" spans="2:20">
      <c r="L3" s="77" t="s">
        <v>2027</v>
      </c>
      <c r="M3" s="77"/>
      <c r="N3" s="3">
        <f>MAX(G7:G76)</f>
        <v>1105310</v>
      </c>
      <c r="O3" s="3">
        <f>N3*道具定价!F11</f>
        <v>1105.31</v>
      </c>
      <c r="Q3" s="77" t="s">
        <v>2028</v>
      </c>
      <c r="R3" s="77"/>
      <c r="S3" s="3">
        <f>N3*$F$2</f>
        <v>4421240</v>
      </c>
      <c r="T3" s="3">
        <f>O3*4</f>
        <v>4421.24</v>
      </c>
    </row>
    <row r="4" spans="2:20">
      <c r="B4" s="77" t="s">
        <v>2029</v>
      </c>
      <c r="C4" s="179">
        <v>1.3</v>
      </c>
      <c r="D4" s="77" t="s">
        <v>2030</v>
      </c>
      <c r="E4" s="179">
        <v>0.013</v>
      </c>
      <c r="F4" s="77" t="s">
        <v>2031</v>
      </c>
      <c r="G4" s="179">
        <v>1.035</v>
      </c>
      <c r="L4" s="77" t="s">
        <v>2032</v>
      </c>
      <c r="M4" s="77"/>
      <c r="N4" s="3">
        <f>O3+O2</f>
        <v>2210.62</v>
      </c>
      <c r="Q4" s="77" t="s">
        <v>2033</v>
      </c>
      <c r="R4" s="77"/>
      <c r="S4" s="3">
        <f>N4*$F$2</f>
        <v>8842.48</v>
      </c>
    </row>
    <row r="5" spans="2:20">
      <c r="H5" s="3">
        <v>0.8</v>
      </c>
      <c r="I5" s="3">
        <v>0.6</v>
      </c>
    </row>
    <row r="6" spans="2:20">
      <c r="B6" s="19" t="s">
        <v>1041</v>
      </c>
      <c r="C6" s="19" t="s">
        <v>1098</v>
      </c>
      <c r="D6" s="19" t="s">
        <v>1043</v>
      </c>
      <c r="E6" s="19" t="s">
        <v>1044</v>
      </c>
      <c r="F6" s="19" t="s">
        <v>1045</v>
      </c>
      <c r="G6" s="19" t="s">
        <v>1046</v>
      </c>
      <c r="H6" s="19" t="s">
        <v>1110</v>
      </c>
      <c r="I6" s="19" t="s">
        <v>1111</v>
      </c>
      <c r="L6" s="19" t="s">
        <v>1154</v>
      </c>
      <c r="M6" s="19" t="s">
        <v>1038</v>
      </c>
      <c r="N6" s="19" t="s">
        <v>1051</v>
      </c>
      <c r="O6" s="19" t="s">
        <v>1052</v>
      </c>
      <c r="P6" s="19" t="s">
        <v>1053</v>
      </c>
      <c r="Q6" s="19" t="s">
        <v>1054</v>
      </c>
      <c r="R6" s="19" t="s">
        <v>1055</v>
      </c>
      <c r="S6" s="19" t="s">
        <v>1056</v>
      </c>
      <c r="T6" s="19" t="s">
        <v>1057</v>
      </c>
    </row>
    <row r="7" spans="2:20">
      <c r="B7" s="3">
        <f t="array" ref="B7:B66">_xlfn.SEQUENCE(C2,1,1,1)</f>
        <v>1</v>
      </c>
      <c r="C7" s="3">
        <f>C4</f>
        <v>1.3</v>
      </c>
      <c r="D7" s="179">
        <v>60</v>
      </c>
      <c r="E7" s="1">
        <f>SUM($D$7:D7)</f>
        <v>60</v>
      </c>
      <c r="F7" s="3">
        <f t="shared" ref="F7:F66" si="0">ROUND(D7*10,-1)</f>
        <v>600</v>
      </c>
      <c r="G7" s="1">
        <f>SUM($F$7:F7)</f>
        <v>600</v>
      </c>
      <c r="H7" s="3">
        <f t="shared" ref="H7:H66" si="1">ROUND(D7*$H$5,0)</f>
        <v>48</v>
      </c>
      <c r="I7" s="3">
        <f t="shared" ref="I7:I66" si="2">ROUND(D7*$I$5,0)</f>
        <v>36</v>
      </c>
      <c r="L7" s="16">
        <v>1</v>
      </c>
      <c r="M7" s="16">
        <v>40</v>
      </c>
      <c r="N7" s="3" t="s">
        <v>2034</v>
      </c>
      <c r="O7" s="16">
        <v>1</v>
      </c>
      <c r="P7" s="16">
        <f>O7*道具定价!$F$106</f>
        <v>2250</v>
      </c>
      <c r="Q7" s="16" t="s">
        <v>601</v>
      </c>
      <c r="R7" s="16">
        <v>20000</v>
      </c>
      <c r="S7" s="16">
        <f>VLOOKUP(Q7,道具定价!$C:$F,4,0)*R7</f>
        <v>20</v>
      </c>
      <c r="T7" s="16">
        <f>S7+P7</f>
        <v>2270</v>
      </c>
    </row>
    <row r="8" spans="2:20">
      <c r="B8" s="3">
        <v>2</v>
      </c>
      <c r="C8" s="3">
        <f t="shared" ref="C8:C66" si="3">IF(C7-$E$4&lt;$G$4,$G$4,C7-$E$4)</f>
        <v>1.287</v>
      </c>
      <c r="D8" s="16">
        <f t="shared" ref="D8:D66" si="4">ROUND(D7*C8,0)</f>
        <v>77</v>
      </c>
      <c r="E8" s="1">
        <f>SUM($D$7:D8)</f>
        <v>137</v>
      </c>
      <c r="F8" s="3">
        <f t="shared" si="0"/>
        <v>770</v>
      </c>
      <c r="G8" s="1">
        <f>SUM($F$7:F8)</f>
        <v>1370</v>
      </c>
      <c r="H8" s="3">
        <f t="shared" si="1"/>
        <v>62</v>
      </c>
      <c r="I8" s="3">
        <f t="shared" si="2"/>
        <v>46</v>
      </c>
      <c r="L8" s="16">
        <v>2</v>
      </c>
      <c r="M8" s="16">
        <v>45</v>
      </c>
      <c r="N8" s="3" t="s">
        <v>2034</v>
      </c>
      <c r="O8" s="16">
        <v>1</v>
      </c>
      <c r="P8" s="16">
        <f>O8*道具定价!$F$106</f>
        <v>2250</v>
      </c>
      <c r="Q8" s="16" t="s">
        <v>601</v>
      </c>
      <c r="R8" s="16">
        <v>50000</v>
      </c>
      <c r="S8" s="16">
        <f>VLOOKUP(Q8,道具定价!$C:$F,4,0)*R8</f>
        <v>50</v>
      </c>
      <c r="T8" s="16">
        <f>S8+P8</f>
        <v>2300</v>
      </c>
    </row>
    <row r="9" spans="2:20">
      <c r="B9" s="3">
        <v>3</v>
      </c>
      <c r="C9" s="3">
        <f t="shared" si="3"/>
        <v>1.274</v>
      </c>
      <c r="D9" s="16">
        <f t="shared" si="4"/>
        <v>98</v>
      </c>
      <c r="E9" s="1">
        <f>SUM($D$7:D9)</f>
        <v>235</v>
      </c>
      <c r="F9" s="3">
        <f t="shared" si="0"/>
        <v>980</v>
      </c>
      <c r="G9" s="1">
        <f>SUM($F$7:F9)</f>
        <v>2350</v>
      </c>
      <c r="H9" s="3">
        <f t="shared" si="1"/>
        <v>78</v>
      </c>
      <c r="I9" s="3">
        <f t="shared" si="2"/>
        <v>59</v>
      </c>
      <c r="L9" s="16">
        <v>3</v>
      </c>
      <c r="M9" s="16">
        <v>50</v>
      </c>
      <c r="N9" s="3" t="s">
        <v>2034</v>
      </c>
      <c r="O9" s="16">
        <v>1</v>
      </c>
      <c r="P9" s="16">
        <f>O9*道具定价!$F$106</f>
        <v>2250</v>
      </c>
      <c r="Q9" s="16" t="s">
        <v>601</v>
      </c>
      <c r="R9" s="16">
        <v>90000</v>
      </c>
      <c r="S9" s="16">
        <f>VLOOKUP(Q9,道具定价!$C:$F,4,0)*R9</f>
        <v>90</v>
      </c>
      <c r="T9" s="16">
        <f>S9+P9</f>
        <v>2340</v>
      </c>
    </row>
    <row r="10" spans="2:20">
      <c r="B10" s="3">
        <v>4</v>
      </c>
      <c r="C10" s="3">
        <f t="shared" si="3"/>
        <v>1.261</v>
      </c>
      <c r="D10" s="16">
        <f t="shared" si="4"/>
        <v>124</v>
      </c>
      <c r="E10" s="1">
        <f>SUM($D$7:D10)</f>
        <v>359</v>
      </c>
      <c r="F10" s="3">
        <f t="shared" si="0"/>
        <v>1240</v>
      </c>
      <c r="G10" s="1">
        <f>SUM($F$7:F10)</f>
        <v>3590</v>
      </c>
      <c r="H10" s="3">
        <f t="shared" si="1"/>
        <v>99</v>
      </c>
      <c r="I10" s="3">
        <f t="shared" si="2"/>
        <v>74</v>
      </c>
      <c r="L10" s="16">
        <v>4</v>
      </c>
      <c r="M10" s="16">
        <v>55</v>
      </c>
      <c r="N10" s="3" t="s">
        <v>2034</v>
      </c>
      <c r="O10" s="16">
        <v>1</v>
      </c>
      <c r="P10" s="16">
        <f>O10*道具定价!$F$106</f>
        <v>2250</v>
      </c>
      <c r="Q10" s="16" t="s">
        <v>601</v>
      </c>
      <c r="R10" s="16">
        <v>150000</v>
      </c>
      <c r="S10" s="16">
        <f>VLOOKUP(Q10,道具定价!$C:$F,4,0)*R10</f>
        <v>150</v>
      </c>
      <c r="T10" s="16">
        <f>S10+P10</f>
        <v>2400</v>
      </c>
    </row>
    <row r="11" spans="2:20">
      <c r="B11" s="3">
        <v>5</v>
      </c>
      <c r="C11" s="3">
        <f t="shared" si="3"/>
        <v>1.248</v>
      </c>
      <c r="D11" s="16">
        <f t="shared" si="4"/>
        <v>155</v>
      </c>
      <c r="E11" s="1">
        <f>SUM($D$7:D11)</f>
        <v>514</v>
      </c>
      <c r="F11" s="3">
        <f t="shared" si="0"/>
        <v>1550</v>
      </c>
      <c r="G11" s="1">
        <f>SUM($F$7:F11)</f>
        <v>5140</v>
      </c>
      <c r="H11" s="3">
        <f t="shared" si="1"/>
        <v>124</v>
      </c>
      <c r="I11" s="3">
        <f t="shared" si="2"/>
        <v>93</v>
      </c>
      <c r="L11" s="16">
        <v>5</v>
      </c>
      <c r="M11" s="16">
        <v>60</v>
      </c>
      <c r="O11" s="16"/>
      <c r="P11" s="16"/>
      <c r="Q11" s="16"/>
      <c r="R11" s="16"/>
      <c r="S11" s="16"/>
      <c r="T11" s="16"/>
    </row>
    <row r="12" spans="2:20">
      <c r="B12" s="3">
        <v>6</v>
      </c>
      <c r="C12" s="3">
        <f t="shared" si="3"/>
        <v>1.235</v>
      </c>
      <c r="D12" s="16">
        <f t="shared" si="4"/>
        <v>191</v>
      </c>
      <c r="E12" s="1">
        <f>SUM($D$7:D12)</f>
        <v>705</v>
      </c>
      <c r="F12" s="3">
        <f t="shared" si="0"/>
        <v>1910</v>
      </c>
      <c r="G12" s="1">
        <f>SUM($F$7:F12)</f>
        <v>7050</v>
      </c>
      <c r="H12" s="3">
        <f t="shared" si="1"/>
        <v>153</v>
      </c>
      <c r="I12" s="3">
        <f t="shared" si="2"/>
        <v>115</v>
      </c>
      <c r="M12" s="77"/>
      <c r="P12" s="16">
        <f>SUM(P7:P11)</f>
        <v>9000</v>
      </c>
      <c r="R12" s="16">
        <f>SUM(R7:R11)</f>
        <v>310000</v>
      </c>
      <c r="T12" s="16">
        <f>SUM(T7:T11)</f>
        <v>9310</v>
      </c>
    </row>
    <row r="13" spans="2:20">
      <c r="B13" s="3">
        <v>7</v>
      </c>
      <c r="C13" s="3">
        <f t="shared" si="3"/>
        <v>1.222</v>
      </c>
      <c r="D13" s="16">
        <f t="shared" si="4"/>
        <v>233</v>
      </c>
      <c r="E13" s="1">
        <f>SUM($D$7:D13)</f>
        <v>938</v>
      </c>
      <c r="F13" s="3">
        <f t="shared" si="0"/>
        <v>2330</v>
      </c>
      <c r="G13" s="1">
        <f>SUM($F$7:F13)</f>
        <v>9380</v>
      </c>
      <c r="H13" s="3">
        <f t="shared" si="1"/>
        <v>186</v>
      </c>
      <c r="I13" s="3">
        <f t="shared" si="2"/>
        <v>140</v>
      </c>
      <c r="M13" s="77"/>
      <c r="P13" s="16">
        <f>4*P12</f>
        <v>36000</v>
      </c>
      <c r="Q13" s="3" t="s">
        <v>2035</v>
      </c>
      <c r="R13" s="16">
        <f>4*R12</f>
        <v>1240000</v>
      </c>
    </row>
    <row r="14" spans="2:20">
      <c r="B14" s="3">
        <v>8</v>
      </c>
      <c r="C14" s="3">
        <f t="shared" si="3"/>
        <v>1.209</v>
      </c>
      <c r="D14" s="16">
        <f t="shared" si="4"/>
        <v>282</v>
      </c>
      <c r="E14" s="1">
        <f>SUM($D$7:D14)</f>
        <v>1220</v>
      </c>
      <c r="F14" s="3">
        <f t="shared" si="0"/>
        <v>2820</v>
      </c>
      <c r="G14" s="1">
        <f>SUM($F$7:F14)</f>
        <v>12200</v>
      </c>
      <c r="H14" s="3">
        <f t="shared" si="1"/>
        <v>226</v>
      </c>
      <c r="I14" s="3">
        <f t="shared" si="2"/>
        <v>169</v>
      </c>
      <c r="M14" s="77"/>
    </row>
    <row r="15" spans="2:20">
      <c r="B15" s="3">
        <v>9</v>
      </c>
      <c r="C15" s="3">
        <f t="shared" si="3"/>
        <v>1.196</v>
      </c>
      <c r="D15" s="16">
        <f t="shared" si="4"/>
        <v>337</v>
      </c>
      <c r="E15" s="1">
        <f>SUM($D$7:D15)</f>
        <v>1557</v>
      </c>
      <c r="F15" s="3">
        <f t="shared" si="0"/>
        <v>3370</v>
      </c>
      <c r="G15" s="1">
        <f>SUM($F$7:F15)</f>
        <v>15570</v>
      </c>
      <c r="H15" s="3">
        <f t="shared" si="1"/>
        <v>270</v>
      </c>
      <c r="I15" s="3">
        <f t="shared" si="2"/>
        <v>202</v>
      </c>
      <c r="M15" s="3" t="s">
        <v>2036</v>
      </c>
      <c r="N15" s="3" t="s">
        <v>1062</v>
      </c>
      <c r="O15" s="3" t="s">
        <v>2037</v>
      </c>
      <c r="P15" s="3" t="s">
        <v>2038</v>
      </c>
      <c r="Q15" s="3" t="s">
        <v>2039</v>
      </c>
    </row>
    <row r="16" spans="2:20">
      <c r="B16" s="3">
        <v>10</v>
      </c>
      <c r="C16" s="3">
        <f t="shared" si="3"/>
        <v>1.183</v>
      </c>
      <c r="D16" s="16">
        <f t="shared" si="4"/>
        <v>399</v>
      </c>
      <c r="E16" s="1">
        <f>SUM($D$7:D16)</f>
        <v>1956</v>
      </c>
      <c r="F16" s="3">
        <f t="shared" si="0"/>
        <v>3990</v>
      </c>
      <c r="G16" s="1">
        <f>SUM($F$7:F16)</f>
        <v>19560</v>
      </c>
      <c r="H16" s="3">
        <f t="shared" si="1"/>
        <v>319</v>
      </c>
      <c r="I16" s="3">
        <f t="shared" si="2"/>
        <v>239</v>
      </c>
      <c r="L16" s="3" t="s">
        <v>693</v>
      </c>
      <c r="M16" s="3">
        <v>500</v>
      </c>
      <c r="N16" s="3">
        <f>M16*道具定价!$F$100</f>
        <v>5</v>
      </c>
      <c r="O16" s="3" t="s">
        <v>698</v>
      </c>
      <c r="P16" s="3">
        <v>0</v>
      </c>
      <c r="Q16" s="16">
        <f>VLOOKUP(O16,道具定价!$C:$F,4,0)*P16</f>
        <v>0</v>
      </c>
    </row>
    <row r="17" spans="2:17">
      <c r="B17" s="3">
        <v>11</v>
      </c>
      <c r="C17" s="3">
        <f t="shared" si="3"/>
        <v>1.17</v>
      </c>
      <c r="D17" s="16">
        <f t="shared" si="4"/>
        <v>467</v>
      </c>
      <c r="E17" s="1">
        <f>SUM($D$7:D17)</f>
        <v>2423</v>
      </c>
      <c r="F17" s="3">
        <f t="shared" si="0"/>
        <v>4670</v>
      </c>
      <c r="G17" s="1">
        <f>SUM($F$7:F17)</f>
        <v>24230</v>
      </c>
      <c r="H17" s="3">
        <f t="shared" si="1"/>
        <v>374</v>
      </c>
      <c r="I17" s="3">
        <f t="shared" si="2"/>
        <v>280</v>
      </c>
      <c r="L17" s="3" t="s">
        <v>692</v>
      </c>
      <c r="M17" s="3">
        <v>6000</v>
      </c>
      <c r="N17" s="3">
        <f>M17*道具定价!$F$100</f>
        <v>60</v>
      </c>
      <c r="O17" s="3" t="s">
        <v>698</v>
      </c>
      <c r="P17" s="3">
        <v>10</v>
      </c>
      <c r="Q17" s="16">
        <f>VLOOKUP(O17,道具定价!$C:$F,4,0)*P17</f>
        <v>100</v>
      </c>
    </row>
    <row r="18" spans="2:17">
      <c r="B18" s="3">
        <v>12</v>
      </c>
      <c r="C18" s="3">
        <f t="shared" si="3"/>
        <v>1.157</v>
      </c>
      <c r="D18" s="16">
        <f t="shared" si="4"/>
        <v>540</v>
      </c>
      <c r="E18" s="1">
        <f>SUM($D$7:D18)</f>
        <v>2963</v>
      </c>
      <c r="F18" s="3">
        <f t="shared" si="0"/>
        <v>5400</v>
      </c>
      <c r="G18" s="1">
        <f>SUM($F$7:F18)</f>
        <v>29630</v>
      </c>
      <c r="H18" s="3">
        <f t="shared" si="1"/>
        <v>432</v>
      </c>
      <c r="I18" s="3">
        <f t="shared" si="2"/>
        <v>324</v>
      </c>
      <c r="L18" s="3" t="s">
        <v>689</v>
      </c>
      <c r="M18" s="3">
        <v>30000</v>
      </c>
      <c r="N18" s="3">
        <f>M18*道具定价!$F$100</f>
        <v>300</v>
      </c>
      <c r="O18" s="3" t="s">
        <v>697</v>
      </c>
      <c r="P18" s="3">
        <v>10</v>
      </c>
      <c r="Q18" s="16">
        <f>VLOOKUP(O18,道具定价!$C:$F,4,0)*P18</f>
        <v>400</v>
      </c>
    </row>
    <row r="19" spans="2:17">
      <c r="B19" s="3">
        <v>13</v>
      </c>
      <c r="C19" s="3">
        <f t="shared" si="3"/>
        <v>1.144</v>
      </c>
      <c r="D19" s="16">
        <f t="shared" si="4"/>
        <v>618</v>
      </c>
      <c r="E19" s="1">
        <f>SUM($D$7:D19)</f>
        <v>3581</v>
      </c>
      <c r="F19" s="3">
        <f t="shared" si="0"/>
        <v>6180</v>
      </c>
      <c r="G19" s="1">
        <f>SUM($F$7:F19)</f>
        <v>35810</v>
      </c>
      <c r="H19" s="3">
        <f t="shared" si="1"/>
        <v>494</v>
      </c>
      <c r="I19" s="3">
        <f t="shared" si="2"/>
        <v>371</v>
      </c>
      <c r="M19" s="77"/>
    </row>
    <row r="20" spans="2:17">
      <c r="B20" s="3">
        <v>14</v>
      </c>
      <c r="C20" s="3">
        <f t="shared" si="3"/>
        <v>1.131</v>
      </c>
      <c r="D20" s="16">
        <f t="shared" si="4"/>
        <v>699</v>
      </c>
      <c r="E20" s="1">
        <f>SUM($D$7:D20)</f>
        <v>4280</v>
      </c>
      <c r="F20" s="3">
        <f t="shared" si="0"/>
        <v>6990</v>
      </c>
      <c r="G20" s="1">
        <f>SUM($F$7:F20)</f>
        <v>42800</v>
      </c>
      <c r="H20" s="3">
        <f t="shared" si="1"/>
        <v>559</v>
      </c>
      <c r="I20" s="3">
        <f t="shared" si="2"/>
        <v>419</v>
      </c>
      <c r="M20" s="77"/>
    </row>
    <row r="21" spans="2:17">
      <c r="B21" s="3">
        <v>15</v>
      </c>
      <c r="C21" s="3">
        <f t="shared" si="3"/>
        <v>1.118</v>
      </c>
      <c r="D21" s="16">
        <f t="shared" si="4"/>
        <v>781</v>
      </c>
      <c r="E21" s="1">
        <f>SUM($D$7:D21)</f>
        <v>5061</v>
      </c>
      <c r="F21" s="3">
        <f t="shared" si="0"/>
        <v>7810</v>
      </c>
      <c r="G21" s="1">
        <f>SUM($F$7:F21)</f>
        <v>50610</v>
      </c>
      <c r="H21" s="3">
        <f t="shared" si="1"/>
        <v>625</v>
      </c>
      <c r="I21" s="3">
        <f t="shared" si="2"/>
        <v>469</v>
      </c>
      <c r="M21" s="77"/>
    </row>
    <row r="22" spans="2:17">
      <c r="B22" s="3">
        <v>16</v>
      </c>
      <c r="C22" s="3">
        <f t="shared" si="3"/>
        <v>1.105</v>
      </c>
      <c r="D22" s="16">
        <f t="shared" si="4"/>
        <v>863</v>
      </c>
      <c r="E22" s="1">
        <f>SUM($D$7:D22)</f>
        <v>5924</v>
      </c>
      <c r="F22" s="3">
        <f t="shared" si="0"/>
        <v>8630</v>
      </c>
      <c r="G22" s="1">
        <f>SUM($F$7:F22)</f>
        <v>59240</v>
      </c>
      <c r="H22" s="3">
        <f t="shared" si="1"/>
        <v>690</v>
      </c>
      <c r="I22" s="3">
        <f t="shared" si="2"/>
        <v>518</v>
      </c>
      <c r="M22" s="77"/>
    </row>
    <row r="23" spans="2:17">
      <c r="B23" s="3">
        <v>17</v>
      </c>
      <c r="C23" s="3">
        <f t="shared" si="3"/>
        <v>1.092</v>
      </c>
      <c r="D23" s="16">
        <f t="shared" si="4"/>
        <v>942</v>
      </c>
      <c r="E23" s="1">
        <f>SUM($D$7:D23)</f>
        <v>6866</v>
      </c>
      <c r="F23" s="3">
        <f t="shared" si="0"/>
        <v>9420</v>
      </c>
      <c r="G23" s="1">
        <f>SUM($F$7:F23)</f>
        <v>68660</v>
      </c>
      <c r="H23" s="3">
        <f t="shared" si="1"/>
        <v>754</v>
      </c>
      <c r="I23" s="3">
        <f t="shared" si="2"/>
        <v>565</v>
      </c>
      <c r="M23" s="77"/>
    </row>
    <row r="24" spans="2:17">
      <c r="B24" s="3">
        <v>18</v>
      </c>
      <c r="C24" s="3">
        <f t="shared" si="3"/>
        <v>1.079</v>
      </c>
      <c r="D24" s="16">
        <f t="shared" si="4"/>
        <v>1016</v>
      </c>
      <c r="E24" s="1">
        <f>SUM($D$7:D24)</f>
        <v>7882</v>
      </c>
      <c r="F24" s="3">
        <f t="shared" si="0"/>
        <v>10160</v>
      </c>
      <c r="G24" s="1">
        <f>SUM($F$7:F24)</f>
        <v>78820</v>
      </c>
      <c r="H24" s="3">
        <f t="shared" si="1"/>
        <v>813</v>
      </c>
      <c r="I24" s="3">
        <f t="shared" si="2"/>
        <v>610</v>
      </c>
      <c r="M24" s="77"/>
    </row>
    <row r="25" spans="2:17">
      <c r="B25" s="3">
        <v>19</v>
      </c>
      <c r="C25" s="3">
        <f t="shared" si="3"/>
        <v>1.066</v>
      </c>
      <c r="D25" s="16">
        <f t="shared" si="4"/>
        <v>1083</v>
      </c>
      <c r="E25" s="1">
        <f>SUM($D$7:D25)</f>
        <v>8965</v>
      </c>
      <c r="F25" s="3">
        <f t="shared" si="0"/>
        <v>10830</v>
      </c>
      <c r="G25" s="1">
        <f>SUM($F$7:F25)</f>
        <v>89650</v>
      </c>
      <c r="H25" s="3">
        <f t="shared" si="1"/>
        <v>866</v>
      </c>
      <c r="I25" s="3">
        <f t="shared" si="2"/>
        <v>650</v>
      </c>
      <c r="M25" s="77"/>
    </row>
    <row r="26" spans="2:17">
      <c r="B26" s="3">
        <v>20</v>
      </c>
      <c r="C26" s="3">
        <f t="shared" si="3"/>
        <v>1.053</v>
      </c>
      <c r="D26" s="16">
        <f t="shared" si="4"/>
        <v>1140</v>
      </c>
      <c r="E26" s="1">
        <f>SUM($D$7:D26)</f>
        <v>10105</v>
      </c>
      <c r="F26" s="3">
        <f t="shared" si="0"/>
        <v>11400</v>
      </c>
      <c r="G26" s="1">
        <f>SUM($F$7:F26)</f>
        <v>101050</v>
      </c>
      <c r="H26" s="3">
        <f t="shared" si="1"/>
        <v>912</v>
      </c>
      <c r="I26" s="3">
        <f t="shared" si="2"/>
        <v>684</v>
      </c>
      <c r="M26" s="77"/>
    </row>
    <row r="27" spans="2:17">
      <c r="B27" s="3">
        <v>21</v>
      </c>
      <c r="C27" s="3">
        <f t="shared" si="3"/>
        <v>1.04</v>
      </c>
      <c r="D27" s="16">
        <f t="shared" si="4"/>
        <v>1186</v>
      </c>
      <c r="E27" s="1">
        <f>SUM($D$7:D27)</f>
        <v>11291</v>
      </c>
      <c r="F27" s="3">
        <f t="shared" si="0"/>
        <v>11860</v>
      </c>
      <c r="G27" s="1">
        <f>SUM($F$7:F27)</f>
        <v>112910</v>
      </c>
      <c r="H27" s="3">
        <f t="shared" si="1"/>
        <v>949</v>
      </c>
      <c r="I27" s="3">
        <f t="shared" si="2"/>
        <v>712</v>
      </c>
      <c r="M27" s="77"/>
    </row>
    <row r="28" spans="2:17">
      <c r="B28" s="3">
        <v>22</v>
      </c>
      <c r="C28" s="3">
        <f t="shared" si="3"/>
        <v>1.035</v>
      </c>
      <c r="D28" s="16">
        <f t="shared" si="4"/>
        <v>1228</v>
      </c>
      <c r="E28" s="1">
        <f>SUM($D$7:D28)</f>
        <v>12519</v>
      </c>
      <c r="F28" s="3">
        <f t="shared" si="0"/>
        <v>12280</v>
      </c>
      <c r="G28" s="1">
        <f>SUM($F$7:F28)</f>
        <v>125190</v>
      </c>
      <c r="H28" s="3">
        <f t="shared" si="1"/>
        <v>982</v>
      </c>
      <c r="I28" s="3">
        <f t="shared" si="2"/>
        <v>737</v>
      </c>
      <c r="M28" s="77"/>
    </row>
    <row r="29" spans="2:17">
      <c r="B29" s="3">
        <v>23</v>
      </c>
      <c r="C29" s="3">
        <f t="shared" si="3"/>
        <v>1.035</v>
      </c>
      <c r="D29" s="16">
        <f t="shared" si="4"/>
        <v>1271</v>
      </c>
      <c r="E29" s="1">
        <f>SUM($D$7:D29)</f>
        <v>13790</v>
      </c>
      <c r="F29" s="3">
        <f t="shared" si="0"/>
        <v>12710</v>
      </c>
      <c r="G29" s="1">
        <f>SUM($F$7:F29)</f>
        <v>137900</v>
      </c>
      <c r="H29" s="3">
        <f t="shared" si="1"/>
        <v>1017</v>
      </c>
      <c r="I29" s="3">
        <f t="shared" si="2"/>
        <v>763</v>
      </c>
      <c r="M29" s="77"/>
    </row>
    <row r="30" spans="2:17">
      <c r="B30" s="3">
        <v>24</v>
      </c>
      <c r="C30" s="3">
        <f t="shared" si="3"/>
        <v>1.035</v>
      </c>
      <c r="D30" s="16">
        <f t="shared" si="4"/>
        <v>1315</v>
      </c>
      <c r="E30" s="1">
        <f>SUM($D$7:D30)</f>
        <v>15105</v>
      </c>
      <c r="F30" s="3">
        <f t="shared" si="0"/>
        <v>13150</v>
      </c>
      <c r="G30" s="1">
        <f>SUM($F$7:F30)</f>
        <v>151050</v>
      </c>
      <c r="H30" s="3">
        <f t="shared" si="1"/>
        <v>1052</v>
      </c>
      <c r="I30" s="3">
        <f t="shared" si="2"/>
        <v>789</v>
      </c>
      <c r="M30" s="77"/>
    </row>
    <row r="31" spans="2:17">
      <c r="B31" s="3">
        <v>25</v>
      </c>
      <c r="C31" s="3">
        <f t="shared" si="3"/>
        <v>1.035</v>
      </c>
      <c r="D31" s="16">
        <f t="shared" si="4"/>
        <v>1361</v>
      </c>
      <c r="E31" s="1">
        <f>SUM($D$7:D31)</f>
        <v>16466</v>
      </c>
      <c r="F31" s="3">
        <f t="shared" si="0"/>
        <v>13610</v>
      </c>
      <c r="G31" s="1">
        <f>SUM($F$7:F31)</f>
        <v>164660</v>
      </c>
      <c r="H31" s="3">
        <f t="shared" si="1"/>
        <v>1089</v>
      </c>
      <c r="I31" s="3">
        <f t="shared" si="2"/>
        <v>817</v>
      </c>
      <c r="M31" s="77"/>
    </row>
    <row r="32" spans="2:17">
      <c r="B32" s="3">
        <v>26</v>
      </c>
      <c r="C32" s="3">
        <f t="shared" si="3"/>
        <v>1.035</v>
      </c>
      <c r="D32" s="16">
        <f t="shared" si="4"/>
        <v>1409</v>
      </c>
      <c r="E32" s="1">
        <f>SUM($D$7:D32)</f>
        <v>17875</v>
      </c>
      <c r="F32" s="3">
        <f t="shared" si="0"/>
        <v>14090</v>
      </c>
      <c r="G32" s="1">
        <f>SUM($F$7:F32)</f>
        <v>178750</v>
      </c>
      <c r="H32" s="3">
        <f t="shared" si="1"/>
        <v>1127</v>
      </c>
      <c r="I32" s="3">
        <f t="shared" si="2"/>
        <v>845</v>
      </c>
      <c r="M32" s="77"/>
    </row>
    <row r="33" spans="2:13">
      <c r="B33" s="3">
        <v>27</v>
      </c>
      <c r="C33" s="3">
        <f t="shared" si="3"/>
        <v>1.035</v>
      </c>
      <c r="D33" s="16">
        <f t="shared" si="4"/>
        <v>1458</v>
      </c>
      <c r="E33" s="1">
        <f>SUM($D$7:D33)</f>
        <v>19333</v>
      </c>
      <c r="F33" s="3">
        <f t="shared" si="0"/>
        <v>14580</v>
      </c>
      <c r="G33" s="1">
        <f>SUM($F$7:F33)</f>
        <v>193330</v>
      </c>
      <c r="H33" s="3">
        <f t="shared" si="1"/>
        <v>1166</v>
      </c>
      <c r="I33" s="3">
        <f t="shared" si="2"/>
        <v>875</v>
      </c>
      <c r="M33" s="77"/>
    </row>
    <row r="34" spans="2:13">
      <c r="B34" s="3">
        <v>28</v>
      </c>
      <c r="C34" s="3">
        <f t="shared" si="3"/>
        <v>1.035</v>
      </c>
      <c r="D34" s="16">
        <f t="shared" si="4"/>
        <v>1509</v>
      </c>
      <c r="E34" s="1">
        <f>SUM($D$7:D34)</f>
        <v>20842</v>
      </c>
      <c r="F34" s="3">
        <f t="shared" si="0"/>
        <v>15090</v>
      </c>
      <c r="G34" s="1">
        <f>SUM($F$7:F34)</f>
        <v>208420</v>
      </c>
      <c r="H34" s="3">
        <f t="shared" si="1"/>
        <v>1207</v>
      </c>
      <c r="I34" s="3">
        <f t="shared" si="2"/>
        <v>905</v>
      </c>
      <c r="M34" s="77"/>
    </row>
    <row r="35" spans="2:13">
      <c r="B35" s="3">
        <v>29</v>
      </c>
      <c r="C35" s="3">
        <f t="shared" si="3"/>
        <v>1.035</v>
      </c>
      <c r="D35" s="16">
        <f t="shared" si="4"/>
        <v>1562</v>
      </c>
      <c r="E35" s="1">
        <f>SUM($D$7:D35)</f>
        <v>22404</v>
      </c>
      <c r="F35" s="3">
        <f t="shared" si="0"/>
        <v>15620</v>
      </c>
      <c r="G35" s="1">
        <f>SUM($F$7:F35)</f>
        <v>224040</v>
      </c>
      <c r="H35" s="3">
        <f t="shared" si="1"/>
        <v>1250</v>
      </c>
      <c r="I35" s="3">
        <f t="shared" si="2"/>
        <v>937</v>
      </c>
      <c r="M35" s="77"/>
    </row>
    <row r="36" spans="2:13">
      <c r="B36" s="3">
        <v>30</v>
      </c>
      <c r="C36" s="3">
        <f t="shared" si="3"/>
        <v>1.035</v>
      </c>
      <c r="D36" s="16">
        <f t="shared" si="4"/>
        <v>1617</v>
      </c>
      <c r="E36" s="1">
        <f>SUM($D$7:D36)</f>
        <v>24021</v>
      </c>
      <c r="F36" s="3">
        <f t="shared" si="0"/>
        <v>16170</v>
      </c>
      <c r="G36" s="1">
        <f>SUM($F$7:F36)</f>
        <v>240210</v>
      </c>
      <c r="H36" s="3">
        <f t="shared" si="1"/>
        <v>1294</v>
      </c>
      <c r="I36" s="3">
        <f t="shared" si="2"/>
        <v>970</v>
      </c>
      <c r="M36" s="77"/>
    </row>
    <row r="37" spans="2:13">
      <c r="B37" s="3">
        <v>31</v>
      </c>
      <c r="C37" s="3">
        <f t="shared" si="3"/>
        <v>1.035</v>
      </c>
      <c r="D37" s="16">
        <f t="shared" si="4"/>
        <v>1674</v>
      </c>
      <c r="E37" s="1">
        <f>SUM($D$7:D37)</f>
        <v>25695</v>
      </c>
      <c r="F37" s="3">
        <f t="shared" si="0"/>
        <v>16740</v>
      </c>
      <c r="G37" s="1">
        <f>SUM($F$7:F37)</f>
        <v>256950</v>
      </c>
      <c r="H37" s="3">
        <f t="shared" si="1"/>
        <v>1339</v>
      </c>
      <c r="I37" s="3">
        <f t="shared" si="2"/>
        <v>1004</v>
      </c>
      <c r="M37" s="77"/>
    </row>
    <row r="38" spans="2:13">
      <c r="B38" s="3">
        <v>32</v>
      </c>
      <c r="C38" s="3">
        <f t="shared" si="3"/>
        <v>1.035</v>
      </c>
      <c r="D38" s="16">
        <f t="shared" si="4"/>
        <v>1733</v>
      </c>
      <c r="E38" s="1">
        <f>SUM($D$7:D38)</f>
        <v>27428</v>
      </c>
      <c r="F38" s="3">
        <f t="shared" si="0"/>
        <v>17330</v>
      </c>
      <c r="G38" s="1">
        <f>SUM($F$7:F38)</f>
        <v>274280</v>
      </c>
      <c r="H38" s="3">
        <f t="shared" si="1"/>
        <v>1386</v>
      </c>
      <c r="I38" s="3">
        <f t="shared" si="2"/>
        <v>1040</v>
      </c>
      <c r="M38" s="77"/>
    </row>
    <row r="39" spans="2:13">
      <c r="B39" s="3">
        <v>33</v>
      </c>
      <c r="C39" s="3">
        <f t="shared" si="3"/>
        <v>1.035</v>
      </c>
      <c r="D39" s="16">
        <f t="shared" si="4"/>
        <v>1794</v>
      </c>
      <c r="E39" s="1">
        <f>SUM($D$7:D39)</f>
        <v>29222</v>
      </c>
      <c r="F39" s="3">
        <f t="shared" si="0"/>
        <v>17940</v>
      </c>
      <c r="G39" s="1">
        <f>SUM($F$7:F39)</f>
        <v>292220</v>
      </c>
      <c r="H39" s="3">
        <f t="shared" si="1"/>
        <v>1435</v>
      </c>
      <c r="I39" s="3">
        <f t="shared" si="2"/>
        <v>1076</v>
      </c>
      <c r="M39" s="77"/>
    </row>
    <row r="40" spans="2:13">
      <c r="B40" s="3">
        <v>34</v>
      </c>
      <c r="C40" s="3">
        <f t="shared" si="3"/>
        <v>1.035</v>
      </c>
      <c r="D40" s="16">
        <f t="shared" si="4"/>
        <v>1857</v>
      </c>
      <c r="E40" s="1">
        <f>SUM($D$7:D40)</f>
        <v>31079</v>
      </c>
      <c r="F40" s="3">
        <f t="shared" si="0"/>
        <v>18570</v>
      </c>
      <c r="G40" s="1">
        <f>SUM($F$7:F40)</f>
        <v>310790</v>
      </c>
      <c r="H40" s="3">
        <f t="shared" si="1"/>
        <v>1486</v>
      </c>
      <c r="I40" s="3">
        <f t="shared" si="2"/>
        <v>1114</v>
      </c>
      <c r="M40" s="77"/>
    </row>
    <row r="41" spans="2:13">
      <c r="B41" s="3">
        <v>35</v>
      </c>
      <c r="C41" s="3">
        <f t="shared" si="3"/>
        <v>1.035</v>
      </c>
      <c r="D41" s="16">
        <f t="shared" si="4"/>
        <v>1922</v>
      </c>
      <c r="E41" s="1">
        <f>SUM($D$7:D41)</f>
        <v>33001</v>
      </c>
      <c r="F41" s="3">
        <f t="shared" si="0"/>
        <v>19220</v>
      </c>
      <c r="G41" s="1">
        <f>SUM($F$7:F41)</f>
        <v>330010</v>
      </c>
      <c r="H41" s="3">
        <f t="shared" si="1"/>
        <v>1538</v>
      </c>
      <c r="I41" s="3">
        <f t="shared" si="2"/>
        <v>1153</v>
      </c>
      <c r="M41" s="77"/>
    </row>
    <row r="42" spans="2:13">
      <c r="B42" s="3">
        <v>36</v>
      </c>
      <c r="C42" s="3">
        <f t="shared" si="3"/>
        <v>1.035</v>
      </c>
      <c r="D42" s="16">
        <f t="shared" si="4"/>
        <v>1989</v>
      </c>
      <c r="E42" s="1">
        <f>SUM($D$7:D42)</f>
        <v>34990</v>
      </c>
      <c r="F42" s="3">
        <f t="shared" si="0"/>
        <v>19890</v>
      </c>
      <c r="G42" s="1">
        <f>SUM($F$7:F42)</f>
        <v>349900</v>
      </c>
      <c r="H42" s="3">
        <f t="shared" si="1"/>
        <v>1591</v>
      </c>
      <c r="I42" s="3">
        <f t="shared" si="2"/>
        <v>1193</v>
      </c>
      <c r="M42" s="77"/>
    </row>
    <row r="43" spans="2:13">
      <c r="B43" s="3">
        <v>37</v>
      </c>
      <c r="C43" s="3">
        <f t="shared" si="3"/>
        <v>1.035</v>
      </c>
      <c r="D43" s="16">
        <f t="shared" si="4"/>
        <v>2059</v>
      </c>
      <c r="E43" s="1">
        <f>SUM($D$7:D43)</f>
        <v>37049</v>
      </c>
      <c r="F43" s="3">
        <f t="shared" si="0"/>
        <v>20590</v>
      </c>
      <c r="G43" s="1">
        <f>SUM($F$7:F43)</f>
        <v>370490</v>
      </c>
      <c r="H43" s="3">
        <f t="shared" si="1"/>
        <v>1647</v>
      </c>
      <c r="I43" s="3">
        <f t="shared" si="2"/>
        <v>1235</v>
      </c>
      <c r="M43" s="77"/>
    </row>
    <row r="44" spans="2:13">
      <c r="B44" s="3">
        <v>38</v>
      </c>
      <c r="C44" s="3">
        <f t="shared" si="3"/>
        <v>1.035</v>
      </c>
      <c r="D44" s="16">
        <f t="shared" si="4"/>
        <v>2131</v>
      </c>
      <c r="E44" s="1">
        <f>SUM($D$7:D44)</f>
        <v>39180</v>
      </c>
      <c r="F44" s="3">
        <f t="shared" si="0"/>
        <v>21310</v>
      </c>
      <c r="G44" s="1">
        <f>SUM($F$7:F44)</f>
        <v>391800</v>
      </c>
      <c r="H44" s="3">
        <f t="shared" si="1"/>
        <v>1705</v>
      </c>
      <c r="I44" s="3">
        <f t="shared" si="2"/>
        <v>1279</v>
      </c>
      <c r="M44" s="77"/>
    </row>
    <row r="45" spans="2:13">
      <c r="B45" s="3">
        <v>39</v>
      </c>
      <c r="C45" s="3">
        <f t="shared" si="3"/>
        <v>1.035</v>
      </c>
      <c r="D45" s="16">
        <f t="shared" si="4"/>
        <v>2206</v>
      </c>
      <c r="E45" s="1">
        <f>SUM($D$7:D45)</f>
        <v>41386</v>
      </c>
      <c r="F45" s="3">
        <f t="shared" si="0"/>
        <v>22060</v>
      </c>
      <c r="G45" s="1">
        <f>SUM($F$7:F45)</f>
        <v>413860</v>
      </c>
      <c r="H45" s="3">
        <f t="shared" si="1"/>
        <v>1765</v>
      </c>
      <c r="I45" s="3">
        <f t="shared" si="2"/>
        <v>1324</v>
      </c>
      <c r="M45" s="77"/>
    </row>
    <row r="46" spans="2:13">
      <c r="B46" s="3">
        <v>40</v>
      </c>
      <c r="C46" s="3">
        <f t="shared" si="3"/>
        <v>1.035</v>
      </c>
      <c r="D46" s="16">
        <f t="shared" si="4"/>
        <v>2283</v>
      </c>
      <c r="E46" s="1">
        <f>SUM($D$7:D46)</f>
        <v>43669</v>
      </c>
      <c r="F46" s="3">
        <f t="shared" si="0"/>
        <v>22830</v>
      </c>
      <c r="G46" s="1">
        <f>SUM($F$7:F46)</f>
        <v>436690</v>
      </c>
      <c r="H46" s="3">
        <f t="shared" si="1"/>
        <v>1826</v>
      </c>
      <c r="I46" s="3">
        <f t="shared" si="2"/>
        <v>1370</v>
      </c>
      <c r="M46" s="77"/>
    </row>
    <row r="47" spans="2:13">
      <c r="B47" s="3">
        <v>41</v>
      </c>
      <c r="C47" s="3">
        <f t="shared" si="3"/>
        <v>1.035</v>
      </c>
      <c r="D47" s="16">
        <f t="shared" si="4"/>
        <v>2363</v>
      </c>
      <c r="E47" s="1">
        <f>SUM($D$7:D47)</f>
        <v>46032</v>
      </c>
      <c r="F47" s="3">
        <f t="shared" si="0"/>
        <v>23630</v>
      </c>
      <c r="G47" s="1">
        <f>SUM($F$7:F47)</f>
        <v>460320</v>
      </c>
      <c r="H47" s="3">
        <f t="shared" si="1"/>
        <v>1890</v>
      </c>
      <c r="I47" s="3">
        <f t="shared" si="2"/>
        <v>1418</v>
      </c>
      <c r="M47" s="77"/>
    </row>
    <row r="48" spans="2:13">
      <c r="B48" s="3">
        <v>42</v>
      </c>
      <c r="C48" s="3">
        <f t="shared" si="3"/>
        <v>1.035</v>
      </c>
      <c r="D48" s="16">
        <f t="shared" si="4"/>
        <v>2446</v>
      </c>
      <c r="E48" s="1">
        <f>SUM($D$7:D48)</f>
        <v>48478</v>
      </c>
      <c r="F48" s="3">
        <f t="shared" si="0"/>
        <v>24460</v>
      </c>
      <c r="G48" s="1">
        <f>SUM($F$7:F48)</f>
        <v>484780</v>
      </c>
      <c r="H48" s="3">
        <f t="shared" si="1"/>
        <v>1957</v>
      </c>
      <c r="I48" s="3">
        <f t="shared" si="2"/>
        <v>1468</v>
      </c>
      <c r="M48" s="77"/>
    </row>
    <row r="49" spans="2:13">
      <c r="B49" s="3">
        <v>43</v>
      </c>
      <c r="C49" s="3">
        <f t="shared" si="3"/>
        <v>1.035</v>
      </c>
      <c r="D49" s="16">
        <f t="shared" si="4"/>
        <v>2532</v>
      </c>
      <c r="E49" s="1">
        <f>SUM($D$7:D49)</f>
        <v>51010</v>
      </c>
      <c r="F49" s="3">
        <f t="shared" si="0"/>
        <v>25320</v>
      </c>
      <c r="G49" s="1">
        <f>SUM($F$7:F49)</f>
        <v>510100</v>
      </c>
      <c r="H49" s="3">
        <f t="shared" si="1"/>
        <v>2026</v>
      </c>
      <c r="I49" s="3">
        <f t="shared" si="2"/>
        <v>1519</v>
      </c>
      <c r="M49" s="77"/>
    </row>
    <row r="50" spans="2:13">
      <c r="B50" s="3">
        <v>44</v>
      </c>
      <c r="C50" s="3">
        <f t="shared" si="3"/>
        <v>1.035</v>
      </c>
      <c r="D50" s="16">
        <f t="shared" si="4"/>
        <v>2621</v>
      </c>
      <c r="E50" s="1">
        <f>SUM($D$7:D50)</f>
        <v>53631</v>
      </c>
      <c r="F50" s="3">
        <f t="shared" si="0"/>
        <v>26210</v>
      </c>
      <c r="G50" s="1">
        <f>SUM($F$7:F50)</f>
        <v>536310</v>
      </c>
      <c r="H50" s="3">
        <f t="shared" si="1"/>
        <v>2097</v>
      </c>
      <c r="I50" s="3">
        <f t="shared" si="2"/>
        <v>1573</v>
      </c>
      <c r="M50" s="77"/>
    </row>
    <row r="51" spans="2:13">
      <c r="B51" s="3">
        <v>45</v>
      </c>
      <c r="C51" s="3">
        <f t="shared" si="3"/>
        <v>1.035</v>
      </c>
      <c r="D51" s="16">
        <f t="shared" si="4"/>
        <v>2713</v>
      </c>
      <c r="E51" s="1">
        <f>SUM($D$7:D51)</f>
        <v>56344</v>
      </c>
      <c r="F51" s="3">
        <f t="shared" si="0"/>
        <v>27130</v>
      </c>
      <c r="G51" s="1">
        <f>SUM($F$7:F51)</f>
        <v>563440</v>
      </c>
      <c r="H51" s="3">
        <f t="shared" si="1"/>
        <v>2170</v>
      </c>
      <c r="I51" s="3">
        <f t="shared" si="2"/>
        <v>1628</v>
      </c>
      <c r="M51" s="77"/>
    </row>
    <row r="52" spans="2:13">
      <c r="B52" s="3">
        <v>46</v>
      </c>
      <c r="C52" s="3">
        <f t="shared" si="3"/>
        <v>1.035</v>
      </c>
      <c r="D52" s="16">
        <f t="shared" si="4"/>
        <v>2808</v>
      </c>
      <c r="E52" s="1">
        <f>SUM($D$7:D52)</f>
        <v>59152</v>
      </c>
      <c r="F52" s="3">
        <f t="shared" si="0"/>
        <v>28080</v>
      </c>
      <c r="G52" s="1">
        <f>SUM($F$7:F52)</f>
        <v>591520</v>
      </c>
      <c r="H52" s="3">
        <f t="shared" si="1"/>
        <v>2246</v>
      </c>
      <c r="I52" s="3">
        <f t="shared" si="2"/>
        <v>1685</v>
      </c>
      <c r="M52" s="77"/>
    </row>
    <row r="53" spans="2:13">
      <c r="B53" s="3">
        <v>47</v>
      </c>
      <c r="C53" s="3">
        <f t="shared" si="3"/>
        <v>1.035</v>
      </c>
      <c r="D53" s="16">
        <f t="shared" si="4"/>
        <v>2906</v>
      </c>
      <c r="E53" s="1">
        <f>SUM($D$7:D53)</f>
        <v>62058</v>
      </c>
      <c r="F53" s="3">
        <f t="shared" si="0"/>
        <v>29060</v>
      </c>
      <c r="G53" s="1">
        <f>SUM($F$7:F53)</f>
        <v>620580</v>
      </c>
      <c r="H53" s="3">
        <f t="shared" si="1"/>
        <v>2325</v>
      </c>
      <c r="I53" s="3">
        <f t="shared" si="2"/>
        <v>1744</v>
      </c>
      <c r="M53" s="77"/>
    </row>
    <row r="54" spans="2:13">
      <c r="B54" s="3">
        <v>48</v>
      </c>
      <c r="C54" s="3">
        <f t="shared" si="3"/>
        <v>1.035</v>
      </c>
      <c r="D54" s="16">
        <f t="shared" si="4"/>
        <v>3008</v>
      </c>
      <c r="E54" s="1">
        <f>SUM($D$7:D54)</f>
        <v>65066</v>
      </c>
      <c r="F54" s="3">
        <f t="shared" si="0"/>
        <v>30080</v>
      </c>
      <c r="G54" s="1">
        <f>SUM($F$7:F54)</f>
        <v>650660</v>
      </c>
      <c r="H54" s="3">
        <f t="shared" si="1"/>
        <v>2406</v>
      </c>
      <c r="I54" s="3">
        <f t="shared" si="2"/>
        <v>1805</v>
      </c>
      <c r="M54" s="77"/>
    </row>
    <row r="55" spans="2:13">
      <c r="B55" s="3">
        <v>49</v>
      </c>
      <c r="C55" s="3">
        <f t="shared" si="3"/>
        <v>1.035</v>
      </c>
      <c r="D55" s="16">
        <f t="shared" si="4"/>
        <v>3113</v>
      </c>
      <c r="E55" s="1">
        <f>SUM($D$7:D55)</f>
        <v>68179</v>
      </c>
      <c r="F55" s="3">
        <f t="shared" si="0"/>
        <v>31130</v>
      </c>
      <c r="G55" s="1">
        <f>SUM($F$7:F55)</f>
        <v>681790</v>
      </c>
      <c r="H55" s="3">
        <f t="shared" si="1"/>
        <v>2490</v>
      </c>
      <c r="I55" s="3">
        <f t="shared" si="2"/>
        <v>1868</v>
      </c>
      <c r="M55" s="77"/>
    </row>
    <row r="56" spans="2:13">
      <c r="B56" s="3">
        <v>50</v>
      </c>
      <c r="C56" s="3">
        <f t="shared" si="3"/>
        <v>1.035</v>
      </c>
      <c r="D56" s="16">
        <f t="shared" si="4"/>
        <v>3222</v>
      </c>
      <c r="E56" s="1">
        <f>SUM($D$7:D56)</f>
        <v>71401</v>
      </c>
      <c r="F56" s="3">
        <f t="shared" si="0"/>
        <v>32220</v>
      </c>
      <c r="G56" s="1">
        <f>SUM($F$7:F56)</f>
        <v>714010</v>
      </c>
      <c r="H56" s="3">
        <f t="shared" si="1"/>
        <v>2578</v>
      </c>
      <c r="I56" s="3">
        <f t="shared" si="2"/>
        <v>1933</v>
      </c>
      <c r="M56" s="77"/>
    </row>
    <row r="57" spans="2:13">
      <c r="B57" s="3">
        <v>51</v>
      </c>
      <c r="C57" s="3">
        <f t="shared" si="3"/>
        <v>1.035</v>
      </c>
      <c r="D57" s="16">
        <f t="shared" si="4"/>
        <v>3335</v>
      </c>
      <c r="E57" s="1">
        <f>SUM($D$7:D57)</f>
        <v>74736</v>
      </c>
      <c r="F57" s="3">
        <f t="shared" si="0"/>
        <v>33350</v>
      </c>
      <c r="G57" s="1">
        <f>SUM($F$7:F57)</f>
        <v>747360</v>
      </c>
      <c r="H57" s="3">
        <f t="shared" si="1"/>
        <v>2668</v>
      </c>
      <c r="I57" s="3">
        <f t="shared" si="2"/>
        <v>2001</v>
      </c>
      <c r="M57" s="77"/>
    </row>
    <row r="58" spans="2:13">
      <c r="B58" s="3">
        <v>52</v>
      </c>
      <c r="C58" s="3">
        <f t="shared" si="3"/>
        <v>1.035</v>
      </c>
      <c r="D58" s="16">
        <f t="shared" si="4"/>
        <v>3452</v>
      </c>
      <c r="E58" s="1">
        <f>SUM($D$7:D58)</f>
        <v>78188</v>
      </c>
      <c r="F58" s="3">
        <f t="shared" si="0"/>
        <v>34520</v>
      </c>
      <c r="G58" s="1">
        <f>SUM($F$7:F58)</f>
        <v>781880</v>
      </c>
      <c r="H58" s="3">
        <f t="shared" si="1"/>
        <v>2762</v>
      </c>
      <c r="I58" s="3">
        <f t="shared" si="2"/>
        <v>2071</v>
      </c>
      <c r="M58" s="77"/>
    </row>
    <row r="59" spans="2:13">
      <c r="B59" s="3">
        <v>53</v>
      </c>
      <c r="C59" s="3">
        <f t="shared" si="3"/>
        <v>1.035</v>
      </c>
      <c r="D59" s="16">
        <f t="shared" si="4"/>
        <v>3573</v>
      </c>
      <c r="E59" s="1">
        <f>SUM($D$7:D59)</f>
        <v>81761</v>
      </c>
      <c r="F59" s="3">
        <f t="shared" si="0"/>
        <v>35730</v>
      </c>
      <c r="G59" s="1">
        <f>SUM($F$7:F59)</f>
        <v>817610</v>
      </c>
      <c r="H59" s="3">
        <f t="shared" si="1"/>
        <v>2858</v>
      </c>
      <c r="I59" s="3">
        <f t="shared" si="2"/>
        <v>2144</v>
      </c>
      <c r="M59" s="77"/>
    </row>
    <row r="60" spans="2:13">
      <c r="B60" s="3">
        <v>54</v>
      </c>
      <c r="C60" s="3">
        <f t="shared" si="3"/>
        <v>1.035</v>
      </c>
      <c r="D60" s="16">
        <f t="shared" si="4"/>
        <v>3698</v>
      </c>
      <c r="E60" s="1">
        <f>SUM($D$7:D60)</f>
        <v>85459</v>
      </c>
      <c r="F60" s="3">
        <f t="shared" si="0"/>
        <v>36980</v>
      </c>
      <c r="G60" s="1">
        <f>SUM($F$7:F60)</f>
        <v>854590</v>
      </c>
      <c r="H60" s="3">
        <f t="shared" si="1"/>
        <v>2958</v>
      </c>
      <c r="I60" s="3">
        <f t="shared" si="2"/>
        <v>2219</v>
      </c>
      <c r="M60" s="77"/>
    </row>
    <row r="61" spans="2:13">
      <c r="B61" s="3">
        <v>55</v>
      </c>
      <c r="C61" s="3">
        <f t="shared" si="3"/>
        <v>1.035</v>
      </c>
      <c r="D61" s="16">
        <f t="shared" si="4"/>
        <v>3827</v>
      </c>
      <c r="E61" s="1">
        <f>SUM($D$7:D61)</f>
        <v>89286</v>
      </c>
      <c r="F61" s="3">
        <f t="shared" si="0"/>
        <v>38270</v>
      </c>
      <c r="G61" s="1">
        <f>SUM($F$7:F61)</f>
        <v>892860</v>
      </c>
      <c r="H61" s="3">
        <f t="shared" si="1"/>
        <v>3062</v>
      </c>
      <c r="I61" s="3">
        <f t="shared" si="2"/>
        <v>2296</v>
      </c>
    </row>
    <row r="62" spans="2:13">
      <c r="B62" s="3">
        <v>56</v>
      </c>
      <c r="C62" s="3">
        <f t="shared" si="3"/>
        <v>1.035</v>
      </c>
      <c r="D62" s="16">
        <f t="shared" si="4"/>
        <v>3961</v>
      </c>
      <c r="E62" s="1">
        <f>SUM($D$7:D62)</f>
        <v>93247</v>
      </c>
      <c r="F62" s="3">
        <f t="shared" si="0"/>
        <v>39610</v>
      </c>
      <c r="G62" s="1">
        <f>SUM($F$7:F62)</f>
        <v>932470</v>
      </c>
      <c r="H62" s="3">
        <f t="shared" si="1"/>
        <v>3169</v>
      </c>
      <c r="I62" s="3">
        <f t="shared" si="2"/>
        <v>2377</v>
      </c>
    </row>
    <row r="63" spans="2:13">
      <c r="B63" s="3">
        <v>57</v>
      </c>
      <c r="C63" s="3">
        <f t="shared" si="3"/>
        <v>1.035</v>
      </c>
      <c r="D63" s="16">
        <f t="shared" si="4"/>
        <v>4100</v>
      </c>
      <c r="E63" s="1">
        <f>SUM($D$7:D63)</f>
        <v>97347</v>
      </c>
      <c r="F63" s="3">
        <f t="shared" si="0"/>
        <v>41000</v>
      </c>
      <c r="G63" s="1">
        <f>SUM($F$7:F63)</f>
        <v>973470</v>
      </c>
      <c r="H63" s="3">
        <f t="shared" si="1"/>
        <v>3280</v>
      </c>
      <c r="I63" s="3">
        <f t="shared" si="2"/>
        <v>2460</v>
      </c>
    </row>
    <row r="64" spans="2:13">
      <c r="B64" s="3">
        <v>58</v>
      </c>
      <c r="C64" s="3">
        <f t="shared" si="3"/>
        <v>1.035</v>
      </c>
      <c r="D64" s="16">
        <f t="shared" si="4"/>
        <v>4244</v>
      </c>
      <c r="E64" s="1">
        <f>SUM($D$7:D64)</f>
        <v>101591</v>
      </c>
      <c r="F64" s="3">
        <f t="shared" si="0"/>
        <v>42440</v>
      </c>
      <c r="G64" s="1">
        <f>SUM($F$7:F64)</f>
        <v>1015910</v>
      </c>
      <c r="H64" s="3">
        <f t="shared" si="1"/>
        <v>3395</v>
      </c>
      <c r="I64" s="3">
        <f t="shared" si="2"/>
        <v>2546</v>
      </c>
    </row>
    <row r="65" spans="2:9">
      <c r="B65" s="3">
        <v>59</v>
      </c>
      <c r="C65" s="3">
        <f t="shared" si="3"/>
        <v>1.035</v>
      </c>
      <c r="D65" s="16">
        <f t="shared" si="4"/>
        <v>4393</v>
      </c>
      <c r="E65" s="1">
        <f>SUM($D$7:D65)</f>
        <v>105984</v>
      </c>
      <c r="F65" s="3">
        <f t="shared" si="0"/>
        <v>43930</v>
      </c>
      <c r="G65" s="1">
        <f>SUM($F$7:F65)</f>
        <v>1059840</v>
      </c>
      <c r="H65" s="3">
        <f t="shared" si="1"/>
        <v>3514</v>
      </c>
      <c r="I65" s="3">
        <f t="shared" si="2"/>
        <v>2636</v>
      </c>
    </row>
    <row r="66" spans="2:9">
      <c r="B66" s="3">
        <v>60</v>
      </c>
      <c r="C66" s="3">
        <f t="shared" si="3"/>
        <v>1.035</v>
      </c>
      <c r="D66" s="16">
        <f t="shared" si="4"/>
        <v>4547</v>
      </c>
      <c r="E66" s="1">
        <f>SUM($D$7:D66)</f>
        <v>110531</v>
      </c>
      <c r="F66" s="3">
        <f t="shared" si="0"/>
        <v>45470</v>
      </c>
      <c r="G66" s="1">
        <f>SUM($F$7:F66)</f>
        <v>1105310</v>
      </c>
      <c r="H66" s="3">
        <f t="shared" si="1"/>
        <v>3638</v>
      </c>
      <c r="I66" s="3">
        <f t="shared" si="2"/>
        <v>2728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B2:F11"/>
  <sheetViews>
    <sheetView workbookViewId="0">
      <selection activeCell="E25" sqref="E25"/>
    </sheetView>
  </sheetViews>
  <sheetFormatPr defaultColWidth="9" defaultRowHeight="16.5" outlineLevelCol="5"/>
  <cols>
    <col min="1" max="1" width="9" style="16" customWidth="1"/>
    <col min="2" max="2" width="14.25" style="16" customWidth="1"/>
    <col min="3" max="3" width="67.25" style="16" customWidth="1"/>
    <col min="4" max="4" width="20.125" style="16" customWidth="1"/>
    <col min="5" max="5" width="62.875" style="16" customWidth="1"/>
    <col min="6" max="6" width="52.5" style="16" customWidth="1"/>
    <col min="7" max="16384" width="9" style="16" customWidth="1"/>
  </cols>
  <sheetData>
    <row r="2" spans="2:6">
      <c r="B2" s="19" t="s">
        <v>4</v>
      </c>
      <c r="C2" s="19" t="s">
        <v>2040</v>
      </c>
      <c r="D2" s="19" t="s">
        <v>2041</v>
      </c>
      <c r="E2" s="19" t="s">
        <v>2042</v>
      </c>
      <c r="F2" s="19" t="s">
        <v>2043</v>
      </c>
    </row>
    <row r="3" spans="2:6">
      <c r="B3" s="16" t="s">
        <v>2044</v>
      </c>
      <c r="C3" s="16" t="s">
        <v>2045</v>
      </c>
      <c r="D3" s="16" t="s">
        <v>2046</v>
      </c>
      <c r="E3" s="16" t="s">
        <v>2047</v>
      </c>
      <c r="F3" s="16" t="s">
        <v>2048</v>
      </c>
    </row>
    <row r="4" spans="2:6">
      <c r="B4" s="16" t="s">
        <v>2049</v>
      </c>
      <c r="C4" s="16" t="s">
        <v>2050</v>
      </c>
      <c r="D4" s="16" t="s">
        <v>2051</v>
      </c>
      <c r="E4" s="16" t="s">
        <v>2052</v>
      </c>
      <c r="F4" s="16" t="s">
        <v>2053</v>
      </c>
    </row>
    <row r="5" spans="2:6">
      <c r="B5" s="16" t="s">
        <v>19</v>
      </c>
      <c r="C5" s="16" t="s">
        <v>2054</v>
      </c>
      <c r="D5" s="16" t="s">
        <v>2055</v>
      </c>
      <c r="E5" s="16" t="s">
        <v>2056</v>
      </c>
      <c r="F5" s="16" t="s">
        <v>2057</v>
      </c>
    </row>
    <row r="6" spans="2:6">
      <c r="B6" s="16" t="s">
        <v>2058</v>
      </c>
      <c r="C6" s="16" t="s">
        <v>2059</v>
      </c>
      <c r="D6" s="16" t="s">
        <v>2060</v>
      </c>
      <c r="F6" s="16" t="s">
        <v>2061</v>
      </c>
    </row>
    <row r="7" spans="2:6">
      <c r="B7" s="16" t="s">
        <v>2062</v>
      </c>
      <c r="C7" s="16" t="s">
        <v>2063</v>
      </c>
      <c r="D7" s="16" t="s">
        <v>2064</v>
      </c>
      <c r="E7" s="16" t="s">
        <v>2065</v>
      </c>
      <c r="F7" s="16" t="s">
        <v>2066</v>
      </c>
    </row>
    <row r="8" spans="2:6">
      <c r="B8" s="16" t="s">
        <v>2067</v>
      </c>
      <c r="C8" s="16" t="s">
        <v>2068</v>
      </c>
      <c r="D8" s="16" t="s">
        <v>2069</v>
      </c>
      <c r="E8" s="16" t="s">
        <v>2070</v>
      </c>
      <c r="F8" s="16" t="s">
        <v>2070</v>
      </c>
    </row>
    <row r="9" spans="2:6">
      <c r="B9" s="16" t="s">
        <v>18</v>
      </c>
      <c r="C9" s="16" t="s">
        <v>2071</v>
      </c>
      <c r="D9" s="16" t="s">
        <v>2072</v>
      </c>
      <c r="E9" s="16" t="s">
        <v>2073</v>
      </c>
      <c r="F9" s="16" t="s">
        <v>2074</v>
      </c>
    </row>
    <row r="10" spans="2:6">
      <c r="B10" s="16" t="s">
        <v>575</v>
      </c>
      <c r="C10" s="16" t="s">
        <v>2075</v>
      </c>
      <c r="D10" s="16" t="s">
        <v>2076</v>
      </c>
      <c r="E10" s="16" t="s">
        <v>2077</v>
      </c>
    </row>
    <row r="11" spans="2:6">
      <c r="B11" s="16" t="s">
        <v>17</v>
      </c>
      <c r="C11" s="16" t="s">
        <v>2078</v>
      </c>
      <c r="D11" s="16" t="s">
        <v>2079</v>
      </c>
      <c r="E11" s="16" t="s">
        <v>2080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B33"/>
  <sheetViews>
    <sheetView zoomScale="115" zoomScaleNormal="115" workbookViewId="0">
      <selection activeCell="H6" sqref="H6"/>
    </sheetView>
  </sheetViews>
  <sheetFormatPr defaultColWidth="9" defaultRowHeight="16.5"/>
  <cols>
    <col min="1" max="2" width="9" style="3" customWidth="1"/>
    <col min="3" max="3" width="15.875" style="3" customWidth="1"/>
    <col min="4" max="6" width="9" style="3" customWidth="1"/>
    <col min="7" max="10" width="12.875" style="3" customWidth="1"/>
    <col min="11" max="11" width="11.625" style="3" customWidth="1"/>
    <col min="12" max="13" width="10" style="3" customWidth="1"/>
    <col min="14" max="14" width="7.25" style="3" customWidth="1"/>
    <col min="15" max="16" width="10" style="3" customWidth="1"/>
    <col min="17" max="17" width="9" style="3" customWidth="1"/>
    <col min="18" max="18" width="15.5" style="14" customWidth="1"/>
    <col min="19" max="19" width="18" style="14" customWidth="1"/>
    <col min="20" max="20" width="23.375" style="14" customWidth="1"/>
    <col min="21" max="21" width="10" style="14" customWidth="1"/>
    <col min="22" max="22" width="12" style="14" customWidth="1"/>
    <col min="23" max="23" width="18" style="14" customWidth="1"/>
    <col min="24" max="24" width="12" style="14" customWidth="1"/>
    <col min="25" max="25" width="10" style="14" customWidth="1"/>
    <col min="26" max="26" width="12" style="14" customWidth="1"/>
    <col min="27" max="27" width="14" style="14" customWidth="1"/>
    <col min="28" max="28" width="42" style="14" customWidth="1"/>
    <col min="29" max="16384" width="9" style="3" customWidth="1"/>
  </cols>
  <sheetData>
    <row r="1" ht="24" customHeight="1" spans="2:28">
      <c r="R1" s="173" t="s">
        <v>2081</v>
      </c>
    </row>
    <row r="2" ht="24" customHeight="1" spans="2:28">
      <c r="B2" s="19" t="s">
        <v>1188</v>
      </c>
      <c r="C2" s="19" t="s">
        <v>1441</v>
      </c>
      <c r="D2" s="19" t="s">
        <v>1442</v>
      </c>
      <c r="E2" s="19" t="s">
        <v>1443</v>
      </c>
      <c r="G2" s="3" t="s">
        <v>1135</v>
      </c>
      <c r="J2" s="19" t="s">
        <v>2082</v>
      </c>
      <c r="K2" s="19" t="s">
        <v>1441</v>
      </c>
      <c r="L2" s="19" t="s">
        <v>1442</v>
      </c>
      <c r="M2" s="19" t="s">
        <v>1443</v>
      </c>
      <c r="R2" s="96" t="s">
        <v>1188</v>
      </c>
      <c r="S2" s="96" t="s">
        <v>1740</v>
      </c>
      <c r="T2" s="96" t="s">
        <v>2083</v>
      </c>
      <c r="U2" s="96" t="s">
        <v>1123</v>
      </c>
      <c r="V2" s="96" t="s">
        <v>1697</v>
      </c>
      <c r="W2" s="96" t="s">
        <v>1444</v>
      </c>
      <c r="X2" s="96" t="s">
        <v>2084</v>
      </c>
      <c r="Y2" s="96" t="s">
        <v>1125</v>
      </c>
      <c r="Z2" s="96" t="s">
        <v>1699</v>
      </c>
      <c r="AA2" s="96" t="s">
        <v>2085</v>
      </c>
      <c r="AB2" s="96" t="s">
        <v>2086</v>
      </c>
    </row>
    <row r="3" ht="24" customHeight="1" spans="2:28">
      <c r="B3" s="16">
        <v>1</v>
      </c>
      <c r="C3" s="3" t="s">
        <v>731</v>
      </c>
      <c r="D3" s="3">
        <v>3</v>
      </c>
      <c r="E3" s="16">
        <f>VLOOKUP(C3,道具定价!$C:$F,4,0)*D3</f>
        <v>180</v>
      </c>
      <c r="F3" s="3">
        <f>VLOOKUP(C3,'配置页-主线副本'!$B:$C,2,0)</f>
        <v>25</v>
      </c>
      <c r="G3" s="3" t="str">
        <f t="shared" ref="G3:G33" si="0">_xlfn.CONCAT(F3,$G$2,D3)</f>
        <v>25,3</v>
      </c>
      <c r="J3" s="16">
        <v>7</v>
      </c>
      <c r="K3" s="16" t="s">
        <v>5</v>
      </c>
      <c r="L3" s="16">
        <v>50</v>
      </c>
      <c r="M3" s="16">
        <f>VLOOKUP(K3,道具定价!$C:$F,4,0)*L3</f>
        <v>50</v>
      </c>
      <c r="R3" s="174">
        <v>1</v>
      </c>
      <c r="S3" s="175" t="s">
        <v>6</v>
      </c>
      <c r="T3" s="176">
        <f>IFERROR(VLOOKUP(S3,道具定价!$C:$F,2,FALSE),"")</f>
        <v>106</v>
      </c>
      <c r="U3" s="175">
        <v>10</v>
      </c>
      <c r="V3" s="176">
        <f>IF(S3="","",U3*IFERROR(VLOOKUP(S3,道具定价!$C:$F,4,FALSE),0))</f>
        <v>1500</v>
      </c>
      <c r="W3" s="175"/>
      <c r="X3" s="176"/>
      <c r="Y3" s="175"/>
      <c r="Z3" s="176"/>
      <c r="AA3" s="176">
        <f t="shared" ref="AA3:AA9" si="1">SUM(V3,Z3)</f>
        <v>1500</v>
      </c>
      <c r="AB3" s="174"/>
    </row>
    <row r="4" ht="24" customHeight="1" spans="2:28">
      <c r="B4" s="16">
        <v>2</v>
      </c>
      <c r="C4" s="3" t="s">
        <v>1622</v>
      </c>
      <c r="D4" s="3">
        <v>1</v>
      </c>
      <c r="E4" s="16" t="e">
        <f>VLOOKUP(C4,道具定价!$C:$F,4,0)*D4</f>
        <v>#N/A</v>
      </c>
      <c r="F4" s="3">
        <f>VLOOKUP(C4,'配置页-主线副本'!$B:$C,2,0)</f>
        <v>2503</v>
      </c>
      <c r="G4" s="3" t="str">
        <f t="shared" si="0"/>
        <v>2503,1</v>
      </c>
      <c r="J4" s="16">
        <v>15</v>
      </c>
      <c r="K4" s="16" t="s">
        <v>5</v>
      </c>
      <c r="L4" s="16">
        <v>100</v>
      </c>
      <c r="M4" s="16">
        <f>VLOOKUP(K4,道具定价!$C:$F,4,0)*L4</f>
        <v>100</v>
      </c>
      <c r="R4" s="174">
        <v>2</v>
      </c>
      <c r="S4" s="175" t="s">
        <v>7</v>
      </c>
      <c r="T4" s="176">
        <f>IFERROR(VLOOKUP(S4,道具定价!$C:$F,2,FALSE),"")</f>
        <v>107</v>
      </c>
      <c r="U4" s="175">
        <v>10</v>
      </c>
      <c r="V4" s="176">
        <f>IF(S4="","",U4*IFERROR(VLOOKUP(S4,道具定价!$C:$F,4,FALSE),0))</f>
        <v>1500</v>
      </c>
      <c r="W4" s="175"/>
      <c r="X4" s="176"/>
      <c r="Y4" s="175"/>
      <c r="Z4" s="176"/>
      <c r="AA4" s="176">
        <f t="shared" si="1"/>
        <v>1500</v>
      </c>
      <c r="AB4" s="174"/>
    </row>
    <row r="5" ht="24" customHeight="1" spans="2:28">
      <c r="B5" s="16">
        <v>3</v>
      </c>
      <c r="C5" s="3" t="s">
        <v>731</v>
      </c>
      <c r="D5" s="3">
        <v>3</v>
      </c>
      <c r="E5" s="16">
        <f>VLOOKUP(C5,道具定价!$C:$F,4,0)*D5</f>
        <v>180</v>
      </c>
      <c r="F5" s="3">
        <f>VLOOKUP(C5,'配置页-主线副本'!$B:$C,2,0)</f>
        <v>25</v>
      </c>
      <c r="G5" s="3" t="str">
        <f t="shared" si="0"/>
        <v>25,3</v>
      </c>
      <c r="J5" s="16">
        <v>25</v>
      </c>
      <c r="K5" s="16" t="s">
        <v>2087</v>
      </c>
      <c r="L5" s="16">
        <v>1</v>
      </c>
      <c r="M5" s="16" t="e">
        <f>VLOOKUP(K5,道具定价!$C:$F,4,0)*L5</f>
        <v>#N/A</v>
      </c>
      <c r="R5" s="174">
        <v>3</v>
      </c>
      <c r="S5" s="175" t="s">
        <v>2088</v>
      </c>
      <c r="T5" s="176" t="str">
        <f>IFERROR(VLOOKUP(S5,道具定价!$C:$F,2,FALSE),"")</f>
        <v/>
      </c>
      <c r="U5" s="175">
        <v>1</v>
      </c>
      <c r="V5" s="176">
        <f>IF(S5="","",U5*IFERROR(VLOOKUP(S5,道具定价!$C:$F,4,FALSE),0))</f>
        <v>0</v>
      </c>
      <c r="W5" s="175"/>
      <c r="X5" s="176"/>
      <c r="Y5" s="175"/>
      <c r="Z5" s="176"/>
      <c r="AA5" s="176">
        <f t="shared" si="1"/>
        <v>0</v>
      </c>
      <c r="AB5" s="174"/>
    </row>
    <row r="6" ht="24" customHeight="1" spans="2:28">
      <c r="B6" s="16">
        <v>4</v>
      </c>
      <c r="C6" s="3" t="s">
        <v>1622</v>
      </c>
      <c r="D6" s="3">
        <v>1</v>
      </c>
      <c r="E6" s="16" t="e">
        <f>VLOOKUP(C6,道具定价!$C:$F,4,0)*D6</f>
        <v>#N/A</v>
      </c>
      <c r="F6" s="3">
        <f>VLOOKUP(C6,'配置页-主线副本'!$B:$C,2,0)</f>
        <v>2503</v>
      </c>
      <c r="G6" s="3" t="str">
        <f t="shared" si="0"/>
        <v>2503,1</v>
      </c>
      <c r="R6" s="174">
        <v>4</v>
      </c>
      <c r="S6" s="175" t="s">
        <v>8</v>
      </c>
      <c r="T6" s="176">
        <f>IFERROR(VLOOKUP(S6,道具定价!$C:$F,2,FALSE),"")</f>
        <v>111</v>
      </c>
      <c r="U6" s="175">
        <v>10</v>
      </c>
      <c r="V6" s="176">
        <f>IF(S6="","",U6*IFERROR(VLOOKUP(S6,道具定价!$C:$F,4,FALSE),0))</f>
        <v>1500</v>
      </c>
      <c r="W6" s="175"/>
      <c r="X6" s="176"/>
      <c r="Y6" s="175"/>
      <c r="Z6" s="176"/>
      <c r="AA6" s="176">
        <f t="shared" si="1"/>
        <v>1500</v>
      </c>
      <c r="AB6" s="174"/>
    </row>
    <row r="7" ht="24" customHeight="1" spans="2:28">
      <c r="B7" s="16">
        <v>5</v>
      </c>
      <c r="C7" s="3" t="s">
        <v>731</v>
      </c>
      <c r="D7" s="3">
        <v>3</v>
      </c>
      <c r="E7" s="16">
        <f>VLOOKUP(C7,道具定价!$C:$F,4,0)*D7</f>
        <v>180</v>
      </c>
      <c r="F7" s="3">
        <f>VLOOKUP(C7,'配置页-主线副本'!$B:$C,2,0)</f>
        <v>25</v>
      </c>
      <c r="G7" s="3" t="str">
        <f t="shared" si="0"/>
        <v>25,3</v>
      </c>
      <c r="R7" s="174">
        <v>5</v>
      </c>
      <c r="S7" s="175" t="s">
        <v>5</v>
      </c>
      <c r="T7" s="176">
        <f>IFERROR(VLOOKUP(S7,道具定价!$C:$F,2,FALSE),"")</f>
        <v>2</v>
      </c>
      <c r="U7" s="175">
        <v>1500</v>
      </c>
      <c r="V7" s="176">
        <f>IF(S7="","",U7*IFERROR(VLOOKUP(S7,道具定价!$C:$F,4,FALSE),0))</f>
        <v>1500</v>
      </c>
      <c r="W7" s="175"/>
      <c r="X7" s="176"/>
      <c r="Y7" s="175"/>
      <c r="Z7" s="176"/>
      <c r="AA7" s="176">
        <f t="shared" si="1"/>
        <v>1500</v>
      </c>
      <c r="AB7" s="174"/>
    </row>
    <row r="8" ht="24" customHeight="1" spans="2:28">
      <c r="B8" s="16">
        <v>6</v>
      </c>
      <c r="C8" s="3" t="s">
        <v>731</v>
      </c>
      <c r="D8" s="3">
        <v>3</v>
      </c>
      <c r="E8" s="16">
        <f>VLOOKUP(C8,道具定价!$C:$F,4,0)*D8</f>
        <v>180</v>
      </c>
      <c r="F8" s="3">
        <f>VLOOKUP(C8,'配置页-主线副本'!$B:$C,2,0)</f>
        <v>25</v>
      </c>
      <c r="G8" s="3" t="str">
        <f t="shared" si="0"/>
        <v>25,3</v>
      </c>
      <c r="J8" s="19" t="s">
        <v>2089</v>
      </c>
      <c r="K8" s="19" t="s">
        <v>1740</v>
      </c>
      <c r="L8" s="19" t="s">
        <v>1783</v>
      </c>
      <c r="M8" s="19" t="s">
        <v>2090</v>
      </c>
      <c r="N8" s="19" t="s">
        <v>1444</v>
      </c>
      <c r="O8" s="19" t="s">
        <v>1445</v>
      </c>
      <c r="P8" s="19" t="s">
        <v>1446</v>
      </c>
      <c r="R8" s="174">
        <v>6</v>
      </c>
      <c r="S8" s="175" t="s">
        <v>9</v>
      </c>
      <c r="T8" s="176">
        <f>IFERROR(VLOOKUP(S8,道具定价!$C:$F,2,FALSE),"")</f>
        <v>112</v>
      </c>
      <c r="U8" s="175">
        <v>10</v>
      </c>
      <c r="V8" s="176">
        <f>IF(S8="","",U8*IFERROR(VLOOKUP(S8,道具定价!$C:$F,4,FALSE),0))</f>
        <v>1500</v>
      </c>
      <c r="W8" s="175"/>
      <c r="X8" s="176"/>
      <c r="Y8" s="175"/>
      <c r="Z8" s="176"/>
      <c r="AA8" s="176">
        <f t="shared" si="1"/>
        <v>1500</v>
      </c>
      <c r="AB8" s="174"/>
    </row>
    <row r="9" ht="24" customHeight="1" spans="2:28">
      <c r="B9" s="18">
        <v>7</v>
      </c>
      <c r="C9" s="3" t="s">
        <v>2091</v>
      </c>
      <c r="D9" s="3">
        <v>1</v>
      </c>
      <c r="E9" s="16" t="e">
        <f>VLOOKUP(C9,道具定价!$C:$F,4,0)*D9</f>
        <v>#N/A</v>
      </c>
      <c r="F9" s="3">
        <f>VLOOKUP(C9,'配置页-主线副本'!$B:$C,2,0)</f>
        <v>2504</v>
      </c>
      <c r="G9" s="3" t="str">
        <f t="shared" si="0"/>
        <v>2504,1</v>
      </c>
      <c r="H9" s="16"/>
      <c r="I9" s="16"/>
      <c r="J9" s="16">
        <v>1</v>
      </c>
      <c r="K9" s="16" t="s">
        <v>5</v>
      </c>
      <c r="L9" s="3">
        <v>100</v>
      </c>
      <c r="M9" s="16">
        <f>VLOOKUP(K9,道具定价!$C:$F,4,0)*L9</f>
        <v>100</v>
      </c>
      <c r="N9" s="16" t="s">
        <v>606</v>
      </c>
      <c r="O9" s="16">
        <v>1</v>
      </c>
      <c r="P9" s="16">
        <f>VLOOKUP(N9,道具定价!$C:$F,4,0)*O9</f>
        <v>240</v>
      </c>
      <c r="R9" s="174">
        <v>7</v>
      </c>
      <c r="S9" s="175" t="s">
        <v>5</v>
      </c>
      <c r="T9" s="176">
        <f>IFERROR(VLOOKUP(S9,道具定价!$C:$F,2,FALSE),"")</f>
        <v>2</v>
      </c>
      <c r="U9" s="175">
        <v>1500</v>
      </c>
      <c r="V9" s="176">
        <f>IF(S9="","",U9*IFERROR(VLOOKUP(S9,道具定价!$C:$F,4,FALSE),0))</f>
        <v>1500</v>
      </c>
      <c r="W9" s="175"/>
      <c r="X9" s="176"/>
      <c r="Y9" s="175"/>
      <c r="Z9" s="176"/>
      <c r="AA9" s="176">
        <f t="shared" si="1"/>
        <v>1500</v>
      </c>
      <c r="AB9" s="174"/>
    </row>
    <row r="10" ht="24" customHeight="1" spans="2:28">
      <c r="B10" s="16">
        <v>8</v>
      </c>
      <c r="C10" s="3" t="s">
        <v>731</v>
      </c>
      <c r="D10" s="3">
        <v>3</v>
      </c>
      <c r="E10" s="16">
        <f>VLOOKUP(C10,道具定价!$C:$F,4,0)*D10</f>
        <v>180</v>
      </c>
      <c r="F10" s="3">
        <f>VLOOKUP(C10,'配置页-主线副本'!$B:$C,2,0)</f>
        <v>25</v>
      </c>
      <c r="G10" s="3" t="str">
        <f t="shared" si="0"/>
        <v>25,3</v>
      </c>
      <c r="H10" s="16"/>
      <c r="I10" s="16"/>
      <c r="J10" s="16">
        <v>3</v>
      </c>
      <c r="K10" s="16" t="s">
        <v>2087</v>
      </c>
      <c r="L10" s="3">
        <v>2</v>
      </c>
      <c r="M10" s="16" t="e">
        <f>VLOOKUP(K10,道具定价!$C:$F,4,0)*L10</f>
        <v>#N/A</v>
      </c>
      <c r="N10" s="16" t="s">
        <v>606</v>
      </c>
      <c r="O10" s="16">
        <v>1</v>
      </c>
      <c r="P10" s="16">
        <f>VLOOKUP(N10,道具定价!$C:$F,4,0)*O10</f>
        <v>240</v>
      </c>
      <c r="R10" s="177" t="s">
        <v>269</v>
      </c>
      <c r="S10" s="177"/>
      <c r="T10" s="177"/>
      <c r="U10" s="177"/>
      <c r="V10" s="177">
        <f>SUM(V3:V9)</f>
        <v>9000</v>
      </c>
      <c r="W10" s="177"/>
      <c r="X10" s="177"/>
      <c r="Y10" s="177"/>
      <c r="Z10" s="177">
        <f>SUM(Z3:Z9)</f>
        <v>0</v>
      </c>
      <c r="AA10" s="177">
        <f>SUM(AA3:AA9)</f>
        <v>9000</v>
      </c>
      <c r="AB10" s="177"/>
    </row>
    <row r="11" ht="24" customHeight="1" spans="2:28">
      <c r="B11" s="16">
        <v>9</v>
      </c>
      <c r="C11" s="3" t="s">
        <v>1622</v>
      </c>
      <c r="D11" s="3">
        <v>1</v>
      </c>
      <c r="E11" s="16" t="e">
        <f>VLOOKUP(C11,道具定价!$C:$F,4,0)*D11</f>
        <v>#N/A</v>
      </c>
      <c r="F11" s="3">
        <f>VLOOKUP(C11,'配置页-主线副本'!$B:$C,2,0)</f>
        <v>2503</v>
      </c>
      <c r="G11" s="3" t="str">
        <f t="shared" si="0"/>
        <v>2503,1</v>
      </c>
      <c r="H11" s="16"/>
      <c r="I11" s="16"/>
      <c r="J11" s="16">
        <v>7</v>
      </c>
      <c r="K11" s="16" t="s">
        <v>2092</v>
      </c>
      <c r="L11" s="3">
        <v>1</v>
      </c>
      <c r="M11" s="16" t="e">
        <f>VLOOKUP(K11,道具定价!$C:$F,4,0)*L11</f>
        <v>#N/A</v>
      </c>
      <c r="N11" s="16" t="s">
        <v>606</v>
      </c>
      <c r="O11" s="16">
        <v>2</v>
      </c>
      <c r="P11" s="16">
        <f>VLOOKUP(N11,道具定价!$C:$F,4,0)*O11</f>
        <v>480</v>
      </c>
    </row>
    <row r="12" ht="24" customHeight="1" spans="2:28">
      <c r="B12" s="16">
        <v>10</v>
      </c>
      <c r="C12" s="3" t="s">
        <v>731</v>
      </c>
      <c r="D12" s="3">
        <v>3</v>
      </c>
      <c r="E12" s="16">
        <f>VLOOKUP(C12,道具定价!$C:$F,4,0)*D12</f>
        <v>180</v>
      </c>
      <c r="F12" s="3">
        <f>VLOOKUP(C12,'配置页-主线副本'!$B:$C,2,0)</f>
        <v>25</v>
      </c>
      <c r="G12" s="3" t="str">
        <f t="shared" si="0"/>
        <v>25,3</v>
      </c>
      <c r="H12" s="16"/>
      <c r="I12" s="16"/>
      <c r="J12" s="16">
        <v>15</v>
      </c>
      <c r="K12" s="16" t="s">
        <v>665</v>
      </c>
      <c r="L12" s="3">
        <v>1</v>
      </c>
      <c r="M12" s="16">
        <f>VLOOKUP(K12,道具定价!$C:$F,4,0)*L12</f>
        <v>500</v>
      </c>
      <c r="N12" s="16" t="s">
        <v>606</v>
      </c>
      <c r="O12" s="16">
        <v>2</v>
      </c>
      <c r="P12" s="16">
        <f>VLOOKUP(N12,道具定价!$C:$F,4,0)*O12</f>
        <v>480</v>
      </c>
      <c r="R12" s="178" t="s">
        <v>2093</v>
      </c>
    </row>
    <row r="13" spans="2:28">
      <c r="B13" s="16">
        <v>11</v>
      </c>
      <c r="C13" s="3" t="s">
        <v>731</v>
      </c>
      <c r="D13" s="3">
        <v>3</v>
      </c>
      <c r="E13" s="16">
        <f>VLOOKUP(C13,道具定价!$C:$F,4,0)*D13</f>
        <v>180</v>
      </c>
      <c r="F13" s="3">
        <f>VLOOKUP(C13,'配置页-主线副本'!$B:$C,2,0)</f>
        <v>25</v>
      </c>
      <c r="G13" s="3" t="str">
        <f t="shared" si="0"/>
        <v>25,3</v>
      </c>
      <c r="H13" s="16"/>
      <c r="I13" s="16"/>
      <c r="J13" s="16">
        <v>30</v>
      </c>
      <c r="K13" s="16" t="s">
        <v>2087</v>
      </c>
      <c r="L13" s="3">
        <v>2</v>
      </c>
      <c r="M13" s="16" t="e">
        <f>VLOOKUP(K13,道具定价!$C:$F,4,0)*L13</f>
        <v>#N/A</v>
      </c>
      <c r="N13" s="16" t="s">
        <v>606</v>
      </c>
      <c r="O13" s="16">
        <v>2</v>
      </c>
      <c r="P13" s="16">
        <f>VLOOKUP(N13,道具定价!$C:$F,4,0)*O13</f>
        <v>480</v>
      </c>
      <c r="R13" s="174" t="s">
        <v>5</v>
      </c>
      <c r="S13" s="176">
        <f>SUMIFS(U3:U9,S3:S9,"钻石")+SUMIFS(Y3:Y9,W3:W9,"钻石")</f>
        <v>3000</v>
      </c>
      <c r="T13" s="174" t="s">
        <v>2094</v>
      </c>
    </row>
    <row r="14" spans="2:28">
      <c r="B14" s="16">
        <v>12</v>
      </c>
      <c r="C14" s="3" t="s">
        <v>731</v>
      </c>
      <c r="D14" s="3">
        <v>3</v>
      </c>
      <c r="E14" s="16">
        <f>VLOOKUP(C14,道具定价!$C:$F,4,0)*D14</f>
        <v>180</v>
      </c>
      <c r="F14" s="3">
        <f>VLOOKUP(C14,'配置页-主线副本'!$B:$C,2,0)</f>
        <v>25</v>
      </c>
      <c r="G14" s="3" t="str">
        <f t="shared" si="0"/>
        <v>25,3</v>
      </c>
      <c r="H14" s="16"/>
      <c r="I14" s="16"/>
      <c r="J14" s="16">
        <v>60</v>
      </c>
      <c r="K14" s="16" t="s">
        <v>2095</v>
      </c>
      <c r="L14" s="3">
        <v>1</v>
      </c>
      <c r="M14" s="16" t="e">
        <f>VLOOKUP(K14,道具定价!$C:$F,4,0)*L14</f>
        <v>#N/A</v>
      </c>
      <c r="N14" s="16" t="s">
        <v>606</v>
      </c>
      <c r="O14" s="16">
        <v>3</v>
      </c>
      <c r="P14" s="16">
        <f>VLOOKUP(N14,道具定价!$C:$F,4,0)*O14</f>
        <v>720</v>
      </c>
      <c r="R14" s="174" t="s">
        <v>6</v>
      </c>
      <c r="S14" s="176">
        <f>SUMIFS(U3:U9,S3:S9,"角色抽卡券普通")+SUMIFS(Y3:Y9,W3:W9,"角色抽卡券普通")</f>
        <v>10</v>
      </c>
      <c r="T14" s="174" t="s">
        <v>2096</v>
      </c>
    </row>
    <row r="15" spans="2:28">
      <c r="B15" s="16">
        <v>13</v>
      </c>
      <c r="C15" s="3" t="s">
        <v>731</v>
      </c>
      <c r="D15" s="3">
        <v>3</v>
      </c>
      <c r="E15" s="16">
        <f>VLOOKUP(C15,道具定价!$C:$F,4,0)*D15</f>
        <v>180</v>
      </c>
      <c r="F15" s="3">
        <f>VLOOKUP(C15,'配置页-主线副本'!$B:$C,2,0)</f>
        <v>25</v>
      </c>
      <c r="G15" s="3" t="str">
        <f t="shared" si="0"/>
        <v>25,3</v>
      </c>
      <c r="H15" s="16"/>
      <c r="I15" s="16"/>
      <c r="J15" s="16">
        <v>90</v>
      </c>
      <c r="K15" s="16" t="s">
        <v>665</v>
      </c>
      <c r="L15" s="3">
        <v>1</v>
      </c>
      <c r="M15" s="16">
        <f>VLOOKUP(K15,道具定价!$C:$F,4,0)*L15</f>
        <v>500</v>
      </c>
      <c r="N15" s="16" t="s">
        <v>606</v>
      </c>
      <c r="O15" s="16">
        <v>3</v>
      </c>
      <c r="P15" s="16">
        <f>VLOOKUP(N15,道具定价!$C:$F,4,0)*O15</f>
        <v>720</v>
      </c>
      <c r="R15" s="174" t="s">
        <v>7</v>
      </c>
      <c r="S15" s="176">
        <f>SUMIFS(U3:U9,S3:S9,"专武抽卡券普通")+SUMIFS(Y3:Y9,W3:W9,"专武抽卡券普通")</f>
        <v>10</v>
      </c>
      <c r="T15" s="174" t="s">
        <v>2097</v>
      </c>
    </row>
    <row r="16" spans="2:28">
      <c r="B16" s="18">
        <v>14</v>
      </c>
      <c r="C16" s="3" t="s">
        <v>2091</v>
      </c>
      <c r="D16" s="3">
        <v>1</v>
      </c>
      <c r="E16" s="16" t="e">
        <f>VLOOKUP(C16,道具定价!$C:$F,4,0)*D16</f>
        <v>#N/A</v>
      </c>
      <c r="F16" s="3">
        <f>VLOOKUP(C16,'配置页-主线副本'!$B:$C,2,0)</f>
        <v>2504</v>
      </c>
      <c r="G16" s="3" t="str">
        <f t="shared" si="0"/>
        <v>2504,1</v>
      </c>
      <c r="H16" s="16"/>
      <c r="I16" s="16"/>
      <c r="J16" s="16">
        <v>180</v>
      </c>
      <c r="K16" s="16" t="s">
        <v>2087</v>
      </c>
      <c r="L16" s="3">
        <v>3</v>
      </c>
      <c r="M16" s="16" t="e">
        <f>VLOOKUP(K16,道具定价!$C:$F,4,0)*L16</f>
        <v>#N/A</v>
      </c>
      <c r="N16" s="16" t="s">
        <v>606</v>
      </c>
      <c r="O16" s="16">
        <v>5</v>
      </c>
      <c r="P16" s="16">
        <f>VLOOKUP(N16,道具定价!$C:$F,4,0)*O16</f>
        <v>1200</v>
      </c>
      <c r="R16" s="174" t="s">
        <v>10</v>
      </c>
      <c r="S16" s="176">
        <f>S14+S15</f>
        <v>20</v>
      </c>
      <c r="T16" s="174" t="s">
        <v>2098</v>
      </c>
    </row>
    <row r="17" ht="33" customHeight="1" spans="1:20">
      <c r="B17" s="16">
        <v>15</v>
      </c>
      <c r="C17" s="3" t="s">
        <v>731</v>
      </c>
      <c r="D17" s="3">
        <v>3</v>
      </c>
      <c r="E17" s="16">
        <f>VLOOKUP(C17,道具定价!$C:$F,4,0)*D17</f>
        <v>180</v>
      </c>
      <c r="F17" s="3">
        <f>VLOOKUP(C17,'配置页-主线副本'!$B:$C,2,0)</f>
        <v>25</v>
      </c>
      <c r="G17" s="3" t="str">
        <f t="shared" si="0"/>
        <v>25,3</v>
      </c>
      <c r="H17" s="16"/>
      <c r="I17" s="16"/>
      <c r="J17" s="16">
        <v>270</v>
      </c>
      <c r="K17" s="16" t="s">
        <v>596</v>
      </c>
      <c r="L17" s="3">
        <v>1</v>
      </c>
      <c r="M17" s="16">
        <f>VLOOKUP(K17,道具定价!$C:$F,4,0)*L17</f>
        <v>0</v>
      </c>
      <c r="N17" s="16" t="s">
        <v>606</v>
      </c>
      <c r="O17" s="16">
        <v>5</v>
      </c>
      <c r="P17" s="16">
        <f>VLOOKUP(N17,道具定价!$C:$F,4,0)*O17</f>
        <v>1200</v>
      </c>
      <c r="R17" s="174" t="s">
        <v>2099</v>
      </c>
      <c r="S17" s="176">
        <f>S13+S16*150</f>
        <v>6000</v>
      </c>
      <c r="T17" s="174" t="s">
        <v>2100</v>
      </c>
    </row>
    <row r="18" ht="33" customHeight="1" spans="1:20">
      <c r="B18" s="16">
        <v>16</v>
      </c>
      <c r="C18" s="3" t="s">
        <v>1622</v>
      </c>
      <c r="D18" s="3">
        <v>1</v>
      </c>
      <c r="E18" s="16" t="e">
        <f>VLOOKUP(C18,道具定价!$C:$F,4,0)*D18</f>
        <v>#N/A</v>
      </c>
      <c r="F18" s="3">
        <f>VLOOKUP(C18,'配置页-主线副本'!$B:$C,2,0)</f>
        <v>2503</v>
      </c>
      <c r="G18" s="3" t="str">
        <f t="shared" si="0"/>
        <v>2503,1</v>
      </c>
      <c r="H18" s="16"/>
      <c r="I18" s="16"/>
      <c r="J18" s="16">
        <v>365</v>
      </c>
      <c r="K18" s="16" t="s">
        <v>595</v>
      </c>
      <c r="L18" s="3">
        <v>1</v>
      </c>
      <c r="M18" s="16">
        <f>VLOOKUP(K18,道具定价!$C:$F,4,0)*L18</f>
        <v>0</v>
      </c>
      <c r="N18" s="16" t="s">
        <v>606</v>
      </c>
      <c r="O18" s="16">
        <v>5</v>
      </c>
      <c r="P18" s="16">
        <f>VLOOKUP(N18,道具定价!$C:$F,4,0)*O18</f>
        <v>1200</v>
      </c>
      <c r="R18" s="174" t="s">
        <v>2101</v>
      </c>
      <c r="S18" s="176">
        <f>AA10</f>
        <v>9000</v>
      </c>
      <c r="T18" s="174" t="s">
        <v>2102</v>
      </c>
    </row>
    <row r="19" ht="24" customHeight="1" spans="1:20">
      <c r="B19" s="16">
        <v>17</v>
      </c>
      <c r="C19" s="3" t="s">
        <v>731</v>
      </c>
      <c r="D19" s="3">
        <v>3</v>
      </c>
      <c r="E19" s="16">
        <f>VLOOKUP(C19,道具定价!$C:$F,4,0)*D19</f>
        <v>180</v>
      </c>
      <c r="F19" s="3">
        <f>VLOOKUP(C19,'配置页-主线副本'!$B:$C,2,0)</f>
        <v>25</v>
      </c>
      <c r="G19" s="3" t="str">
        <f t="shared" si="0"/>
        <v>25,3</v>
      </c>
    </row>
    <row r="20" spans="1:20">
      <c r="B20" s="16">
        <v>18</v>
      </c>
      <c r="C20" s="3" t="s">
        <v>731</v>
      </c>
      <c r="D20" s="3">
        <v>3</v>
      </c>
      <c r="E20" s="16">
        <f>VLOOKUP(C20,道具定价!$C:$F,4,0)*D20</f>
        <v>180</v>
      </c>
      <c r="F20" s="3">
        <f>VLOOKUP(C20,'配置页-主线副本'!$B:$C,2,0)</f>
        <v>25</v>
      </c>
      <c r="G20" s="3" t="str">
        <f t="shared" si="0"/>
        <v>25,3</v>
      </c>
    </row>
    <row r="21" spans="1:20">
      <c r="B21" s="16">
        <v>19</v>
      </c>
      <c r="C21" s="3" t="s">
        <v>731</v>
      </c>
      <c r="D21" s="3">
        <v>3</v>
      </c>
      <c r="E21" s="16">
        <f>VLOOKUP(C21,道具定价!$C:$F,4,0)*D21</f>
        <v>180</v>
      </c>
      <c r="F21" s="3">
        <f>VLOOKUP(C21,'配置页-主线副本'!$B:$C,2,0)</f>
        <v>25</v>
      </c>
      <c r="G21" s="3" t="str">
        <f t="shared" si="0"/>
        <v>25,3</v>
      </c>
    </row>
    <row r="22" spans="1:20">
      <c r="B22" s="16">
        <v>20</v>
      </c>
      <c r="C22" s="3" t="s">
        <v>731</v>
      </c>
      <c r="D22" s="3">
        <v>3</v>
      </c>
      <c r="E22" s="16">
        <f>VLOOKUP(C22,道具定价!$C:$F,4,0)*D22</f>
        <v>180</v>
      </c>
      <c r="F22" s="3">
        <f>VLOOKUP(C22,'配置页-主线副本'!$B:$C,2,0)</f>
        <v>25</v>
      </c>
      <c r="G22" s="3" t="str">
        <f t="shared" si="0"/>
        <v>25,3</v>
      </c>
    </row>
    <row r="23" spans="1:20">
      <c r="B23" s="18">
        <v>21</v>
      </c>
      <c r="C23" s="3" t="s">
        <v>2091</v>
      </c>
      <c r="D23" s="3">
        <v>1</v>
      </c>
      <c r="E23" s="16" t="e">
        <f>VLOOKUP(C23,道具定价!$C:$F,4,0)*D23</f>
        <v>#N/A</v>
      </c>
      <c r="F23" s="3">
        <f>VLOOKUP(C23,'配置页-主线副本'!$B:$C,2,0)</f>
        <v>2504</v>
      </c>
      <c r="G23" s="3" t="str">
        <f t="shared" si="0"/>
        <v>2504,1</v>
      </c>
    </row>
    <row r="24" spans="1:20">
      <c r="B24" s="16">
        <v>22</v>
      </c>
      <c r="C24" s="3" t="s">
        <v>731</v>
      </c>
      <c r="D24" s="3">
        <v>3</v>
      </c>
      <c r="E24" s="16">
        <f>VLOOKUP(C24,道具定价!$C:$F,4,0)*D24</f>
        <v>180</v>
      </c>
      <c r="F24" s="3">
        <f>VLOOKUP(C24,'配置页-主线副本'!$B:$C,2,0)</f>
        <v>25</v>
      </c>
      <c r="G24" s="3" t="str">
        <f t="shared" si="0"/>
        <v>25,3</v>
      </c>
    </row>
    <row r="25" spans="1:20">
      <c r="B25" s="16">
        <v>23</v>
      </c>
      <c r="C25" s="3" t="s">
        <v>1622</v>
      </c>
      <c r="D25" s="3">
        <v>1</v>
      </c>
      <c r="E25" s="16" t="e">
        <f>VLOOKUP(C25,道具定价!$C:$F,4,0)*D25</f>
        <v>#N/A</v>
      </c>
      <c r="F25" s="3">
        <f>VLOOKUP(C25,'配置页-主线副本'!$B:$C,2,0)</f>
        <v>2503</v>
      </c>
      <c r="G25" s="3" t="str">
        <f t="shared" si="0"/>
        <v>2503,1</v>
      </c>
    </row>
    <row r="26" spans="1:20">
      <c r="B26" s="16">
        <v>24</v>
      </c>
      <c r="C26" s="3" t="s">
        <v>731</v>
      </c>
      <c r="D26" s="3">
        <v>3</v>
      </c>
      <c r="E26" s="16">
        <f>VLOOKUP(C26,道具定价!$C:$F,4,0)*D26</f>
        <v>180</v>
      </c>
      <c r="F26" s="3">
        <f>VLOOKUP(C26,'配置页-主线副本'!$B:$C,2,0)</f>
        <v>25</v>
      </c>
      <c r="G26" s="3" t="str">
        <f t="shared" si="0"/>
        <v>25,3</v>
      </c>
    </row>
    <row r="27" spans="1:20">
      <c r="B27" s="16">
        <v>25</v>
      </c>
      <c r="C27" s="3" t="s">
        <v>731</v>
      </c>
      <c r="D27" s="3">
        <v>3</v>
      </c>
      <c r="E27" s="16">
        <f>VLOOKUP(C27,道具定价!$C:$F,4,0)*D27</f>
        <v>180</v>
      </c>
      <c r="F27" s="3">
        <f>VLOOKUP(C27,'配置页-主线副本'!$B:$C,2,0)</f>
        <v>25</v>
      </c>
      <c r="G27" s="3" t="str">
        <f t="shared" si="0"/>
        <v>25,3</v>
      </c>
    </row>
    <row r="28" spans="1:20">
      <c r="B28" s="16">
        <v>26</v>
      </c>
      <c r="C28" s="3" t="s">
        <v>731</v>
      </c>
      <c r="D28" s="3">
        <v>3</v>
      </c>
      <c r="E28" s="16">
        <f>VLOOKUP(C28,道具定价!$C:$F,4,0)*D28</f>
        <v>180</v>
      </c>
      <c r="F28" s="3">
        <f>VLOOKUP(C28,'配置页-主线副本'!$B:$C,2,0)</f>
        <v>25</v>
      </c>
      <c r="G28" s="3" t="str">
        <f t="shared" si="0"/>
        <v>25,3</v>
      </c>
    </row>
    <row r="29" spans="1:20">
      <c r="B29" s="16">
        <v>27</v>
      </c>
      <c r="C29" s="3" t="s">
        <v>731</v>
      </c>
      <c r="D29" s="3">
        <v>3</v>
      </c>
      <c r="E29" s="16">
        <f>VLOOKUP(C29,道具定价!$C:$F,4,0)*D29</f>
        <v>180</v>
      </c>
      <c r="F29" s="3">
        <f>VLOOKUP(C29,'配置页-主线副本'!$B:$C,2,0)</f>
        <v>25</v>
      </c>
      <c r="G29" s="3" t="str">
        <f t="shared" si="0"/>
        <v>25,3</v>
      </c>
    </row>
    <row r="30" spans="1:20">
      <c r="B30" s="18">
        <v>28</v>
      </c>
      <c r="C30" s="3" t="s">
        <v>2091</v>
      </c>
      <c r="D30" s="3">
        <v>1</v>
      </c>
      <c r="E30" s="16" t="e">
        <f>VLOOKUP(C30,道具定价!$C:$F,4,0)*D30</f>
        <v>#N/A</v>
      </c>
      <c r="F30" s="3">
        <f>VLOOKUP(C30,'配置页-主线副本'!$B:$C,2,0)</f>
        <v>2504</v>
      </c>
      <c r="G30" s="3" t="str">
        <f t="shared" si="0"/>
        <v>2504,1</v>
      </c>
    </row>
    <row r="31" spans="1:20">
      <c r="A31" s="16"/>
      <c r="B31" s="16">
        <v>29</v>
      </c>
      <c r="C31" s="3" t="s">
        <v>731</v>
      </c>
      <c r="D31" s="3">
        <v>3</v>
      </c>
      <c r="E31" s="16">
        <f>VLOOKUP(C31,道具定价!$C:$F,4,0)*D31</f>
        <v>180</v>
      </c>
      <c r="F31" s="3">
        <f>VLOOKUP(C31,'配置页-主线副本'!$B:$C,2,0)</f>
        <v>25</v>
      </c>
      <c r="G31" s="3" t="str">
        <f t="shared" si="0"/>
        <v>25,3</v>
      </c>
    </row>
    <row r="32" spans="1:20">
      <c r="B32" s="16">
        <v>30</v>
      </c>
      <c r="C32" s="3" t="s">
        <v>1622</v>
      </c>
      <c r="D32" s="3">
        <v>1</v>
      </c>
      <c r="E32" s="16" t="e">
        <f>VLOOKUP(C32,道具定价!$C:$F,4,0)*D32</f>
        <v>#N/A</v>
      </c>
      <c r="F32" s="3">
        <f>VLOOKUP(C32,'配置页-主线副本'!$B:$C,2,0)</f>
        <v>2503</v>
      </c>
      <c r="G32" s="3" t="str">
        <f t="shared" si="0"/>
        <v>2503,1</v>
      </c>
    </row>
    <row r="33" spans="2:7">
      <c r="B33" s="16">
        <v>31</v>
      </c>
      <c r="C33" s="3" t="s">
        <v>731</v>
      </c>
      <c r="D33" s="3">
        <v>3</v>
      </c>
      <c r="E33" s="16">
        <f>VLOOKUP(C33,道具定价!$C:$F,4,0)*D33</f>
        <v>180</v>
      </c>
      <c r="F33" s="3">
        <f>VLOOKUP(C33,'配置页-主线副本'!$B:$C,2,0)</f>
        <v>25</v>
      </c>
      <c r="G33" s="3" t="str">
        <f t="shared" si="0"/>
        <v>25,3</v>
      </c>
    </row>
  </sheetData>
  <mergeCells count="3">
    <mergeCell ref="R1:AB1"/>
    <mergeCell ref="R12:T12"/>
    <mergeCell ref="A31:A33"/>
  </mergeCell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N138"/>
  <sheetViews>
    <sheetView zoomScale="115" zoomScaleNormal="115" topLeftCell="B30" workbookViewId="0">
      <selection activeCell="D34" sqref="D34:D35"/>
    </sheetView>
  </sheetViews>
  <sheetFormatPr defaultColWidth="9" defaultRowHeight="16.5"/>
  <cols>
    <col min="1" max="1" width="9" style="143" customWidth="1"/>
    <col min="2" max="2" width="14.125" style="14" customWidth="1"/>
    <col min="3" max="3" width="13" style="143" customWidth="1"/>
    <col min="4" max="4" width="31" style="144" customWidth="1"/>
    <col min="5" max="5" width="38.3583333333333" style="144" customWidth="1"/>
    <col min="6" max="7" width="15" style="144" customWidth="1"/>
    <col min="8" max="8" width="8" style="143" customWidth="1"/>
    <col min="9" max="9" width="18" style="143" customWidth="1"/>
    <col min="10" max="10" width="10" style="143" customWidth="1"/>
    <col min="11" max="11" width="18" style="143" customWidth="1"/>
    <col min="12" max="12" width="10" style="143" customWidth="1"/>
    <col min="13" max="13" width="12" style="143" customWidth="1"/>
    <col min="14" max="14" width="25" style="144" customWidth="1"/>
  </cols>
  <sheetData>
    <row r="1" ht="22.5" customHeight="1" spans="1:14">
      <c r="A1" s="145" t="s">
        <v>2103</v>
      </c>
    </row>
    <row r="2" ht="13.5" customHeight="1" spans="1:14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</row>
    <row r="3" spans="1:14">
      <c r="A3" s="147" t="s">
        <v>1864</v>
      </c>
      <c r="B3" s="148" t="s">
        <v>2104</v>
      </c>
    </row>
    <row r="4" spans="1:14">
      <c r="A4" s="147" t="s">
        <v>2105</v>
      </c>
      <c r="B4" s="148" t="s">
        <v>2106</v>
      </c>
    </row>
    <row r="5" spans="1:14">
      <c r="A5" s="147" t="s">
        <v>2107</v>
      </c>
      <c r="B5" s="148" t="s">
        <v>2108</v>
      </c>
    </row>
    <row r="6" spans="1:14">
      <c r="A6" s="147" t="s">
        <v>2109</v>
      </c>
      <c r="B6" s="148" t="s">
        <v>2110</v>
      </c>
    </row>
    <row r="7" spans="1:14">
      <c r="A7" s="147" t="s">
        <v>2111</v>
      </c>
      <c r="B7" s="148" t="s">
        <v>2112</v>
      </c>
    </row>
    <row r="8" ht="13.5" customHeight="1" spans="1:14">
      <c r="A8" s="147" t="s">
        <v>2113</v>
      </c>
      <c r="B8" s="148" t="s">
        <v>2114</v>
      </c>
    </row>
    <row r="9" ht="13.5" customHeight="1" spans="1:14">
      <c r="A9" s="147" t="s">
        <v>2115</v>
      </c>
      <c r="B9" s="148" t="s">
        <v>2116</v>
      </c>
    </row>
    <row r="10" ht="13.5" customHeight="1" spans="1:14">
      <c r="A10" s="146"/>
      <c r="B10" s="146"/>
      <c r="C10" s="146"/>
      <c r="D10" s="146"/>
      <c r="E10" s="146"/>
      <c r="F10" s="146"/>
      <c r="G10" s="146"/>
      <c r="H10" s="146"/>
      <c r="I10" s="146"/>
      <c r="J10" s="146">
        <v>2</v>
      </c>
      <c r="K10" s="146"/>
      <c r="L10" s="146"/>
      <c r="M10" s="146"/>
      <c r="N10" s="146"/>
    </row>
    <row r="11" ht="13.5" customHeight="1" spans="1:14">
      <c r="A11" s="149" t="s">
        <v>2117</v>
      </c>
    </row>
    <row r="12" ht="13.5" customHeight="1" spans="1:14">
      <c r="A12" s="150" t="s">
        <v>2118</v>
      </c>
      <c r="B12" s="150" t="s">
        <v>2119</v>
      </c>
      <c r="C12" s="150" t="s">
        <v>2120</v>
      </c>
      <c r="D12" s="150" t="s">
        <v>2121</v>
      </c>
      <c r="E12" s="150" t="s">
        <v>2122</v>
      </c>
      <c r="F12" s="150" t="s">
        <v>2123</v>
      </c>
      <c r="G12" s="150" t="s">
        <v>2124</v>
      </c>
      <c r="H12" s="150" t="s">
        <v>2125</v>
      </c>
      <c r="I12" s="150" t="s">
        <v>1740</v>
      </c>
      <c r="J12" s="150" t="s">
        <v>1123</v>
      </c>
      <c r="K12" s="150" t="s">
        <v>1444</v>
      </c>
      <c r="L12" s="150" t="s">
        <v>1125</v>
      </c>
      <c r="M12" s="150" t="s">
        <v>1131</v>
      </c>
      <c r="N12" s="150" t="s">
        <v>1801</v>
      </c>
    </row>
    <row r="13" ht="22" customHeight="1" spans="1:14">
      <c r="A13" s="151">
        <v>1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</row>
    <row r="14" ht="13.5" customHeight="1" spans="1:14">
      <c r="A14" s="153" t="s">
        <v>2126</v>
      </c>
      <c r="B14" s="153">
        <v>1</v>
      </c>
      <c r="C14" s="153" t="s">
        <v>2127</v>
      </c>
      <c r="D14" s="154" t="s">
        <v>2128</v>
      </c>
      <c r="E14" s="154" t="s">
        <v>2129</v>
      </c>
      <c r="F14" s="154" t="s">
        <v>2130</v>
      </c>
      <c r="G14" s="154" t="s">
        <v>2131</v>
      </c>
      <c r="H14" s="153">
        <v>10</v>
      </c>
      <c r="I14" s="153" t="s">
        <v>607</v>
      </c>
      <c r="J14" s="153">
        <v>10</v>
      </c>
      <c r="K14" s="153"/>
      <c r="L14" s="153"/>
      <c r="M14" s="153">
        <f>IFERROR(IF($I14="",0,VLOOKUP($I14,道具定价!$C:$F,4,FALSE)*$J14),0)+IFERROR(IF($K14="",0,VLOOKUP($K14,道具定价!$C:$F,4,FALSE)*$L14),0)</f>
        <v>100</v>
      </c>
      <c r="N14" s="154" t="s">
        <v>2132</v>
      </c>
    </row>
    <row r="15" ht="13.5" customHeight="1" spans="1:14">
      <c r="A15" s="155" t="s">
        <v>2126</v>
      </c>
      <c r="B15" s="155">
        <v>2</v>
      </c>
      <c r="C15" s="155" t="s">
        <v>2127</v>
      </c>
      <c r="D15" s="156" t="s">
        <v>2133</v>
      </c>
      <c r="E15" s="156" t="s">
        <v>2134</v>
      </c>
      <c r="F15" s="156" t="s">
        <v>2135</v>
      </c>
      <c r="G15" s="154" t="s">
        <v>2131</v>
      </c>
      <c r="H15" s="155">
        <v>10</v>
      </c>
      <c r="I15" s="155" t="s">
        <v>606</v>
      </c>
      <c r="J15" s="155">
        <v>2</v>
      </c>
      <c r="K15" s="155"/>
      <c r="L15" s="155"/>
      <c r="M15" s="155">
        <f>IFERROR(IF($I15="",0,VLOOKUP($I15,道具定价!$C:$F,4,FALSE)*$J15),0)+IFERROR(IF($K15="",0,VLOOKUP($K15,道具定价!$C:$F,4,FALSE)*$L15),0)</f>
        <v>480</v>
      </c>
      <c r="N15" s="156" t="s">
        <v>2136</v>
      </c>
    </row>
    <row r="16" ht="13.5" customHeight="1" spans="1:14">
      <c r="A16" s="155" t="s">
        <v>2126</v>
      </c>
      <c r="B16" s="155">
        <v>3</v>
      </c>
      <c r="C16" s="155" t="s">
        <v>2127</v>
      </c>
      <c r="D16" s="156" t="s">
        <v>2137</v>
      </c>
      <c r="E16" s="156" t="s">
        <v>2138</v>
      </c>
      <c r="F16" s="156" t="s">
        <v>2139</v>
      </c>
      <c r="G16" s="154" t="s">
        <v>2131</v>
      </c>
      <c r="H16" s="155">
        <v>10</v>
      </c>
      <c r="I16" s="155" t="s">
        <v>606</v>
      </c>
      <c r="J16" s="155">
        <v>2</v>
      </c>
      <c r="K16" s="155"/>
      <c r="L16" s="155"/>
      <c r="M16" s="155">
        <f>IFERROR(IF($I16="",0,VLOOKUP($I16,道具定价!$C:$F,4,FALSE)*$J16),0)+IFERROR(IF($K16="",0,VLOOKUP($K16,道具定价!$C:$F,4,FALSE)*$L16),0)</f>
        <v>480</v>
      </c>
      <c r="N16" s="156" t="s">
        <v>2140</v>
      </c>
    </row>
    <row r="17" ht="13.5" customHeight="1" spans="1:14">
      <c r="A17" s="155" t="s">
        <v>2126</v>
      </c>
      <c r="B17" s="155">
        <v>4</v>
      </c>
      <c r="C17" s="155" t="s">
        <v>2127</v>
      </c>
      <c r="D17" s="156" t="s">
        <v>2141</v>
      </c>
      <c r="E17" s="156" t="s">
        <v>2142</v>
      </c>
      <c r="F17" s="156" t="s">
        <v>2143</v>
      </c>
      <c r="G17" s="154" t="s">
        <v>2131</v>
      </c>
      <c r="H17" s="155">
        <v>10</v>
      </c>
      <c r="I17" s="155" t="s">
        <v>601</v>
      </c>
      <c r="J17" s="155">
        <v>100000</v>
      </c>
      <c r="K17" s="155"/>
      <c r="L17" s="155"/>
      <c r="M17" s="155">
        <f>IFERROR(IF($I17="",0,VLOOKUP($I17,道具定价!$C:$F,4,FALSE)*$J17),0)+IFERROR(IF($K17="",0,VLOOKUP($K17,道具定价!$C:$F,4,FALSE)*$L17),0)</f>
        <v>100</v>
      </c>
      <c r="N17" s="156" t="s">
        <v>2144</v>
      </c>
    </row>
    <row r="18" ht="13.5" customHeight="1" spans="1:14">
      <c r="A18" s="155" t="s">
        <v>2126</v>
      </c>
      <c r="B18" s="155">
        <v>5</v>
      </c>
      <c r="C18" s="155" t="s">
        <v>2127</v>
      </c>
      <c r="D18" s="156" t="s">
        <v>2145</v>
      </c>
      <c r="E18" s="156" t="s">
        <v>2146</v>
      </c>
      <c r="F18" s="156" t="s">
        <v>2147</v>
      </c>
      <c r="G18" s="154" t="s">
        <v>2131</v>
      </c>
      <c r="H18" s="155">
        <v>10</v>
      </c>
      <c r="I18" s="155" t="s">
        <v>614</v>
      </c>
      <c r="J18" s="155">
        <v>10</v>
      </c>
      <c r="K18" s="155"/>
      <c r="L18" s="155"/>
      <c r="M18" s="155">
        <f>IFERROR(IF($I18="",0,VLOOKUP($I18,道具定价!$C:$F,4,FALSE)*$J18),0)+IFERROR(IF($K18="",0,VLOOKUP($K18,道具定价!$C:$F,4,FALSE)*$L18),0)</f>
        <v>100</v>
      </c>
      <c r="N18" s="156" t="s">
        <v>2148</v>
      </c>
    </row>
    <row r="19" ht="13.5" customHeight="1" spans="1:14">
      <c r="A19" s="155" t="s">
        <v>2126</v>
      </c>
      <c r="B19" s="155">
        <v>6</v>
      </c>
      <c r="C19" s="155" t="s">
        <v>2127</v>
      </c>
      <c r="D19" s="156" t="s">
        <v>2149</v>
      </c>
      <c r="E19" s="156" t="s">
        <v>2150</v>
      </c>
      <c r="F19" s="156" t="s">
        <v>2151</v>
      </c>
      <c r="G19" s="154" t="s">
        <v>2131</v>
      </c>
      <c r="H19" s="155">
        <v>10</v>
      </c>
      <c r="I19" s="155" t="s">
        <v>601</v>
      </c>
      <c r="J19" s="155">
        <v>100000</v>
      </c>
      <c r="K19" s="155"/>
      <c r="L19" s="155"/>
      <c r="M19" s="155">
        <f>IFERROR(IF($I19="",0,VLOOKUP($I19,道具定价!$C:$F,4,FALSE)*$J19),0)+IFERROR(IF($K19="",0,VLOOKUP($K19,道具定价!$C:$F,4,FALSE)*$L19),0)</f>
        <v>100</v>
      </c>
      <c r="N19" s="156" t="s">
        <v>2152</v>
      </c>
    </row>
    <row r="20" ht="13.5" customHeight="1" spans="1:14">
      <c r="A20" s="155" t="s">
        <v>2126</v>
      </c>
      <c r="B20" s="155">
        <v>7</v>
      </c>
      <c r="C20" s="155" t="s">
        <v>2127</v>
      </c>
      <c r="D20" s="157" t="s">
        <v>2153</v>
      </c>
      <c r="E20" s="157" t="s">
        <v>2154</v>
      </c>
      <c r="F20" s="157" t="s">
        <v>2155</v>
      </c>
      <c r="G20" s="154" t="s">
        <v>2131</v>
      </c>
      <c r="H20" s="155">
        <v>10</v>
      </c>
      <c r="I20" s="155" t="s">
        <v>2156</v>
      </c>
      <c r="J20" s="155">
        <v>10</v>
      </c>
      <c r="K20" s="155"/>
      <c r="L20" s="155"/>
      <c r="M20" s="155">
        <f>IFERROR(IF($I20="",0,VLOOKUP($I20,道具定价!$C:$F,4,FALSE)*$J20),0)+IFERROR(IF($K20="",0,VLOOKUP($K20,道具定价!$C:$F,4,FALSE)*$L20),0)</f>
        <v>0</v>
      </c>
      <c r="N20" s="156" t="s">
        <v>2157</v>
      </c>
    </row>
    <row r="21" ht="13.5" customHeight="1" spans="1:14">
      <c r="A21" s="155" t="s">
        <v>2126</v>
      </c>
      <c r="B21" s="155">
        <v>8</v>
      </c>
      <c r="C21" s="155" t="s">
        <v>2127</v>
      </c>
      <c r="D21" s="157" t="s">
        <v>2158</v>
      </c>
      <c r="E21" s="157" t="s">
        <v>2159</v>
      </c>
      <c r="F21" s="157" t="s">
        <v>2160</v>
      </c>
      <c r="G21" s="154" t="s">
        <v>2131</v>
      </c>
      <c r="H21" s="155">
        <v>10</v>
      </c>
      <c r="I21" s="155" t="s">
        <v>728</v>
      </c>
      <c r="J21" s="155">
        <v>10000</v>
      </c>
      <c r="K21" s="155"/>
      <c r="L21" s="155"/>
      <c r="M21" s="155">
        <f>IFERROR(IF($I21="",0,VLOOKUP($I21,道具定价!$C:$F,4,FALSE)*$J21),0)+IFERROR(IF($K21="",0,VLOOKUP($K21,道具定价!$C:$F,4,FALSE)*$L21),0)</f>
        <v>100</v>
      </c>
      <c r="N21" s="156" t="s">
        <v>2161</v>
      </c>
    </row>
    <row r="22" ht="13.5" customHeight="1" spans="1:14">
      <c r="A22" s="155" t="s">
        <v>2126</v>
      </c>
      <c r="B22" s="155">
        <v>9</v>
      </c>
      <c r="C22" s="155" t="s">
        <v>2127</v>
      </c>
      <c r="D22" s="157" t="s">
        <v>2162</v>
      </c>
      <c r="E22" s="157" t="s">
        <v>2138</v>
      </c>
      <c r="F22" s="157" t="s">
        <v>2163</v>
      </c>
      <c r="G22" s="154" t="s">
        <v>2131</v>
      </c>
      <c r="H22" s="155">
        <v>10</v>
      </c>
      <c r="I22" s="155" t="s">
        <v>728</v>
      </c>
      <c r="J22" s="155">
        <v>10000</v>
      </c>
      <c r="K22" s="155"/>
      <c r="L22" s="155"/>
      <c r="M22" s="155">
        <f>IFERROR(IF($I22="",0,VLOOKUP($I22,道具定价!$C:$F,4,FALSE)*$J22),0)+IFERROR(IF($K22="",0,VLOOKUP($K22,道具定价!$C:$F,4,FALSE)*$L22),0)</f>
        <v>100</v>
      </c>
      <c r="N22" s="156" t="s">
        <v>2164</v>
      </c>
    </row>
    <row r="23" ht="13.5" customHeight="1" spans="1:14">
      <c r="A23" s="155" t="s">
        <v>2126</v>
      </c>
      <c r="B23" s="155">
        <v>10</v>
      </c>
      <c r="C23" s="155" t="s">
        <v>2127</v>
      </c>
      <c r="D23" s="157" t="s">
        <v>2165</v>
      </c>
      <c r="E23" s="157" t="s">
        <v>2166</v>
      </c>
      <c r="F23" s="158">
        <v>3200</v>
      </c>
      <c r="G23" s="154" t="s">
        <v>2131</v>
      </c>
      <c r="H23" s="155">
        <v>10</v>
      </c>
      <c r="I23" s="155" t="s">
        <v>601</v>
      </c>
      <c r="J23" s="155">
        <v>100000</v>
      </c>
      <c r="K23" s="155"/>
      <c r="L23" s="155"/>
      <c r="M23" s="155">
        <f>IFERROR(IF($I23="",0,VLOOKUP($I23,道具定价!$C:$F,4,FALSE)*$J23),0)+IFERROR(IF($K23="",0,VLOOKUP($K23,道具定价!$C:$F,4,FALSE)*$L23),0)</f>
        <v>100</v>
      </c>
      <c r="N23" s="156" t="s">
        <v>2167</v>
      </c>
    </row>
    <row r="24" ht="13.5" customHeight="1" spans="1:14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</row>
    <row r="25" ht="22" customHeight="1" spans="1:14">
      <c r="A25" s="159">
        <v>2</v>
      </c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</row>
    <row r="26" ht="27" customHeight="1" spans="1:14">
      <c r="A26" s="153" t="s">
        <v>2168</v>
      </c>
      <c r="B26" s="153">
        <v>1</v>
      </c>
      <c r="C26" s="153" t="s">
        <v>2169</v>
      </c>
      <c r="D26" s="154" t="s">
        <v>2170</v>
      </c>
      <c r="E26" s="154" t="s">
        <v>2134</v>
      </c>
      <c r="F26" s="154" t="s">
        <v>2171</v>
      </c>
      <c r="G26" s="154" t="s">
        <v>2131</v>
      </c>
      <c r="H26" s="153">
        <v>10</v>
      </c>
      <c r="I26" s="155" t="s">
        <v>606</v>
      </c>
      <c r="J26" s="155">
        <v>2</v>
      </c>
      <c r="K26" s="153"/>
      <c r="L26" s="153"/>
      <c r="M26" s="153">
        <f>IFERROR(IF($I26="",0,VLOOKUP($I26,道具定价!$C:$F,4,FALSE)*$J26),0)+IFERROR(IF($K26="",0,VLOOKUP($K26,道具定价!$C:$F,4,FALSE)*$L26),0)</f>
        <v>480</v>
      </c>
      <c r="N26" s="154" t="s">
        <v>2172</v>
      </c>
    </row>
    <row r="27" ht="13.5" customHeight="1" spans="1:14">
      <c r="A27" s="155" t="s">
        <v>2168</v>
      </c>
      <c r="B27" s="155">
        <v>2</v>
      </c>
      <c r="C27" s="155" t="s">
        <v>2169</v>
      </c>
      <c r="D27" s="156" t="s">
        <v>2173</v>
      </c>
      <c r="E27" s="156" t="s">
        <v>2138</v>
      </c>
      <c r="F27" s="156" t="s">
        <v>2174</v>
      </c>
      <c r="G27" s="154" t="s">
        <v>2131</v>
      </c>
      <c r="H27" s="155">
        <v>10</v>
      </c>
      <c r="I27" s="155" t="s">
        <v>606</v>
      </c>
      <c r="J27" s="155">
        <v>2</v>
      </c>
      <c r="K27" s="155"/>
      <c r="L27" s="155"/>
      <c r="M27" s="155">
        <f>IFERROR(IF($I27="",0,VLOOKUP($I27,道具定价!$C:$F,4,FALSE)*$J27),0)+IFERROR(IF($K27="",0,VLOOKUP($K27,道具定价!$C:$F,4,FALSE)*$L27),0)</f>
        <v>480</v>
      </c>
      <c r="N27" s="156" t="s">
        <v>2175</v>
      </c>
    </row>
    <row r="28" ht="13.5" customHeight="1" spans="1:14">
      <c r="A28" s="155" t="s">
        <v>2168</v>
      </c>
      <c r="B28" s="155">
        <v>3</v>
      </c>
      <c r="C28" s="155" t="s">
        <v>2169</v>
      </c>
      <c r="D28" s="156" t="s">
        <v>2176</v>
      </c>
      <c r="E28" s="156" t="s">
        <v>2146</v>
      </c>
      <c r="F28" s="156" t="s">
        <v>2177</v>
      </c>
      <c r="G28" s="154" t="s">
        <v>2131</v>
      </c>
      <c r="H28" s="155">
        <v>10</v>
      </c>
      <c r="I28" s="155" t="s">
        <v>614</v>
      </c>
      <c r="J28" s="155">
        <v>10</v>
      </c>
      <c r="K28" s="155"/>
      <c r="L28" s="155"/>
      <c r="M28" s="155">
        <f>IFERROR(IF($I28="",0,VLOOKUP($I28,道具定价!$C:$F,4,FALSE)*$J28),0)+IFERROR(IF($K28="",0,VLOOKUP($K28,道具定价!$C:$F,4,FALSE)*$L28),0)</f>
        <v>100</v>
      </c>
      <c r="N28" s="156" t="s">
        <v>2178</v>
      </c>
    </row>
    <row r="29" ht="13.5" customHeight="1" spans="1:14">
      <c r="A29" s="155" t="s">
        <v>2168</v>
      </c>
      <c r="B29" s="155">
        <v>4</v>
      </c>
      <c r="C29" s="155" t="s">
        <v>2169</v>
      </c>
      <c r="D29" s="156" t="s">
        <v>2179</v>
      </c>
      <c r="E29" s="156" t="s">
        <v>2159</v>
      </c>
      <c r="F29" s="156" t="s">
        <v>2180</v>
      </c>
      <c r="G29" s="154" t="s">
        <v>2131</v>
      </c>
      <c r="H29" s="155">
        <v>10</v>
      </c>
      <c r="I29" s="155" t="s">
        <v>728</v>
      </c>
      <c r="J29" s="155">
        <v>10000</v>
      </c>
      <c r="K29" s="155"/>
      <c r="L29" s="155"/>
      <c r="M29" s="155">
        <f>IFERROR(IF($I29="",0,VLOOKUP($I29,道具定价!$C:$F,4,FALSE)*$J29),0)+IFERROR(IF($K29="",0,VLOOKUP($K29,道具定价!$C:$F,4,FALSE)*$L29),0)</f>
        <v>100</v>
      </c>
      <c r="N29" s="156" t="s">
        <v>2181</v>
      </c>
    </row>
    <row r="30" ht="13.5" customHeight="1" spans="1:14">
      <c r="A30" s="155" t="s">
        <v>2168</v>
      </c>
      <c r="B30" s="155">
        <v>5</v>
      </c>
      <c r="C30" s="155" t="s">
        <v>2169</v>
      </c>
      <c r="D30" s="156" t="s">
        <v>2182</v>
      </c>
      <c r="E30" s="156" t="s">
        <v>2154</v>
      </c>
      <c r="F30" s="156" t="s">
        <v>2183</v>
      </c>
      <c r="G30" s="154" t="s">
        <v>2131</v>
      </c>
      <c r="H30" s="155">
        <v>10</v>
      </c>
      <c r="I30" s="155" t="s">
        <v>2156</v>
      </c>
      <c r="J30" s="155">
        <v>10</v>
      </c>
      <c r="K30" s="155"/>
      <c r="L30" s="155"/>
      <c r="M30" s="155">
        <f>IFERROR(IF($I30="",0,VLOOKUP($I30,道具定价!$C:$F,4,FALSE)*$J30),0)+IFERROR(IF($K30="",0,VLOOKUP($K30,道具定价!$C:$F,4,FALSE)*$L30),0)</f>
        <v>0</v>
      </c>
      <c r="N30" s="156" t="s">
        <v>2184</v>
      </c>
    </row>
    <row r="31" ht="27" customHeight="1" spans="1:14">
      <c r="A31" s="155" t="s">
        <v>2168</v>
      </c>
      <c r="B31" s="155">
        <v>6</v>
      </c>
      <c r="C31" s="155" t="s">
        <v>2169</v>
      </c>
      <c r="D31" s="156" t="s">
        <v>2185</v>
      </c>
      <c r="E31" s="160" t="s">
        <v>2186</v>
      </c>
      <c r="F31" s="156" t="s">
        <v>2187</v>
      </c>
      <c r="G31" s="154" t="s">
        <v>2131</v>
      </c>
      <c r="H31" s="155">
        <v>10</v>
      </c>
      <c r="I31" s="155" t="s">
        <v>601</v>
      </c>
      <c r="J31" s="155">
        <v>100000</v>
      </c>
      <c r="K31" s="155"/>
      <c r="L31" s="155"/>
      <c r="M31" s="155">
        <f>IFERROR(IF($I31="",0,VLOOKUP($I31,道具定价!$C:$F,4,FALSE)*$J31),0)+IFERROR(IF($K31="",0,VLOOKUP($K31,道具定价!$C:$F,4,FALSE)*$L31),0)</f>
        <v>100</v>
      </c>
      <c r="N31" s="156" t="s">
        <v>2188</v>
      </c>
    </row>
    <row r="32" ht="13.5" customHeight="1" spans="1:14">
      <c r="A32" s="155" t="s">
        <v>2168</v>
      </c>
      <c r="B32" s="155">
        <v>7</v>
      </c>
      <c r="C32" s="155" t="s">
        <v>2169</v>
      </c>
      <c r="D32" s="156" t="s">
        <v>2189</v>
      </c>
      <c r="E32" s="156" t="s">
        <v>2129</v>
      </c>
      <c r="F32" s="156" t="s">
        <v>2190</v>
      </c>
      <c r="G32" s="154" t="s">
        <v>2131</v>
      </c>
      <c r="H32" s="155">
        <v>10</v>
      </c>
      <c r="I32" s="155" t="s">
        <v>607</v>
      </c>
      <c r="J32" s="155">
        <v>10</v>
      </c>
      <c r="K32" s="155"/>
      <c r="L32" s="155"/>
      <c r="M32" s="155">
        <f>IFERROR(IF($I32="",0,VLOOKUP($I32,道具定价!$C:$F,4,FALSE)*$J32),0)+IFERROR(IF($K32="",0,VLOOKUP($K32,道具定价!$C:$F,4,FALSE)*$L32),0)</f>
        <v>100</v>
      </c>
      <c r="N32" s="156" t="s">
        <v>2191</v>
      </c>
    </row>
    <row r="33" ht="13.5" customHeight="1" spans="1:14">
      <c r="A33" s="155" t="s">
        <v>2168</v>
      </c>
      <c r="B33" s="155">
        <v>8</v>
      </c>
      <c r="C33" s="155" t="s">
        <v>2169</v>
      </c>
      <c r="D33" s="156" t="s">
        <v>2192</v>
      </c>
      <c r="E33" s="156" t="s">
        <v>2166</v>
      </c>
      <c r="F33" s="156" t="s">
        <v>2193</v>
      </c>
      <c r="G33" s="154" t="s">
        <v>2131</v>
      </c>
      <c r="H33" s="155">
        <v>10</v>
      </c>
      <c r="I33" s="155" t="s">
        <v>601</v>
      </c>
      <c r="J33" s="155">
        <v>100000</v>
      </c>
      <c r="K33" s="155"/>
      <c r="L33" s="155"/>
      <c r="M33" s="155">
        <f>IFERROR(IF($I33="",0,VLOOKUP($I33,道具定价!$C:$F,4,FALSE)*$J33),0)+IFERROR(IF($K33="",0,VLOOKUP($K33,道具定价!$C:$F,4,FALSE)*$L33),0)</f>
        <v>100</v>
      </c>
      <c r="N33" s="156" t="s">
        <v>2194</v>
      </c>
    </row>
    <row r="34" ht="13.5" customHeight="1" spans="1:14">
      <c r="A34" s="155" t="s">
        <v>2168</v>
      </c>
      <c r="B34" s="155">
        <v>9</v>
      </c>
      <c r="C34" s="155" t="s">
        <v>2169</v>
      </c>
      <c r="D34" s="157" t="s">
        <v>2195</v>
      </c>
      <c r="E34" s="157" t="s">
        <v>2138</v>
      </c>
      <c r="F34" s="157" t="s">
        <v>2196</v>
      </c>
      <c r="G34" s="154" t="s">
        <v>2131</v>
      </c>
      <c r="H34" s="155">
        <v>10</v>
      </c>
      <c r="I34" s="155" t="s">
        <v>728</v>
      </c>
      <c r="J34" s="155">
        <v>10000</v>
      </c>
      <c r="K34" s="155"/>
      <c r="L34" s="155"/>
      <c r="M34" s="155">
        <f>IFERROR(IF($I34="",0,VLOOKUP($I34,道具定价!$C:$F,4,FALSE)*$J34),0)+IFERROR(IF($K34="",0,VLOOKUP($K34,道具定价!$C:$F,4,FALSE)*$L34),0)</f>
        <v>100</v>
      </c>
      <c r="N34" s="156" t="s">
        <v>2197</v>
      </c>
    </row>
    <row r="35" ht="13.5" customHeight="1" spans="1:14">
      <c r="A35" s="155" t="s">
        <v>2168</v>
      </c>
      <c r="B35" s="155">
        <v>10</v>
      </c>
      <c r="C35" s="155" t="s">
        <v>2169</v>
      </c>
      <c r="D35" s="157" t="s">
        <v>2198</v>
      </c>
      <c r="E35" s="157" t="s">
        <v>2199</v>
      </c>
      <c r="F35" s="157" t="s">
        <v>2143</v>
      </c>
      <c r="G35" s="154" t="s">
        <v>2131</v>
      </c>
      <c r="H35" s="155">
        <v>10</v>
      </c>
      <c r="I35" s="155" t="s">
        <v>605</v>
      </c>
      <c r="J35" s="155">
        <v>100</v>
      </c>
      <c r="K35" s="155"/>
      <c r="L35" s="155"/>
      <c r="M35" s="155">
        <f>IFERROR(IF($I35="",0,VLOOKUP($I35,道具定价!$C:$F,4,FALSE)*$J35),0)+IFERROR(IF($K35="",0,VLOOKUP($K35,道具定价!$C:$F,4,FALSE)*$L35),0)</f>
        <v>100</v>
      </c>
      <c r="N35" s="156" t="s">
        <v>2200</v>
      </c>
    </row>
    <row r="36" ht="22" customHeight="1" spans="1:14">
      <c r="A36" s="146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</row>
    <row r="37" ht="22" customHeight="1" spans="1:14">
      <c r="A37" s="161">
        <v>3</v>
      </c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</row>
    <row r="38" ht="13.5" customHeight="1" spans="1:14">
      <c r="A38" s="153" t="s">
        <v>2201</v>
      </c>
      <c r="B38" s="153">
        <v>1</v>
      </c>
      <c r="C38" s="153" t="s">
        <v>2202</v>
      </c>
      <c r="D38" s="154" t="s">
        <v>2203</v>
      </c>
      <c r="E38" s="154" t="s">
        <v>2134</v>
      </c>
      <c r="F38" s="154" t="s">
        <v>2204</v>
      </c>
      <c r="G38" s="154" t="s">
        <v>2131</v>
      </c>
      <c r="H38" s="153">
        <v>10</v>
      </c>
      <c r="I38" s="155" t="s">
        <v>606</v>
      </c>
      <c r="J38" s="155">
        <v>2</v>
      </c>
      <c r="K38" s="153"/>
      <c r="L38" s="153"/>
      <c r="M38" s="153">
        <f>IFERROR(IF($I38="",0,VLOOKUP($I38,道具定价!$C:$F,4,FALSE)*$J38),0)+IFERROR(IF($K38="",0,VLOOKUP($K38,道具定价!$C:$F,4,FALSE)*$L38),0)</f>
        <v>480</v>
      </c>
      <c r="N38" s="154" t="s">
        <v>2205</v>
      </c>
    </row>
    <row r="39" ht="13.5" customHeight="1" spans="1:14">
      <c r="A39" s="155" t="s">
        <v>2201</v>
      </c>
      <c r="B39" s="155">
        <v>2</v>
      </c>
      <c r="C39" s="155" t="s">
        <v>2202</v>
      </c>
      <c r="D39" s="156" t="s">
        <v>2206</v>
      </c>
      <c r="E39" s="156" t="s">
        <v>2138</v>
      </c>
      <c r="F39" s="156" t="s">
        <v>2207</v>
      </c>
      <c r="G39" s="154" t="s">
        <v>2131</v>
      </c>
      <c r="H39" s="155">
        <v>10</v>
      </c>
      <c r="I39" s="155" t="s">
        <v>606</v>
      </c>
      <c r="J39" s="155">
        <v>2</v>
      </c>
      <c r="K39" s="155"/>
      <c r="L39" s="155"/>
      <c r="M39" s="155">
        <f>IFERROR(IF($I39="",0,VLOOKUP($I39,道具定价!$C:$F,4,FALSE)*$J39),0)+IFERROR(IF($K39="",0,VLOOKUP($K39,道具定价!$C:$F,4,FALSE)*$L39),0)</f>
        <v>480</v>
      </c>
      <c r="N39" s="156" t="s">
        <v>2208</v>
      </c>
    </row>
    <row r="40" ht="13.5" customHeight="1" spans="1:14">
      <c r="A40" s="155" t="s">
        <v>2201</v>
      </c>
      <c r="B40" s="155">
        <v>3</v>
      </c>
      <c r="C40" s="155" t="s">
        <v>2202</v>
      </c>
      <c r="D40" s="162" t="s">
        <v>2209</v>
      </c>
      <c r="E40" s="163" t="s">
        <v>2210</v>
      </c>
      <c r="F40" s="157" t="s">
        <v>2187</v>
      </c>
      <c r="G40" s="154" t="s">
        <v>2131</v>
      </c>
      <c r="H40" s="164">
        <v>10</v>
      </c>
      <c r="I40" s="164" t="s">
        <v>729</v>
      </c>
      <c r="J40" s="164">
        <v>100</v>
      </c>
      <c r="K40" s="155"/>
      <c r="L40" s="155"/>
      <c r="M40" s="155">
        <f>IFERROR(IF($I40="",0,VLOOKUP($I40,道具定价!$C:$F,4,FALSE)*$J40),0)+IFERROR(IF($K40="",0,VLOOKUP($K40,道具定价!$C:$F,4,FALSE)*$L40),0)</f>
        <v>200</v>
      </c>
      <c r="N40" s="156" t="s">
        <v>2211</v>
      </c>
    </row>
    <row r="41" ht="27" customHeight="1" spans="1:14">
      <c r="A41" s="155" t="s">
        <v>2201</v>
      </c>
      <c r="B41" s="155">
        <v>4</v>
      </c>
      <c r="C41" s="155" t="s">
        <v>2202</v>
      </c>
      <c r="D41" s="157" t="s">
        <v>2212</v>
      </c>
      <c r="E41" s="157" t="s">
        <v>2154</v>
      </c>
      <c r="F41" s="157" t="s">
        <v>2213</v>
      </c>
      <c r="G41" s="154" t="s">
        <v>2131</v>
      </c>
      <c r="H41" s="155">
        <v>10</v>
      </c>
      <c r="I41" s="155" t="s">
        <v>614</v>
      </c>
      <c r="J41" s="155">
        <v>10</v>
      </c>
      <c r="K41" s="155"/>
      <c r="L41" s="155"/>
      <c r="M41" s="155">
        <f>IFERROR(IF($I41="",0,VLOOKUP($I41,道具定价!$C:$F,4,FALSE)*$J41),0)+IFERROR(IF($K41="",0,VLOOKUP($K41,道具定价!$C:$F,4,FALSE)*$L41),0)</f>
        <v>100</v>
      </c>
      <c r="N41" s="156" t="s">
        <v>2214</v>
      </c>
    </row>
    <row r="42" ht="27" customHeight="1" spans="1:14">
      <c r="A42" s="155" t="s">
        <v>2201</v>
      </c>
      <c r="B42" s="155">
        <v>5</v>
      </c>
      <c r="C42" s="155" t="s">
        <v>2202</v>
      </c>
      <c r="D42" s="157" t="s">
        <v>2215</v>
      </c>
      <c r="E42" s="157" t="s">
        <v>2199</v>
      </c>
      <c r="F42" s="157" t="s">
        <v>2216</v>
      </c>
      <c r="G42" s="154" t="s">
        <v>2131</v>
      </c>
      <c r="H42" s="155">
        <v>10</v>
      </c>
      <c r="I42" s="155" t="s">
        <v>605</v>
      </c>
      <c r="J42" s="155">
        <v>100</v>
      </c>
      <c r="K42" s="155"/>
      <c r="L42" s="155"/>
      <c r="M42" s="155">
        <f>IFERROR(IF($I42="",0,VLOOKUP($I42,道具定价!$C:$F,4,FALSE)*$J42),0)+IFERROR(IF($K42="",0,VLOOKUP($K42,道具定价!$C:$F,4,FALSE)*$L42),0)</f>
        <v>100</v>
      </c>
      <c r="N42" s="156" t="s">
        <v>2217</v>
      </c>
    </row>
    <row r="43" ht="13.5" customHeight="1" spans="1:14">
      <c r="A43" s="155" t="s">
        <v>2201</v>
      </c>
      <c r="B43" s="155">
        <v>6</v>
      </c>
      <c r="C43" s="155" t="s">
        <v>2202</v>
      </c>
      <c r="D43" s="157" t="s">
        <v>2218</v>
      </c>
      <c r="E43" s="157" t="s">
        <v>2138</v>
      </c>
      <c r="F43" s="157" t="s">
        <v>2219</v>
      </c>
      <c r="G43" s="154" t="s">
        <v>2131</v>
      </c>
      <c r="H43" s="155">
        <v>10</v>
      </c>
      <c r="I43" s="155" t="s">
        <v>670</v>
      </c>
      <c r="J43" s="155">
        <v>10</v>
      </c>
      <c r="K43" s="155"/>
      <c r="L43" s="155"/>
      <c r="M43" s="155">
        <f>IFERROR(IF($I43="",0,VLOOKUP($I43,道具定价!$C:$F,4,FALSE)*$J43),0)+IFERROR(IF($K43="",0,VLOOKUP($K43,道具定价!$C:$F,4,FALSE)*$L43),0)</f>
        <v>100</v>
      </c>
      <c r="N43" s="156" t="s">
        <v>2220</v>
      </c>
    </row>
    <row r="44" ht="13.5" customHeight="1" spans="1:14">
      <c r="A44" s="155" t="s">
        <v>2201</v>
      </c>
      <c r="B44" s="155">
        <v>7</v>
      </c>
      <c r="C44" s="155" t="s">
        <v>2202</v>
      </c>
      <c r="D44" s="156" t="s">
        <v>2221</v>
      </c>
      <c r="E44" s="156" t="s">
        <v>2222</v>
      </c>
      <c r="F44" s="156" t="s">
        <v>2223</v>
      </c>
      <c r="G44" s="154" t="s">
        <v>2131</v>
      </c>
      <c r="H44" s="155">
        <v>10</v>
      </c>
      <c r="I44" s="155" t="s">
        <v>601</v>
      </c>
      <c r="J44" s="155">
        <v>100000</v>
      </c>
      <c r="K44" s="155"/>
      <c r="L44" s="155"/>
      <c r="M44" s="155">
        <f>IFERROR(IF($I44="",0,VLOOKUP($I44,道具定价!$C:$F,4,FALSE)*$J44),0)+IFERROR(IF($K44="",0,VLOOKUP($K44,道具定价!$C:$F,4,FALSE)*$L44),0)</f>
        <v>100</v>
      </c>
      <c r="N44" s="156" t="s">
        <v>2224</v>
      </c>
    </row>
    <row r="45" ht="22" customHeight="1" spans="1:14">
      <c r="A45" s="155" t="s">
        <v>2201</v>
      </c>
      <c r="B45" s="155">
        <v>8</v>
      </c>
      <c r="C45" s="155" t="s">
        <v>2202</v>
      </c>
      <c r="D45" s="156" t="s">
        <v>2225</v>
      </c>
      <c r="E45" s="156" t="s">
        <v>2166</v>
      </c>
      <c r="F45" s="156" t="s">
        <v>2226</v>
      </c>
      <c r="G45" s="154" t="s">
        <v>2131</v>
      </c>
      <c r="H45" s="155">
        <v>10</v>
      </c>
      <c r="I45" s="155" t="s">
        <v>601</v>
      </c>
      <c r="J45" s="155">
        <v>100000</v>
      </c>
      <c r="K45" s="155"/>
      <c r="L45" s="155"/>
      <c r="M45" s="155">
        <f>IFERROR(IF($I45="",0,VLOOKUP($I45,道具定价!$C:$F,4,FALSE)*$J45),0)+IFERROR(IF($K45="",0,VLOOKUP($K45,道具定价!$C:$F,4,FALSE)*$L45),0)</f>
        <v>100</v>
      </c>
      <c r="N45" s="156" t="s">
        <v>2227</v>
      </c>
    </row>
    <row r="46" ht="29" customHeight="1" spans="1:14">
      <c r="A46" s="155" t="s">
        <v>2201</v>
      </c>
      <c r="B46" s="155">
        <v>9</v>
      </c>
      <c r="C46" s="155" t="s">
        <v>2202</v>
      </c>
      <c r="D46" s="157" t="s">
        <v>2228</v>
      </c>
      <c r="E46" s="163" t="s">
        <v>2229</v>
      </c>
      <c r="F46" s="157" t="s">
        <v>2230</v>
      </c>
      <c r="G46" s="154" t="s">
        <v>2131</v>
      </c>
      <c r="H46" s="155">
        <v>10</v>
      </c>
      <c r="I46" s="155" t="s">
        <v>700</v>
      </c>
      <c r="J46" s="155">
        <v>10000</v>
      </c>
      <c r="K46" s="155"/>
      <c r="L46" s="155"/>
      <c r="M46" s="155">
        <f>IFERROR(IF($I46="",0,VLOOKUP($I46,道具定价!$C:$F,4,FALSE)*$J46),0)+IFERROR(IF($K46="",0,VLOOKUP($K46,道具定价!$C:$F,4,FALSE)*$L46),0)</f>
        <v>100</v>
      </c>
      <c r="N46" s="156" t="s">
        <v>2231</v>
      </c>
    </row>
    <row r="47" ht="35" customHeight="1" spans="1:14">
      <c r="A47" s="155" t="s">
        <v>2201</v>
      </c>
      <c r="B47" s="155">
        <v>10</v>
      </c>
      <c r="C47" s="155" t="s">
        <v>2202</v>
      </c>
      <c r="D47" s="157" t="s">
        <v>2232</v>
      </c>
      <c r="E47" s="163" t="s">
        <v>2233</v>
      </c>
      <c r="F47" s="157" t="s">
        <v>2190</v>
      </c>
      <c r="G47" s="154" t="s">
        <v>2131</v>
      </c>
      <c r="H47" s="155">
        <v>10</v>
      </c>
      <c r="I47" s="155" t="s">
        <v>700</v>
      </c>
      <c r="J47" s="155">
        <v>10000</v>
      </c>
      <c r="K47" s="155"/>
      <c r="L47" s="155"/>
      <c r="M47" s="155">
        <f>IFERROR(IF($I47="",0,VLOOKUP($I47,道具定价!$C:$F,4,FALSE)*$J47),0)+IFERROR(IF($K47="",0,VLOOKUP($K47,道具定价!$C:$F,4,FALSE)*$L47),0)</f>
        <v>100</v>
      </c>
      <c r="N47" s="156" t="s">
        <v>2234</v>
      </c>
    </row>
    <row r="48" ht="13.5" customHeight="1" spans="1:14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</row>
    <row r="49" ht="22" customHeight="1" spans="1:14">
      <c r="A49" s="165">
        <v>4</v>
      </c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</row>
    <row r="50" ht="13.5" customHeight="1" spans="1:14">
      <c r="A50" s="153" t="s">
        <v>2235</v>
      </c>
      <c r="B50" s="153">
        <v>1</v>
      </c>
      <c r="C50" s="153" t="s">
        <v>2236</v>
      </c>
      <c r="D50" s="154" t="s">
        <v>2237</v>
      </c>
      <c r="E50" s="154" t="s">
        <v>2134</v>
      </c>
      <c r="F50" s="154" t="s">
        <v>2238</v>
      </c>
      <c r="G50" s="154" t="s">
        <v>2131</v>
      </c>
      <c r="H50" s="153">
        <v>10</v>
      </c>
      <c r="I50" s="155" t="s">
        <v>606</v>
      </c>
      <c r="J50" s="155">
        <v>2</v>
      </c>
      <c r="K50" s="153"/>
      <c r="L50" s="153"/>
      <c r="M50" s="153">
        <f>IFERROR(IF($I50="",0,VLOOKUP($I50,道具定价!$C:$F,4,FALSE)*$J50),0)+IFERROR(IF($K50="",0,VLOOKUP($K50,道具定价!$C:$F,4,FALSE)*$L50),0)</f>
        <v>480</v>
      </c>
      <c r="N50" s="154" t="s">
        <v>2239</v>
      </c>
    </row>
    <row r="51" ht="13.5" customHeight="1" spans="1:14">
      <c r="A51" s="155" t="s">
        <v>2235</v>
      </c>
      <c r="B51" s="155">
        <v>2</v>
      </c>
      <c r="C51" s="155" t="s">
        <v>2236</v>
      </c>
      <c r="D51" s="156" t="s">
        <v>2240</v>
      </c>
      <c r="E51" s="156" t="s">
        <v>2138</v>
      </c>
      <c r="F51" s="156" t="s">
        <v>2241</v>
      </c>
      <c r="G51" s="154" t="s">
        <v>2131</v>
      </c>
      <c r="H51" s="155">
        <v>10</v>
      </c>
      <c r="I51" s="155" t="s">
        <v>606</v>
      </c>
      <c r="J51" s="155">
        <v>2</v>
      </c>
      <c r="K51" s="155"/>
      <c r="L51" s="155"/>
      <c r="M51" s="155">
        <f>IFERROR(IF($I51="",0,VLOOKUP($I51,道具定价!$C:$F,4,FALSE)*$J51),0)+IFERROR(IF($K51="",0,VLOOKUP($K51,道具定价!$C:$F,4,FALSE)*$L51),0)</f>
        <v>480</v>
      </c>
      <c r="N51" s="156" t="s">
        <v>2242</v>
      </c>
    </row>
    <row r="52" ht="13.5" customHeight="1" spans="1:14">
      <c r="A52" s="155" t="s">
        <v>2235</v>
      </c>
      <c r="B52" s="155">
        <v>3</v>
      </c>
      <c r="C52" s="155" t="s">
        <v>2236</v>
      </c>
      <c r="D52" s="156" t="s">
        <v>2243</v>
      </c>
      <c r="E52" s="160" t="s">
        <v>2244</v>
      </c>
      <c r="F52" s="156" t="s">
        <v>2245</v>
      </c>
      <c r="G52" s="154" t="s">
        <v>2131</v>
      </c>
      <c r="H52" s="155">
        <v>10</v>
      </c>
      <c r="I52" s="155" t="s">
        <v>607</v>
      </c>
      <c r="J52" s="155">
        <v>10</v>
      </c>
      <c r="K52" s="155"/>
      <c r="L52" s="155"/>
      <c r="M52" s="155">
        <f>IFERROR(IF($I52="",0,VLOOKUP($I52,道具定价!$C:$F,4,FALSE)*$J52),0)+IFERROR(IF($K52="",0,VLOOKUP($K52,道具定价!$C:$F,4,FALSE)*$L52),0)</f>
        <v>100</v>
      </c>
      <c r="N52" s="156" t="s">
        <v>2246</v>
      </c>
    </row>
    <row r="53" ht="13.5" customHeight="1" spans="1:14">
      <c r="A53" s="155" t="s">
        <v>2235</v>
      </c>
      <c r="B53" s="155">
        <v>4</v>
      </c>
      <c r="C53" s="155" t="s">
        <v>2236</v>
      </c>
      <c r="D53" s="156" t="s">
        <v>2247</v>
      </c>
      <c r="E53" s="156" t="s">
        <v>2154</v>
      </c>
      <c r="F53" s="156" t="s">
        <v>2248</v>
      </c>
      <c r="G53" s="154" t="s">
        <v>2131</v>
      </c>
      <c r="H53" s="155">
        <v>10</v>
      </c>
      <c r="I53" s="155" t="s">
        <v>670</v>
      </c>
      <c r="J53" s="155">
        <v>10</v>
      </c>
      <c r="K53" s="155"/>
      <c r="L53" s="155"/>
      <c r="M53" s="155">
        <f>IFERROR(IF($I53="",0,VLOOKUP($I53,道具定价!$C:$F,4,FALSE)*$J53),0)+IFERROR(IF($K53="",0,VLOOKUP($K53,道具定价!$C:$F,4,FALSE)*$L53),0)</f>
        <v>100</v>
      </c>
      <c r="N53" s="156" t="s">
        <v>2249</v>
      </c>
    </row>
    <row r="54" ht="13.5" customHeight="1" spans="1:14">
      <c r="A54" s="155" t="s">
        <v>2235</v>
      </c>
      <c r="B54" s="155">
        <v>5</v>
      </c>
      <c r="C54" s="155" t="s">
        <v>2236</v>
      </c>
      <c r="D54" s="156" t="s">
        <v>2250</v>
      </c>
      <c r="E54" s="156" t="s">
        <v>2146</v>
      </c>
      <c r="F54" s="156" t="s">
        <v>2251</v>
      </c>
      <c r="G54" s="154" t="s">
        <v>2131</v>
      </c>
      <c r="H54" s="155">
        <v>10</v>
      </c>
      <c r="I54" s="155" t="s">
        <v>614</v>
      </c>
      <c r="J54" s="155">
        <v>10</v>
      </c>
      <c r="K54" s="155"/>
      <c r="L54" s="155"/>
      <c r="M54" s="155">
        <f>IFERROR(IF($I54="",0,VLOOKUP($I54,道具定价!$C:$F,4,FALSE)*$J54),0)+IFERROR(IF($K54="",0,VLOOKUP($K54,道具定价!$C:$F,4,FALSE)*$L54),0)</f>
        <v>100</v>
      </c>
      <c r="N54" s="156" t="s">
        <v>2252</v>
      </c>
    </row>
    <row r="55" ht="13.5" customHeight="1" spans="1:14">
      <c r="A55" s="155" t="s">
        <v>2235</v>
      </c>
      <c r="B55" s="155">
        <v>6</v>
      </c>
      <c r="C55" s="155" t="s">
        <v>2236</v>
      </c>
      <c r="D55" s="157" t="s">
        <v>2253</v>
      </c>
      <c r="E55" s="157" t="s">
        <v>2199</v>
      </c>
      <c r="F55" s="157" t="s">
        <v>2254</v>
      </c>
      <c r="G55" s="154" t="s">
        <v>2131</v>
      </c>
      <c r="H55" s="155">
        <v>10</v>
      </c>
      <c r="I55" s="155" t="s">
        <v>605</v>
      </c>
      <c r="J55" s="155">
        <v>100</v>
      </c>
      <c r="K55" s="155"/>
      <c r="L55" s="155"/>
      <c r="M55" s="155">
        <f>IFERROR(IF($I55="",0,VLOOKUP($I55,道具定价!$C:$F,4,FALSE)*$J55),0)+IFERROR(IF($K55="",0,VLOOKUP($K55,道具定价!$C:$F,4,FALSE)*$L55),0)</f>
        <v>100</v>
      </c>
      <c r="N55" s="156" t="s">
        <v>2255</v>
      </c>
    </row>
    <row r="56" ht="13.5" customHeight="1" spans="1:14">
      <c r="A56" s="155" t="s">
        <v>2235</v>
      </c>
      <c r="B56" s="155">
        <v>7</v>
      </c>
      <c r="C56" s="155" t="s">
        <v>2236</v>
      </c>
      <c r="D56" s="156" t="s">
        <v>2256</v>
      </c>
      <c r="E56" s="156" t="s">
        <v>2159</v>
      </c>
      <c r="F56" s="156" t="s">
        <v>2257</v>
      </c>
      <c r="G56" s="154" t="s">
        <v>2131</v>
      </c>
      <c r="H56" s="155">
        <v>10</v>
      </c>
      <c r="I56" s="155" t="s">
        <v>728</v>
      </c>
      <c r="J56" s="155">
        <v>10000</v>
      </c>
      <c r="K56" s="155"/>
      <c r="L56" s="155"/>
      <c r="M56" s="155">
        <f>IFERROR(IF($I56="",0,VLOOKUP($I56,道具定价!$C:$F,4,FALSE)*$J56),0)+IFERROR(IF($K56="",0,VLOOKUP($K56,道具定价!$C:$F,4,FALSE)*$L56),0)</f>
        <v>100</v>
      </c>
      <c r="N56" s="156" t="s">
        <v>2258</v>
      </c>
    </row>
    <row r="57" ht="22" customHeight="1" spans="1:14">
      <c r="A57" s="155" t="s">
        <v>2235</v>
      </c>
      <c r="B57" s="155">
        <v>8</v>
      </c>
      <c r="C57" s="155" t="s">
        <v>2236</v>
      </c>
      <c r="D57" s="157" t="s">
        <v>2259</v>
      </c>
      <c r="E57" s="157" t="s">
        <v>2260</v>
      </c>
      <c r="F57" s="157" t="s">
        <v>2261</v>
      </c>
      <c r="G57" s="154" t="s">
        <v>2131</v>
      </c>
      <c r="H57" s="155">
        <v>10</v>
      </c>
      <c r="I57" s="155" t="s">
        <v>601</v>
      </c>
      <c r="J57" s="155">
        <v>100000</v>
      </c>
      <c r="K57" s="155"/>
      <c r="L57" s="155"/>
      <c r="M57" s="155">
        <f>IFERROR(IF($I57="",0,VLOOKUP($I57,道具定价!$C:$F,4,FALSE)*$J57),0)+IFERROR(IF($K57="",0,VLOOKUP($K57,道具定价!$C:$F,4,FALSE)*$L57),0)</f>
        <v>100</v>
      </c>
      <c r="N57" s="156" t="s">
        <v>2262</v>
      </c>
    </row>
    <row r="58" ht="31" customHeight="1" spans="1:14">
      <c r="A58" s="155" t="s">
        <v>2235</v>
      </c>
      <c r="B58" s="155">
        <v>9</v>
      </c>
      <c r="C58" s="155" t="s">
        <v>2236</v>
      </c>
      <c r="D58" s="157" t="s">
        <v>2263</v>
      </c>
      <c r="E58" s="157" t="s">
        <v>2138</v>
      </c>
      <c r="F58" s="157" t="s">
        <v>2264</v>
      </c>
      <c r="G58" s="154" t="s">
        <v>2131</v>
      </c>
      <c r="H58" s="155">
        <v>10</v>
      </c>
      <c r="I58" s="155" t="s">
        <v>728</v>
      </c>
      <c r="J58" s="155">
        <v>10000</v>
      </c>
      <c r="K58" s="155"/>
      <c r="L58" s="155"/>
      <c r="M58" s="155">
        <f>IFERROR(IF($I58="",0,VLOOKUP($I58,道具定价!$C:$F,4,FALSE)*$J58),0)+IFERROR(IF($K58="",0,VLOOKUP($K58,道具定价!$C:$F,4,FALSE)*$L58),0)</f>
        <v>100</v>
      </c>
      <c r="N58" s="156" t="s">
        <v>2265</v>
      </c>
    </row>
    <row r="59" ht="29" customHeight="1" spans="1:14">
      <c r="A59" s="155" t="s">
        <v>2235</v>
      </c>
      <c r="B59" s="155">
        <v>10</v>
      </c>
      <c r="C59" s="155" t="s">
        <v>2236</v>
      </c>
      <c r="D59" s="157" t="s">
        <v>2266</v>
      </c>
      <c r="E59" s="163" t="s">
        <v>2229</v>
      </c>
      <c r="F59" s="157" t="s">
        <v>2130</v>
      </c>
      <c r="G59" s="154" t="s">
        <v>2131</v>
      </c>
      <c r="H59" s="155">
        <v>10</v>
      </c>
      <c r="I59" s="155" t="s">
        <v>700</v>
      </c>
      <c r="J59" s="155">
        <v>10000</v>
      </c>
      <c r="K59" s="155"/>
      <c r="L59" s="155"/>
      <c r="M59" s="155">
        <f>IFERROR(IF($I59="",0,VLOOKUP($I59,道具定价!$C:$F,4,FALSE)*$J59),0)+IFERROR(IF($K59="",0,VLOOKUP($K59,道具定价!$C:$F,4,FALSE)*$L59),0)</f>
        <v>100</v>
      </c>
      <c r="N59" s="156" t="s">
        <v>2267</v>
      </c>
    </row>
    <row r="60" ht="13.5" customHeight="1" spans="1:14">
      <c r="A60" s="146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</row>
    <row r="61" ht="22" customHeight="1" spans="1:14">
      <c r="A61" s="166">
        <v>5</v>
      </c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</row>
    <row r="62" ht="27" customHeight="1" spans="1:14">
      <c r="A62" s="153" t="s">
        <v>2268</v>
      </c>
      <c r="B62" s="153">
        <v>1</v>
      </c>
      <c r="C62" s="153" t="s">
        <v>2269</v>
      </c>
      <c r="D62" s="154" t="s">
        <v>2270</v>
      </c>
      <c r="E62" s="154" t="s">
        <v>2134</v>
      </c>
      <c r="F62" s="154" t="s">
        <v>2271</v>
      </c>
      <c r="G62" s="154" t="s">
        <v>2131</v>
      </c>
      <c r="H62" s="153">
        <v>10</v>
      </c>
      <c r="I62" s="155" t="s">
        <v>606</v>
      </c>
      <c r="J62" s="155">
        <v>2</v>
      </c>
      <c r="K62" s="153"/>
      <c r="L62" s="153"/>
      <c r="M62" s="153">
        <f>IFERROR(IF($I62="",0,VLOOKUP($I62,道具定价!$C:$F,4,FALSE)*$J62),0)+IFERROR(IF($K62="",0,VLOOKUP($K62,道具定价!$C:$F,4,FALSE)*$L62),0)</f>
        <v>480</v>
      </c>
      <c r="N62" s="154" t="s">
        <v>2272</v>
      </c>
    </row>
    <row r="63" ht="27" customHeight="1" spans="1:14">
      <c r="A63" s="155" t="s">
        <v>2268</v>
      </c>
      <c r="B63" s="155">
        <v>2</v>
      </c>
      <c r="C63" s="155" t="s">
        <v>2269</v>
      </c>
      <c r="D63" s="156" t="s">
        <v>2273</v>
      </c>
      <c r="E63" s="156" t="s">
        <v>2138</v>
      </c>
      <c r="F63" s="156" t="s">
        <v>2274</v>
      </c>
      <c r="G63" s="154" t="s">
        <v>2131</v>
      </c>
      <c r="H63" s="155">
        <v>10</v>
      </c>
      <c r="I63" s="155" t="s">
        <v>606</v>
      </c>
      <c r="J63" s="155">
        <v>2</v>
      </c>
      <c r="K63" s="155"/>
      <c r="L63" s="155"/>
      <c r="M63" s="155">
        <f>IFERROR(IF($I63="",0,VLOOKUP($I63,道具定价!$C:$F,4,FALSE)*$J63),0)+IFERROR(IF($K63="",0,VLOOKUP($K63,道具定价!$C:$F,4,FALSE)*$L63),0)</f>
        <v>480</v>
      </c>
      <c r="N63" s="156" t="s">
        <v>2275</v>
      </c>
    </row>
    <row r="64" ht="13.5" customHeight="1" spans="1:14">
      <c r="A64" s="155" t="s">
        <v>2268</v>
      </c>
      <c r="B64" s="155">
        <v>3</v>
      </c>
      <c r="C64" s="155" t="s">
        <v>2269</v>
      </c>
      <c r="D64" s="156" t="s">
        <v>2276</v>
      </c>
      <c r="E64" s="156" t="s">
        <v>2154</v>
      </c>
      <c r="F64" s="156" t="s">
        <v>2277</v>
      </c>
      <c r="G64" s="154" t="s">
        <v>2131</v>
      </c>
      <c r="H64" s="155">
        <v>10</v>
      </c>
      <c r="I64" s="155" t="s">
        <v>614</v>
      </c>
      <c r="J64" s="155">
        <v>10</v>
      </c>
      <c r="K64" s="155"/>
      <c r="L64" s="155"/>
      <c r="M64" s="155">
        <f>IFERROR(IF($I64="",0,VLOOKUP($I64,道具定价!$C:$F,4,FALSE)*$J64),0)+IFERROR(IF($K64="",0,VLOOKUP($K64,道具定价!$C:$F,4,FALSE)*$L64),0)</f>
        <v>100</v>
      </c>
      <c r="N64" s="156" t="s">
        <v>2278</v>
      </c>
    </row>
    <row r="65" ht="13.5" customHeight="1" spans="1:14">
      <c r="A65" s="155" t="s">
        <v>2268</v>
      </c>
      <c r="B65" s="155">
        <v>4</v>
      </c>
      <c r="C65" s="155" t="s">
        <v>2269</v>
      </c>
      <c r="D65" s="157" t="s">
        <v>2279</v>
      </c>
      <c r="E65" s="157" t="s">
        <v>2260</v>
      </c>
      <c r="F65" s="157" t="s">
        <v>2280</v>
      </c>
      <c r="G65" s="154" t="s">
        <v>2131</v>
      </c>
      <c r="H65" s="155">
        <v>10</v>
      </c>
      <c r="I65" s="155" t="s">
        <v>700</v>
      </c>
      <c r="J65" s="155">
        <v>10000</v>
      </c>
      <c r="K65" s="155"/>
      <c r="L65" s="155"/>
      <c r="M65" s="155">
        <f>IFERROR(IF($I65="",0,VLOOKUP($I65,道具定价!$C:$F,4,FALSE)*$J65),0)+IFERROR(IF($K65="",0,VLOOKUP($K65,道具定价!$C:$F,4,FALSE)*$L65),0)</f>
        <v>100</v>
      </c>
      <c r="N65" s="156" t="s">
        <v>2281</v>
      </c>
    </row>
    <row r="66" ht="27" customHeight="1" spans="1:14">
      <c r="A66" s="155" t="s">
        <v>2268</v>
      </c>
      <c r="B66" s="155">
        <v>5</v>
      </c>
      <c r="C66" s="155" t="s">
        <v>2269</v>
      </c>
      <c r="D66" s="162" t="s">
        <v>2282</v>
      </c>
      <c r="E66" s="167" t="s">
        <v>2210</v>
      </c>
      <c r="F66" s="162" t="s">
        <v>2130</v>
      </c>
      <c r="G66" s="154" t="s">
        <v>2131</v>
      </c>
      <c r="H66" s="168">
        <v>10</v>
      </c>
      <c r="I66" s="168" t="s">
        <v>729</v>
      </c>
      <c r="J66" s="168">
        <v>50</v>
      </c>
      <c r="K66" s="155"/>
      <c r="L66" s="155"/>
      <c r="M66" s="155">
        <f>IFERROR(IF($I66="",0,VLOOKUP($I66,道具定价!$C:$F,4,FALSE)*$J66),0)+IFERROR(IF($K66="",0,VLOOKUP($K66,道具定价!$C:$F,4,FALSE)*$L66),0)</f>
        <v>100</v>
      </c>
      <c r="N66" s="156" t="s">
        <v>2283</v>
      </c>
    </row>
    <row r="67" ht="13.5" customHeight="1" spans="1:14">
      <c r="A67" s="155" t="s">
        <v>2268</v>
      </c>
      <c r="B67" s="155">
        <v>6</v>
      </c>
      <c r="C67" s="155" t="s">
        <v>2269</v>
      </c>
      <c r="D67" s="157" t="s">
        <v>2284</v>
      </c>
      <c r="E67" s="157" t="s">
        <v>2199</v>
      </c>
      <c r="F67" s="157" t="s">
        <v>2285</v>
      </c>
      <c r="G67" s="154" t="s">
        <v>2131</v>
      </c>
      <c r="H67" s="155">
        <v>10</v>
      </c>
      <c r="I67" s="155" t="s">
        <v>605</v>
      </c>
      <c r="J67" s="155">
        <v>100</v>
      </c>
      <c r="K67" s="155"/>
      <c r="L67" s="155"/>
      <c r="M67" s="155">
        <f>IFERROR(IF($I67="",0,VLOOKUP($I67,道具定价!$C:$F,4,FALSE)*$J67),0)+IFERROR(IF($K67="",0,VLOOKUP($K67,道具定价!$C:$F,4,FALSE)*$L67),0)</f>
        <v>100</v>
      </c>
      <c r="N67" s="156" t="s">
        <v>2286</v>
      </c>
    </row>
    <row r="68" ht="27" customHeight="1" spans="1:14">
      <c r="A68" s="155" t="s">
        <v>2268</v>
      </c>
      <c r="B68" s="155">
        <v>7</v>
      </c>
      <c r="C68" s="155" t="s">
        <v>2269</v>
      </c>
      <c r="D68" s="156" t="s">
        <v>2287</v>
      </c>
      <c r="E68" s="160" t="s">
        <v>2244</v>
      </c>
      <c r="F68" s="156" t="s">
        <v>2288</v>
      </c>
      <c r="G68" s="154" t="s">
        <v>2131</v>
      </c>
      <c r="H68" s="155">
        <v>10</v>
      </c>
      <c r="I68" s="155" t="s">
        <v>607</v>
      </c>
      <c r="J68" s="155">
        <v>20</v>
      </c>
      <c r="K68" s="155"/>
      <c r="L68" s="155"/>
      <c r="M68" s="155">
        <f>IFERROR(IF($I68="",0,VLOOKUP($I68,道具定价!$C:$F,4,FALSE)*$J68),0)+IFERROR(IF($K68="",0,VLOOKUP($K68,道具定价!$C:$F,4,FALSE)*$L68),0)</f>
        <v>200</v>
      </c>
      <c r="N68" s="156" t="s">
        <v>2289</v>
      </c>
    </row>
    <row r="69" ht="13.5" customHeight="1" spans="1:14">
      <c r="A69" s="155" t="s">
        <v>2268</v>
      </c>
      <c r="B69" s="155">
        <v>8</v>
      </c>
      <c r="C69" s="155" t="s">
        <v>2269</v>
      </c>
      <c r="D69" s="156" t="s">
        <v>2290</v>
      </c>
      <c r="E69" s="156" t="s">
        <v>2166</v>
      </c>
      <c r="F69" s="156" t="s">
        <v>2291</v>
      </c>
      <c r="G69" s="154" t="s">
        <v>2131</v>
      </c>
      <c r="H69" s="155">
        <v>10</v>
      </c>
      <c r="I69" s="155" t="s">
        <v>601</v>
      </c>
      <c r="J69" s="155">
        <v>100000</v>
      </c>
      <c r="K69" s="155"/>
      <c r="L69" s="155"/>
      <c r="M69" s="155">
        <f>IFERROR(IF($I69="",0,VLOOKUP($I69,道具定价!$C:$F,4,FALSE)*$J69),0)+IFERROR(IF($K69="",0,VLOOKUP($K69,道具定价!$C:$F,4,FALSE)*$L69),0)</f>
        <v>100</v>
      </c>
      <c r="N69" s="156" t="s">
        <v>2292</v>
      </c>
    </row>
    <row r="70" ht="13.5" customHeight="1" spans="1:14">
      <c r="A70" s="155" t="s">
        <v>2268</v>
      </c>
      <c r="B70" s="155">
        <v>9</v>
      </c>
      <c r="C70" s="155" t="s">
        <v>2269</v>
      </c>
      <c r="D70" s="157" t="s">
        <v>2293</v>
      </c>
      <c r="E70" s="157" t="s">
        <v>2138</v>
      </c>
      <c r="F70" s="157" t="s">
        <v>2294</v>
      </c>
      <c r="G70" s="154" t="s">
        <v>2131</v>
      </c>
      <c r="H70" s="155">
        <v>10</v>
      </c>
      <c r="I70" s="155" t="s">
        <v>700</v>
      </c>
      <c r="J70" s="155">
        <v>10000</v>
      </c>
      <c r="K70" s="155"/>
      <c r="L70" s="155"/>
      <c r="M70" s="155">
        <f>IFERROR(IF($I70="",0,VLOOKUP($I70,道具定价!$C:$F,4,FALSE)*$J70),0)+IFERROR(IF($K70="",0,VLOOKUP($K70,道具定价!$C:$F,4,FALSE)*$L70),0)</f>
        <v>100</v>
      </c>
      <c r="N70" s="156" t="s">
        <v>2295</v>
      </c>
    </row>
    <row r="71" ht="13.5" customHeight="1" spans="1:14">
      <c r="A71" s="155" t="s">
        <v>2268</v>
      </c>
      <c r="B71" s="155">
        <v>10</v>
      </c>
      <c r="C71" s="155" t="s">
        <v>2269</v>
      </c>
      <c r="D71" s="157" t="s">
        <v>2296</v>
      </c>
      <c r="E71" s="163" t="s">
        <v>2229</v>
      </c>
      <c r="F71" s="157" t="s">
        <v>2297</v>
      </c>
      <c r="G71" s="154" t="s">
        <v>2131</v>
      </c>
      <c r="H71" s="155">
        <v>10</v>
      </c>
      <c r="I71" s="155" t="s">
        <v>700</v>
      </c>
      <c r="J71" s="155">
        <v>10000</v>
      </c>
      <c r="K71" s="155"/>
      <c r="L71" s="155"/>
      <c r="M71" s="155">
        <f>IFERROR(IF($I71="",0,VLOOKUP($I71,道具定价!$C:$F,4,FALSE)*$J71),0)+IFERROR(IF($K71="",0,VLOOKUP($K71,道具定价!$C:$F,4,FALSE)*$L71),0)</f>
        <v>100</v>
      </c>
      <c r="N71" s="156" t="s">
        <v>2298</v>
      </c>
    </row>
    <row r="72" ht="13.5" customHeight="1" spans="1:14">
      <c r="A72" s="146"/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</row>
    <row r="73" ht="22" customHeight="1" spans="1:14">
      <c r="A73" s="169">
        <v>6</v>
      </c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</row>
    <row r="74" ht="27" customHeight="1" spans="1:14">
      <c r="A74" s="153" t="s">
        <v>2299</v>
      </c>
      <c r="B74" s="153">
        <v>1</v>
      </c>
      <c r="C74" s="153" t="s">
        <v>2300</v>
      </c>
      <c r="D74" s="154" t="s">
        <v>2301</v>
      </c>
      <c r="E74" s="154" t="s">
        <v>2134</v>
      </c>
      <c r="F74" s="154" t="s">
        <v>2223</v>
      </c>
      <c r="G74" s="154" t="s">
        <v>2131</v>
      </c>
      <c r="H74" s="153">
        <v>10</v>
      </c>
      <c r="I74" s="155" t="s">
        <v>606</v>
      </c>
      <c r="J74" s="155">
        <v>2</v>
      </c>
      <c r="K74" s="153"/>
      <c r="L74" s="153"/>
      <c r="M74" s="153">
        <f>IFERROR(IF($I74="",0,VLOOKUP($I74,道具定价!$C:$F,4,FALSE)*$J74),0)+IFERROR(IF($K74="",0,VLOOKUP($K74,道具定价!$C:$F,4,FALSE)*$L74),0)</f>
        <v>480</v>
      </c>
      <c r="N74" s="154" t="s">
        <v>2302</v>
      </c>
    </row>
    <row r="75" ht="13.5" customHeight="1" spans="1:14">
      <c r="A75" s="155" t="s">
        <v>2299</v>
      </c>
      <c r="B75" s="155">
        <v>2</v>
      </c>
      <c r="C75" s="155" t="s">
        <v>2300</v>
      </c>
      <c r="D75" s="156" t="s">
        <v>2303</v>
      </c>
      <c r="E75" s="156" t="s">
        <v>2138</v>
      </c>
      <c r="F75" s="156" t="s">
        <v>2304</v>
      </c>
      <c r="G75" s="154" t="s">
        <v>2131</v>
      </c>
      <c r="H75" s="155">
        <v>10</v>
      </c>
      <c r="I75" s="155" t="s">
        <v>606</v>
      </c>
      <c r="J75" s="155">
        <v>2</v>
      </c>
      <c r="K75" s="155"/>
      <c r="L75" s="155"/>
      <c r="M75" s="155">
        <f>IFERROR(IF($I75="",0,VLOOKUP($I75,道具定价!$C:$F,4,FALSE)*$J75),0)+IFERROR(IF($K75="",0,VLOOKUP($K75,道具定价!$C:$F,4,FALSE)*$L75),0)</f>
        <v>480</v>
      </c>
      <c r="N75" s="156" t="s">
        <v>2305</v>
      </c>
    </row>
    <row r="76" ht="13.5" customHeight="1" spans="1:14">
      <c r="A76" s="155" t="s">
        <v>2299</v>
      </c>
      <c r="B76" s="155">
        <v>3</v>
      </c>
      <c r="C76" s="155" t="s">
        <v>2300</v>
      </c>
      <c r="D76" s="157" t="s">
        <v>2306</v>
      </c>
      <c r="E76" s="157" t="s">
        <v>2260</v>
      </c>
      <c r="F76" s="157" t="s">
        <v>2307</v>
      </c>
      <c r="G76" s="154" t="s">
        <v>2131</v>
      </c>
      <c r="H76" s="155">
        <v>10</v>
      </c>
      <c r="I76" s="155" t="s">
        <v>700</v>
      </c>
      <c r="J76" s="155">
        <v>10000</v>
      </c>
      <c r="K76" s="155"/>
      <c r="L76" s="155"/>
      <c r="M76" s="155">
        <f>IFERROR(IF($I76="",0,VLOOKUP($I76,道具定价!$C:$F,4,FALSE)*$J76),0)+IFERROR(IF($K76="",0,VLOOKUP($K76,道具定价!$C:$F,4,FALSE)*$L76),0)</f>
        <v>100</v>
      </c>
      <c r="N76" s="156" t="s">
        <v>2308</v>
      </c>
    </row>
    <row r="77" ht="27" customHeight="1" spans="1:14">
      <c r="A77" s="155" t="s">
        <v>2299</v>
      </c>
      <c r="B77" s="155">
        <v>4</v>
      </c>
      <c r="C77" s="155" t="s">
        <v>2300</v>
      </c>
      <c r="D77" s="156" t="s">
        <v>2309</v>
      </c>
      <c r="E77" s="160" t="s">
        <v>2244</v>
      </c>
      <c r="F77" s="156" t="s">
        <v>2310</v>
      </c>
      <c r="G77" s="154" t="s">
        <v>2131</v>
      </c>
      <c r="H77" s="155">
        <v>10</v>
      </c>
      <c r="I77" s="155" t="s">
        <v>607</v>
      </c>
      <c r="J77" s="155">
        <v>20</v>
      </c>
      <c r="K77" s="155"/>
      <c r="L77" s="155"/>
      <c r="M77" s="155">
        <f>IFERROR(IF($I77="",0,VLOOKUP($I77,道具定价!$C:$F,4,FALSE)*$J77),0)+IFERROR(IF($K77="",0,VLOOKUP($K77,道具定价!$C:$F,4,FALSE)*$L77),0)</f>
        <v>200</v>
      </c>
      <c r="N77" s="156" t="s">
        <v>2311</v>
      </c>
    </row>
    <row r="78" ht="33" customHeight="1" spans="1:14">
      <c r="A78" s="155" t="s">
        <v>2299</v>
      </c>
      <c r="B78" s="155">
        <v>5</v>
      </c>
      <c r="C78" s="155" t="s">
        <v>2300</v>
      </c>
      <c r="D78" s="156" t="s">
        <v>2312</v>
      </c>
      <c r="E78" s="156" t="s">
        <v>2154</v>
      </c>
      <c r="F78" s="156" t="s">
        <v>2313</v>
      </c>
      <c r="G78" s="154" t="s">
        <v>2131</v>
      </c>
      <c r="H78" s="155">
        <v>10</v>
      </c>
      <c r="I78" s="155" t="s">
        <v>614</v>
      </c>
      <c r="J78" s="155">
        <v>10</v>
      </c>
      <c r="K78" s="155"/>
      <c r="L78" s="155"/>
      <c r="M78" s="155">
        <f>IFERROR(IF($I78="",0,VLOOKUP($I78,道具定价!$C:$F,4,FALSE)*$J78),0)+IFERROR(IF($K78="",0,VLOOKUP($K78,道具定价!$C:$F,4,FALSE)*$L78),0)</f>
        <v>100</v>
      </c>
      <c r="N78" s="156" t="s">
        <v>2314</v>
      </c>
    </row>
    <row r="79" ht="22" customHeight="1" spans="1:14">
      <c r="A79" s="155" t="s">
        <v>2299</v>
      </c>
      <c r="B79" s="155">
        <v>6</v>
      </c>
      <c r="C79" s="155" t="s">
        <v>2300</v>
      </c>
      <c r="D79" s="156" t="s">
        <v>2315</v>
      </c>
      <c r="E79" s="156" t="s">
        <v>2199</v>
      </c>
      <c r="F79" s="156" t="s">
        <v>2316</v>
      </c>
      <c r="G79" s="154" t="s">
        <v>2131</v>
      </c>
      <c r="H79" s="155">
        <v>10</v>
      </c>
      <c r="I79" s="155" t="s">
        <v>605</v>
      </c>
      <c r="J79" s="155">
        <v>100</v>
      </c>
      <c r="K79" s="155"/>
      <c r="L79" s="155"/>
      <c r="M79" s="155">
        <f>IFERROR(IF($I79="",0,VLOOKUP($I79,道具定价!$C:$F,4,FALSE)*$J79),0)+IFERROR(IF($K79="",0,VLOOKUP($K79,道具定价!$C:$F,4,FALSE)*$L79),0)</f>
        <v>100</v>
      </c>
      <c r="N79" s="156" t="s">
        <v>2317</v>
      </c>
    </row>
    <row r="80" ht="13.5" customHeight="1" spans="1:14">
      <c r="A80" s="155" t="s">
        <v>2299</v>
      </c>
      <c r="B80" s="155">
        <v>7</v>
      </c>
      <c r="C80" s="155" t="s">
        <v>2300</v>
      </c>
      <c r="D80" s="157" t="s">
        <v>2318</v>
      </c>
      <c r="E80" s="163" t="s">
        <v>2210</v>
      </c>
      <c r="F80" s="157" t="s">
        <v>2297</v>
      </c>
      <c r="G80" s="154" t="s">
        <v>2131</v>
      </c>
      <c r="H80" s="164">
        <v>10</v>
      </c>
      <c r="I80" s="164" t="s">
        <v>729</v>
      </c>
      <c r="J80" s="164">
        <v>50</v>
      </c>
      <c r="K80" s="155"/>
      <c r="L80" s="155"/>
      <c r="M80" s="155">
        <f>IFERROR(IF($I80="",0,VLOOKUP($I80,道具定价!$C:$F,4,FALSE)*$J80),0)+IFERROR(IF($K80="",0,VLOOKUP($K80,道具定价!$C:$F,4,FALSE)*$L80),0)</f>
        <v>100</v>
      </c>
      <c r="N80" s="156" t="s">
        <v>2319</v>
      </c>
    </row>
    <row r="81" ht="13.5" customHeight="1" spans="1:14">
      <c r="A81" s="155" t="s">
        <v>2299</v>
      </c>
      <c r="B81" s="155">
        <v>8</v>
      </c>
      <c r="C81" s="155" t="s">
        <v>2300</v>
      </c>
      <c r="D81" s="156" t="s">
        <v>2320</v>
      </c>
      <c r="E81" s="156" t="s">
        <v>2166</v>
      </c>
      <c r="F81" s="156" t="s">
        <v>2321</v>
      </c>
      <c r="G81" s="154" t="s">
        <v>2131</v>
      </c>
      <c r="H81" s="155">
        <v>10</v>
      </c>
      <c r="I81" s="155" t="s">
        <v>601</v>
      </c>
      <c r="J81" s="155">
        <v>100000</v>
      </c>
      <c r="K81" s="155"/>
      <c r="L81" s="155"/>
      <c r="M81" s="155">
        <f>IFERROR(IF($I81="",0,VLOOKUP($I81,道具定价!$C:$F,4,FALSE)*$J81),0)+IFERROR(IF($K81="",0,VLOOKUP($K81,道具定价!$C:$F,4,FALSE)*$L81),0)</f>
        <v>100</v>
      </c>
      <c r="N81" s="156" t="s">
        <v>2322</v>
      </c>
    </row>
    <row r="82" ht="13.5" customHeight="1" spans="1:14">
      <c r="A82" s="155" t="s">
        <v>2299</v>
      </c>
      <c r="B82" s="155">
        <v>9</v>
      </c>
      <c r="C82" s="155" t="s">
        <v>2300</v>
      </c>
      <c r="D82" s="157" t="s">
        <v>2323</v>
      </c>
      <c r="E82" s="157" t="s">
        <v>2138</v>
      </c>
      <c r="F82" s="157" t="s">
        <v>2324</v>
      </c>
      <c r="G82" s="154" t="s">
        <v>2131</v>
      </c>
      <c r="H82" s="155">
        <v>10</v>
      </c>
      <c r="I82" s="155" t="s">
        <v>728</v>
      </c>
      <c r="J82" s="155">
        <v>10000</v>
      </c>
      <c r="K82" s="155"/>
      <c r="L82" s="155"/>
      <c r="M82" s="155">
        <f>IFERROR(IF($I82="",0,VLOOKUP($I82,道具定价!$C:$F,4,FALSE)*$J82),0)+IFERROR(IF($K82="",0,VLOOKUP($K82,道具定价!$C:$F,4,FALSE)*$L82),0)</f>
        <v>100</v>
      </c>
      <c r="N82" s="156" t="s">
        <v>2325</v>
      </c>
    </row>
    <row r="83" ht="13.5" customHeight="1" spans="1:14">
      <c r="A83" s="155" t="s">
        <v>2299</v>
      </c>
      <c r="B83" s="155">
        <v>10</v>
      </c>
      <c r="C83" s="155" t="s">
        <v>2300</v>
      </c>
      <c r="D83" s="157" t="s">
        <v>2326</v>
      </c>
      <c r="E83" s="163" t="s">
        <v>2229</v>
      </c>
      <c r="F83" s="157" t="s">
        <v>2327</v>
      </c>
      <c r="G83" s="154" t="s">
        <v>2131</v>
      </c>
      <c r="H83" s="155">
        <v>10</v>
      </c>
      <c r="I83" s="155" t="s">
        <v>700</v>
      </c>
      <c r="J83" s="155">
        <v>10000</v>
      </c>
      <c r="K83" s="155"/>
      <c r="L83" s="155"/>
      <c r="M83" s="155">
        <f>IFERROR(IF($I83="",0,VLOOKUP($I83,道具定价!$C:$F,4,FALSE)*$J83),0)+IFERROR(IF($K83="",0,VLOOKUP($K83,道具定价!$C:$F,4,FALSE)*$L83),0)</f>
        <v>100</v>
      </c>
      <c r="N83" s="156" t="s">
        <v>2328</v>
      </c>
    </row>
    <row r="84" ht="13.5" customHeight="1" spans="1:14">
      <c r="A84" s="146"/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</row>
    <row r="85" ht="22" customHeight="1" spans="1:14">
      <c r="A85" s="170">
        <v>7</v>
      </c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</row>
    <row r="86" ht="27" customHeight="1" spans="1:14">
      <c r="A86" s="153" t="s">
        <v>2329</v>
      </c>
      <c r="B86" s="153">
        <v>1</v>
      </c>
      <c r="C86" s="153" t="s">
        <v>2330</v>
      </c>
      <c r="D86" s="154" t="s">
        <v>2331</v>
      </c>
      <c r="E86" s="154" t="s">
        <v>2134</v>
      </c>
      <c r="F86" s="154" t="s">
        <v>2332</v>
      </c>
      <c r="G86" s="154" t="s">
        <v>2131</v>
      </c>
      <c r="H86" s="153">
        <v>10</v>
      </c>
      <c r="I86" s="155" t="s">
        <v>606</v>
      </c>
      <c r="J86" s="155">
        <v>2</v>
      </c>
      <c r="K86" s="153"/>
      <c r="L86" s="153"/>
      <c r="M86" s="153">
        <f>IFERROR(IF($I86="",0,VLOOKUP($I86,道具定价!$C:$F,4,FALSE)*$J86),0)+IFERROR(IF($K86="",0,VLOOKUP($K86,道具定价!$C:$F,4,FALSE)*$L86),0)</f>
        <v>480</v>
      </c>
      <c r="N86" s="154" t="s">
        <v>2333</v>
      </c>
    </row>
    <row r="87" ht="13.5" customHeight="1" spans="1:14">
      <c r="A87" s="155" t="s">
        <v>2329</v>
      </c>
      <c r="B87" s="155">
        <v>2</v>
      </c>
      <c r="C87" s="155" t="s">
        <v>2330</v>
      </c>
      <c r="D87" s="156" t="s">
        <v>2334</v>
      </c>
      <c r="E87" s="156" t="s">
        <v>2138</v>
      </c>
      <c r="F87" s="156" t="s">
        <v>2335</v>
      </c>
      <c r="G87" s="154" t="s">
        <v>2131</v>
      </c>
      <c r="H87" s="155">
        <v>10</v>
      </c>
      <c r="I87" s="155" t="s">
        <v>606</v>
      </c>
      <c r="J87" s="155">
        <v>2</v>
      </c>
      <c r="K87" s="155"/>
      <c r="L87" s="155"/>
      <c r="M87" s="155">
        <f>IFERROR(IF($I87="",0,VLOOKUP($I87,道具定价!$C:$F,4,FALSE)*$J87),0)+IFERROR(IF($K87="",0,VLOOKUP($K87,道具定价!$C:$F,4,FALSE)*$L87),0)</f>
        <v>480</v>
      </c>
      <c r="N87" s="156" t="s">
        <v>2336</v>
      </c>
    </row>
    <row r="88" ht="13.5" customHeight="1" spans="1:14">
      <c r="A88" s="155" t="s">
        <v>2329</v>
      </c>
      <c r="B88" s="155">
        <v>3</v>
      </c>
      <c r="C88" s="155" t="s">
        <v>2330</v>
      </c>
      <c r="D88" s="156" t="s">
        <v>2337</v>
      </c>
      <c r="E88" s="160" t="s">
        <v>2244</v>
      </c>
      <c r="F88" s="156" t="s">
        <v>2338</v>
      </c>
      <c r="G88" s="154" t="s">
        <v>2131</v>
      </c>
      <c r="H88" s="155">
        <v>10</v>
      </c>
      <c r="I88" s="155" t="s">
        <v>607</v>
      </c>
      <c r="J88" s="155">
        <v>20</v>
      </c>
      <c r="K88" s="155"/>
      <c r="L88" s="155"/>
      <c r="M88" s="155">
        <f>IFERROR(IF($I88="",0,VLOOKUP($I88,道具定价!$C:$F,4,FALSE)*$J88),0)+IFERROR(IF($K88="",0,VLOOKUP($K88,道具定价!$C:$F,4,FALSE)*$L88),0)</f>
        <v>200</v>
      </c>
      <c r="N88" s="156" t="s">
        <v>2339</v>
      </c>
    </row>
    <row r="89" ht="13.5" customHeight="1" spans="1:14">
      <c r="A89" s="155" t="s">
        <v>2329</v>
      </c>
      <c r="B89" s="155">
        <v>4</v>
      </c>
      <c r="C89" s="155" t="s">
        <v>2330</v>
      </c>
      <c r="D89" s="157" t="s">
        <v>2340</v>
      </c>
      <c r="E89" s="163" t="s">
        <v>2210</v>
      </c>
      <c r="F89" s="157" t="s">
        <v>2327</v>
      </c>
      <c r="G89" s="154" t="s">
        <v>2131</v>
      </c>
      <c r="H89" s="164">
        <v>10</v>
      </c>
      <c r="I89" s="164" t="s">
        <v>730</v>
      </c>
      <c r="J89" s="164">
        <v>10</v>
      </c>
      <c r="K89" s="155"/>
      <c r="L89" s="155"/>
      <c r="M89" s="155">
        <f>IFERROR(IF($I89="",0,VLOOKUP($I89,道具定价!$C:$F,4,FALSE)*$J89),0)+IFERROR(IF($K89="",0,VLOOKUP($K89,道具定价!$C:$F,4,FALSE)*$L89),0)</f>
        <v>100</v>
      </c>
      <c r="N89" s="156" t="s">
        <v>2341</v>
      </c>
    </row>
    <row r="90" ht="13.5" customHeight="1" spans="1:14">
      <c r="A90" s="155" t="s">
        <v>2329</v>
      </c>
      <c r="B90" s="155">
        <v>5</v>
      </c>
      <c r="C90" s="155" t="s">
        <v>2330</v>
      </c>
      <c r="D90" s="156" t="s">
        <v>2342</v>
      </c>
      <c r="E90" s="156" t="s">
        <v>2154</v>
      </c>
      <c r="F90" s="156" t="s">
        <v>2343</v>
      </c>
      <c r="G90" s="154" t="s">
        <v>2131</v>
      </c>
      <c r="H90" s="155">
        <v>10</v>
      </c>
      <c r="I90" s="155" t="s">
        <v>614</v>
      </c>
      <c r="J90" s="155">
        <v>10</v>
      </c>
      <c r="K90" s="155"/>
      <c r="L90" s="155"/>
      <c r="M90" s="155">
        <f>IFERROR(IF($I90="",0,VLOOKUP($I90,道具定价!$C:$F,4,FALSE)*$J90),0)+IFERROR(IF($K90="",0,VLOOKUP($K90,道具定价!$C:$F,4,FALSE)*$L90),0)</f>
        <v>100</v>
      </c>
      <c r="N90" s="156" t="s">
        <v>2344</v>
      </c>
    </row>
    <row r="91" ht="13.5" customHeight="1" spans="1:14">
      <c r="A91" s="155" t="s">
        <v>2329</v>
      </c>
      <c r="B91" s="155">
        <v>6</v>
      </c>
      <c r="C91" s="155" t="s">
        <v>2330</v>
      </c>
      <c r="D91" s="156" t="s">
        <v>2345</v>
      </c>
      <c r="E91" s="156" t="s">
        <v>2199</v>
      </c>
      <c r="F91" s="156" t="s">
        <v>2346</v>
      </c>
      <c r="G91" s="154" t="s">
        <v>2131</v>
      </c>
      <c r="H91" s="155">
        <v>10</v>
      </c>
      <c r="I91" s="155" t="s">
        <v>605</v>
      </c>
      <c r="J91" s="155">
        <v>100</v>
      </c>
      <c r="K91" s="155"/>
      <c r="L91" s="155"/>
      <c r="M91" s="155">
        <f>IFERROR(IF($I91="",0,VLOOKUP($I91,道具定价!$C:$F,4,FALSE)*$J91),0)+IFERROR(IF($K91="",0,VLOOKUP($K91,道具定价!$C:$F,4,FALSE)*$L91),0)</f>
        <v>100</v>
      </c>
      <c r="N91" s="156" t="s">
        <v>2347</v>
      </c>
    </row>
    <row r="92" ht="13.5" customHeight="1" spans="1:14">
      <c r="A92" s="155" t="s">
        <v>2329</v>
      </c>
      <c r="B92" s="155">
        <v>7</v>
      </c>
      <c r="C92" s="155" t="s">
        <v>2330</v>
      </c>
      <c r="D92" s="157" t="s">
        <v>2348</v>
      </c>
      <c r="E92" s="157" t="s">
        <v>2260</v>
      </c>
      <c r="F92" s="157" t="s">
        <v>2349</v>
      </c>
      <c r="G92" s="154" t="s">
        <v>2131</v>
      </c>
      <c r="H92" s="155">
        <v>10</v>
      </c>
      <c r="I92" s="155" t="s">
        <v>601</v>
      </c>
      <c r="J92" s="155">
        <v>100000</v>
      </c>
      <c r="K92" s="155"/>
      <c r="L92" s="155"/>
      <c r="M92" s="155">
        <f>IFERROR(IF($I92="",0,VLOOKUP($I92,道具定价!$C:$F,4,FALSE)*$J92),0)+IFERROR(IF($K92="",0,VLOOKUP($K92,道具定价!$C:$F,4,FALSE)*$L92),0)</f>
        <v>100</v>
      </c>
      <c r="N92" s="156" t="s">
        <v>2350</v>
      </c>
    </row>
    <row r="93" ht="13.5" customHeight="1" spans="1:14">
      <c r="A93" s="155" t="s">
        <v>2329</v>
      </c>
      <c r="B93" s="155">
        <v>8</v>
      </c>
      <c r="C93" s="155" t="s">
        <v>2330</v>
      </c>
      <c r="D93" s="156" t="s">
        <v>2351</v>
      </c>
      <c r="E93" s="156" t="s">
        <v>2166</v>
      </c>
      <c r="F93" s="156" t="s">
        <v>2352</v>
      </c>
      <c r="G93" s="154" t="s">
        <v>2131</v>
      </c>
      <c r="H93" s="155">
        <v>10</v>
      </c>
      <c r="I93" s="155" t="s">
        <v>601</v>
      </c>
      <c r="J93" s="155">
        <v>100000</v>
      </c>
      <c r="K93" s="155"/>
      <c r="L93" s="155"/>
      <c r="M93" s="155">
        <f>IFERROR(IF($I93="",0,VLOOKUP($I93,道具定价!$C:$F,4,FALSE)*$J93),0)+IFERROR(IF($K93="",0,VLOOKUP($K93,道具定价!$C:$F,4,FALSE)*$L93),0)</f>
        <v>100</v>
      </c>
      <c r="N93" s="156" t="s">
        <v>2353</v>
      </c>
    </row>
    <row r="94" ht="13.5" customHeight="1" spans="1:14">
      <c r="A94" s="155" t="s">
        <v>2329</v>
      </c>
      <c r="B94" s="155">
        <v>9</v>
      </c>
      <c r="C94" s="155" t="s">
        <v>2330</v>
      </c>
      <c r="D94" s="157" t="s">
        <v>2354</v>
      </c>
      <c r="E94" s="157" t="s">
        <v>2138</v>
      </c>
      <c r="F94" s="157" t="s">
        <v>2355</v>
      </c>
      <c r="G94" s="154" t="s">
        <v>2131</v>
      </c>
      <c r="H94" s="155">
        <v>10</v>
      </c>
      <c r="I94" s="155" t="s">
        <v>728</v>
      </c>
      <c r="J94" s="155">
        <v>10000</v>
      </c>
      <c r="K94" s="155"/>
      <c r="L94" s="155"/>
      <c r="M94" s="155">
        <f>IFERROR(IF($I94="",0,VLOOKUP($I94,道具定价!$C:$F,4,FALSE)*$J94),0)+IFERROR(IF($K94="",0,VLOOKUP($K94,道具定价!$C:$F,4,FALSE)*$L94),0)</f>
        <v>100</v>
      </c>
      <c r="N94" s="156" t="s">
        <v>2356</v>
      </c>
    </row>
    <row r="95" ht="13.5" customHeight="1" spans="1:14">
      <c r="A95" s="155" t="s">
        <v>2329</v>
      </c>
      <c r="B95" s="155">
        <v>10</v>
      </c>
      <c r="C95" s="155" t="s">
        <v>2330</v>
      </c>
      <c r="D95" s="157" t="s">
        <v>2357</v>
      </c>
      <c r="E95" s="163" t="s">
        <v>2229</v>
      </c>
      <c r="F95" s="157" t="s">
        <v>2190</v>
      </c>
      <c r="G95" s="154" t="s">
        <v>2131</v>
      </c>
      <c r="H95" s="155">
        <v>10</v>
      </c>
      <c r="I95" s="155" t="s">
        <v>700</v>
      </c>
      <c r="J95" s="155">
        <v>10000</v>
      </c>
      <c r="K95" s="155"/>
      <c r="L95" s="155"/>
      <c r="M95" s="155">
        <f>IFERROR(IF($I95="",0,VLOOKUP($I95,道具定价!$C:$F,4,FALSE)*$J95),0)+IFERROR(IF($K95="",0,VLOOKUP($K95,道具定价!$C:$F,4,FALSE)*$L95),0)</f>
        <v>100</v>
      </c>
      <c r="N95" s="156" t="s">
        <v>2358</v>
      </c>
    </row>
    <row r="96" ht="13.5" customHeight="1" spans="1:14">
      <c r="A96" s="146"/>
      <c r="B96" s="146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</row>
    <row r="97" ht="13.5" customHeight="1" spans="1:14">
      <c r="A97" s="146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</row>
    <row r="98" ht="13.5" customHeight="1" spans="1:14">
      <c r="A98" s="147" t="s">
        <v>2359</v>
      </c>
      <c r="B98" s="147">
        <f>COUNT($B$14:$B$95)</f>
        <v>70</v>
      </c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</row>
    <row r="99" ht="13.5" customHeight="1" spans="1:14">
      <c r="A99" s="147" t="s">
        <v>2360</v>
      </c>
      <c r="B99" s="147">
        <f>SUM($H$14:$H$95)</f>
        <v>700</v>
      </c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</row>
    <row r="100" ht="13.5" customHeight="1" spans="1:14">
      <c r="A100" s="147" t="s">
        <v>2361</v>
      </c>
      <c r="B100" s="147">
        <f>SUM($M$14:$M$95)</f>
        <v>12520</v>
      </c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</row>
    <row r="101" ht="27" customHeight="1" spans="1:14">
      <c r="A101" s="146"/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</row>
    <row r="102" ht="13.5" customHeight="1" spans="1:14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</row>
    <row r="103" ht="27" customHeight="1" spans="1:14">
      <c r="A103" s="149" t="s">
        <v>2362</v>
      </c>
      <c r="I103" s="146"/>
      <c r="J103" s="146"/>
      <c r="K103" s="146" t="s">
        <v>2363</v>
      </c>
      <c r="L103" s="146" t="s">
        <v>590</v>
      </c>
      <c r="M103" s="146"/>
      <c r="N103" s="146"/>
    </row>
    <row r="104" ht="54" customHeight="1" spans="1:14">
      <c r="A104" s="150" t="s">
        <v>2364</v>
      </c>
      <c r="B104" s="150" t="s">
        <v>1740</v>
      </c>
      <c r="C104" s="150" t="s">
        <v>1123</v>
      </c>
      <c r="D104" s="150" t="s">
        <v>1444</v>
      </c>
      <c r="E104" s="150" t="s">
        <v>1125</v>
      </c>
      <c r="F104" s="150" t="s">
        <v>1131</v>
      </c>
      <c r="G104" s="150"/>
      <c r="H104" s="150" t="s">
        <v>2365</v>
      </c>
      <c r="I104" s="146"/>
      <c r="J104" s="146"/>
      <c r="K104" s="155" t="s">
        <v>601</v>
      </c>
      <c r="L104" s="146">
        <v>1</v>
      </c>
      <c r="M104" s="146"/>
      <c r="N104" s="146"/>
    </row>
    <row r="105" ht="40.5" customHeight="1" spans="1:14">
      <c r="A105" s="155">
        <v>100</v>
      </c>
      <c r="B105" s="164" t="s">
        <v>6</v>
      </c>
      <c r="C105" s="164">
        <v>10</v>
      </c>
      <c r="D105" s="155" t="s">
        <v>5</v>
      </c>
      <c r="E105" s="155">
        <v>500</v>
      </c>
      <c r="F105" s="155">
        <f>IFERROR(IF($B105="",0,VLOOKUP($B105,道具定价!$C:$F,4,FALSE)*$C105),0)+IFERROR(IF($D105="",0,VLOOKUP($D105,道具定价!$C:$F,4,FALSE)*$E105),0)</f>
        <v>2000</v>
      </c>
      <c r="G105" s="155"/>
      <c r="H105" s="156"/>
      <c r="I105" s="146"/>
      <c r="J105" s="146"/>
      <c r="K105" s="155" t="s">
        <v>728</v>
      </c>
      <c r="L105" s="146">
        <v>13</v>
      </c>
      <c r="M105" s="146"/>
      <c r="N105" s="146"/>
    </row>
    <row r="106" ht="40.5" customHeight="1" spans="1:14">
      <c r="A106" s="155">
        <v>200</v>
      </c>
      <c r="B106" s="164" t="s">
        <v>6</v>
      </c>
      <c r="C106" s="164">
        <v>10</v>
      </c>
      <c r="D106" s="155" t="s">
        <v>5</v>
      </c>
      <c r="E106" s="155">
        <v>500</v>
      </c>
      <c r="F106" s="155">
        <f>IFERROR(IF($B106="",0,VLOOKUP($B106,道具定价!$C:$F,4,FALSE)*$C106),0)+IFERROR(IF($D106="",0,VLOOKUP($D106,道具定价!$C:$F,4,FALSE)*$E106),0)</f>
        <v>2000</v>
      </c>
      <c r="G106" s="155"/>
      <c r="H106" s="156"/>
      <c r="I106" s="146"/>
      <c r="J106" s="146"/>
      <c r="K106" s="155" t="s">
        <v>700</v>
      </c>
      <c r="L106" s="146">
        <v>6</v>
      </c>
      <c r="M106" s="146"/>
      <c r="N106" s="146"/>
    </row>
    <row r="107" ht="54" customHeight="1" spans="1:14">
      <c r="A107" s="155">
        <v>300</v>
      </c>
      <c r="B107" s="164" t="s">
        <v>7</v>
      </c>
      <c r="C107" s="164">
        <v>10</v>
      </c>
      <c r="D107" s="155" t="s">
        <v>5</v>
      </c>
      <c r="E107" s="155">
        <v>500</v>
      </c>
      <c r="F107" s="155">
        <f>IFERROR(IF($B107="",0,VLOOKUP($B107,道具定价!$C:$F,4,FALSE)*$C107),0)+IFERROR(IF($D107="",0,VLOOKUP($D107,道具定价!$C:$F,4,FALSE)*$E107),0)</f>
        <v>2000</v>
      </c>
      <c r="G107" s="155"/>
      <c r="H107" s="156"/>
      <c r="I107" s="146"/>
      <c r="J107" s="146"/>
      <c r="K107" s="155" t="s">
        <v>614</v>
      </c>
      <c r="L107" s="146">
        <v>102</v>
      </c>
      <c r="M107" s="146"/>
      <c r="N107" s="146"/>
    </row>
    <row r="108" ht="40.5" customHeight="1" spans="1:14">
      <c r="A108" s="155">
        <v>400</v>
      </c>
      <c r="B108" s="155" t="s">
        <v>629</v>
      </c>
      <c r="C108" s="155">
        <v>1</v>
      </c>
      <c r="D108" s="155"/>
      <c r="E108" s="155"/>
      <c r="F108" s="155">
        <f>IFERROR(IF($B108="",0,VLOOKUP($B108,道具定价!$C:$F,4,FALSE)*$C108),0)+IFERROR(IF($D108="",0,VLOOKUP($D108,道具定价!$C:$F,4,FALSE)*$E108),0)</f>
        <v>7500</v>
      </c>
      <c r="G108" s="155"/>
      <c r="H108" s="156"/>
      <c r="I108" s="146"/>
      <c r="J108" s="146"/>
      <c r="K108" s="154" t="s">
        <v>2131</v>
      </c>
      <c r="L108" s="146">
        <v>32</v>
      </c>
      <c r="M108" s="146"/>
      <c r="N108" s="146"/>
    </row>
    <row r="109" ht="27" customHeight="1" spans="1:14">
      <c r="A109" s="155">
        <v>500</v>
      </c>
      <c r="B109" s="164" t="s">
        <v>8</v>
      </c>
      <c r="C109" s="164">
        <v>10</v>
      </c>
      <c r="D109" s="155" t="s">
        <v>5</v>
      </c>
      <c r="E109" s="155">
        <v>500</v>
      </c>
      <c r="F109" s="155">
        <f>IFERROR(IF($B109="",0,VLOOKUP($B109,道具定价!$C:$F,4,FALSE)*$C109),0)+IFERROR(IF($D109="",0,VLOOKUP($D109,道具定价!$C:$F,4,FALSE)*$E109),0)</f>
        <v>2000</v>
      </c>
      <c r="G109" s="155"/>
      <c r="H109" s="156"/>
      <c r="I109" s="146" t="s">
        <v>2366</v>
      </c>
      <c r="J109" s="146"/>
      <c r="K109" s="155" t="s">
        <v>606</v>
      </c>
      <c r="L109" s="146">
        <v>105</v>
      </c>
      <c r="M109" s="146"/>
      <c r="N109" s="146"/>
    </row>
    <row r="110" ht="13.5" customHeight="1" spans="1:14">
      <c r="A110" s="155">
        <v>600</v>
      </c>
      <c r="B110" s="155" t="s">
        <v>684</v>
      </c>
      <c r="C110" s="155">
        <v>1</v>
      </c>
      <c r="D110" s="155"/>
      <c r="E110" s="155"/>
      <c r="F110" s="155">
        <f>IFERROR(IF($B110="",0,VLOOKUP($B110,道具定价!$C:$F,4,FALSE)*$C110),0)+IFERROR(IF($D110="",0,VLOOKUP($D110,道具定价!$C:$F,4,FALSE)*$E110),0)</f>
        <v>5000</v>
      </c>
      <c r="G110" s="155"/>
      <c r="H110" s="156"/>
      <c r="I110" s="146"/>
      <c r="J110" s="146"/>
      <c r="K110" s="155" t="s">
        <v>605</v>
      </c>
      <c r="L110" s="171">
        <v>27</v>
      </c>
      <c r="M110" s="146"/>
      <c r="N110" s="146"/>
    </row>
    <row r="111" ht="13.5" customHeight="1" spans="1:14">
      <c r="A111" s="155">
        <v>700</v>
      </c>
      <c r="B111" s="164" t="s">
        <v>9</v>
      </c>
      <c r="C111" s="164">
        <v>10</v>
      </c>
      <c r="D111" s="155" t="s">
        <v>5</v>
      </c>
      <c r="E111" s="155">
        <v>500</v>
      </c>
      <c r="F111" s="155">
        <f>IFERROR(IF($B111="",0,VLOOKUP($B111,道具定价!$C:$F,4,FALSE)*$C111),0)+IFERROR(IF($D111="",0,VLOOKUP($D111,道具定价!$C:$F,4,FALSE)*$E111),0)</f>
        <v>2000</v>
      </c>
      <c r="G111" s="155"/>
      <c r="H111" s="156"/>
      <c r="I111" s="146" t="s">
        <v>2367</v>
      </c>
      <c r="J111" s="146"/>
      <c r="K111" s="155" t="s">
        <v>607</v>
      </c>
      <c r="L111" s="171">
        <v>19</v>
      </c>
      <c r="M111" s="146"/>
      <c r="N111" s="146"/>
    </row>
    <row r="112" ht="13.5" customHeight="1" spans="1:14">
      <c r="A112" s="146"/>
      <c r="B112" s="146"/>
      <c r="C112" s="146"/>
      <c r="D112" s="146"/>
      <c r="E112" s="146"/>
      <c r="F112" s="146"/>
      <c r="G112" s="146"/>
      <c r="H112" s="146"/>
      <c r="I112" s="146"/>
      <c r="J112" s="146"/>
      <c r="K112" s="164" t="s">
        <v>729</v>
      </c>
      <c r="L112" s="146">
        <v>24</v>
      </c>
      <c r="M112" s="146"/>
      <c r="N112" s="146"/>
    </row>
    <row r="113" ht="13.5" customHeight="1" spans="1:14">
      <c r="A113" s="147" t="s">
        <v>2368</v>
      </c>
      <c r="B113" s="147">
        <f>SUM($F$105:$F$111)</f>
        <v>22500</v>
      </c>
      <c r="C113" s="146"/>
      <c r="D113" s="146"/>
      <c r="E113" s="146"/>
      <c r="F113" s="146"/>
      <c r="G113" s="146"/>
      <c r="H113" s="146"/>
      <c r="I113" s="146"/>
      <c r="J113" s="146"/>
      <c r="K113" s="164" t="s">
        <v>730</v>
      </c>
      <c r="L113" s="146">
        <v>23</v>
      </c>
      <c r="M113" s="146"/>
      <c r="N113" s="146"/>
    </row>
    <row r="114" ht="13.5" customHeight="1" spans="1:14">
      <c r="A114" s="146"/>
      <c r="B114" s="146"/>
      <c r="C114" s="146"/>
      <c r="D114" s="146"/>
      <c r="E114" s="146"/>
      <c r="F114" s="146"/>
      <c r="G114" s="146"/>
      <c r="H114" s="146"/>
      <c r="I114" s="146"/>
      <c r="J114" s="146"/>
      <c r="K114" s="155" t="s">
        <v>670</v>
      </c>
      <c r="L114" s="146">
        <v>110</v>
      </c>
      <c r="M114" s="146"/>
      <c r="N114" s="146"/>
    </row>
    <row r="115" ht="13.5" customHeight="1" spans="1:14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</row>
    <row r="116" ht="27" customHeight="1" spans="1:14">
      <c r="A116" s="149" t="s">
        <v>2369</v>
      </c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</row>
    <row r="117" ht="27" customHeight="1" spans="1:14">
      <c r="A117" s="150" t="s">
        <v>2370</v>
      </c>
      <c r="B117" s="150" t="s">
        <v>2371</v>
      </c>
      <c r="C117" s="150" t="s">
        <v>1131</v>
      </c>
      <c r="D117" s="150" t="s">
        <v>1236</v>
      </c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</row>
    <row r="118" ht="27" customHeight="1" spans="1:14">
      <c r="A118" s="155" t="s">
        <v>6</v>
      </c>
      <c r="B118" s="155">
        <f t="shared" ref="B118:B132" si="0">SUMIF($I$14:$I$93,A118,$J$14:$J$93)+SUMIF($K$14:$K$93,A118,$L$14:$L$93)+SUMIF($B$105:$B$111,A118,$C$105:$C$111)+SUMIF($D$105:$D$111,A118,$E$105:$E$111)</f>
        <v>20</v>
      </c>
      <c r="C118" s="155">
        <f>IFERROR(VLOOKUP(A118,道具定价!$C:$F,4,FALSE)*B118,0)</f>
        <v>3000</v>
      </c>
      <c r="D118" s="156" t="s">
        <v>2372</v>
      </c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</row>
    <row r="119" ht="13.5" customHeight="1" spans="1:14">
      <c r="A119" s="155" t="s">
        <v>7</v>
      </c>
      <c r="B119" s="155">
        <f t="shared" si="0"/>
        <v>10</v>
      </c>
      <c r="C119" s="155">
        <f>IFERROR(VLOOKUP(A119,道具定价!$C:$F,4,FALSE)*B119,0)</f>
        <v>1500</v>
      </c>
      <c r="D119" s="156" t="s">
        <v>2373</v>
      </c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</row>
    <row r="120" ht="13.5" customHeight="1" spans="1:14">
      <c r="A120" s="155" t="s">
        <v>5</v>
      </c>
      <c r="B120" s="155">
        <f t="shared" si="0"/>
        <v>2500</v>
      </c>
      <c r="C120" s="155">
        <f>IFERROR(VLOOKUP(A120,道具定价!$C:$F,4,FALSE)*B120,0)</f>
        <v>2500</v>
      </c>
      <c r="D120" s="156" t="s">
        <v>2374</v>
      </c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</row>
    <row r="121" ht="13.5" customHeight="1" spans="1:14">
      <c r="A121" s="155" t="s">
        <v>606</v>
      </c>
      <c r="B121" s="155">
        <f t="shared" si="0"/>
        <v>28</v>
      </c>
      <c r="C121" s="155">
        <f>IFERROR(VLOOKUP(A121,道具定价!$C:$F,4,FALSE)*B121,0)</f>
        <v>6720</v>
      </c>
      <c r="D121" s="156" t="s">
        <v>2375</v>
      </c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</row>
    <row r="122" ht="13.5" customHeight="1" spans="1:14">
      <c r="A122" s="155" t="s">
        <v>601</v>
      </c>
      <c r="B122" s="155">
        <f t="shared" si="0"/>
        <v>1200000</v>
      </c>
      <c r="C122" s="155">
        <f>IFERROR(VLOOKUP(A122,道具定价!$C:$F,4,FALSE)*B122,0)</f>
        <v>1200</v>
      </c>
      <c r="D122" s="156" t="s">
        <v>2375</v>
      </c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</row>
    <row r="123" ht="13.5" customHeight="1" spans="1:14">
      <c r="A123" s="155" t="s">
        <v>614</v>
      </c>
      <c r="B123" s="155">
        <f t="shared" si="0"/>
        <v>70</v>
      </c>
      <c r="C123" s="155">
        <f>IFERROR(VLOOKUP(A123,道具定价!$C:$F,4,FALSE)*B123,0)</f>
        <v>700</v>
      </c>
      <c r="D123" s="156" t="s">
        <v>2375</v>
      </c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</row>
    <row r="124" ht="13.5" customHeight="1" spans="1:14">
      <c r="A124" s="155" t="s">
        <v>670</v>
      </c>
      <c r="B124" s="155">
        <f t="shared" si="0"/>
        <v>20</v>
      </c>
      <c r="C124" s="155">
        <f>IFERROR(VLOOKUP(A124,道具定价!$C:$F,4,FALSE)*B124,0)</f>
        <v>200</v>
      </c>
      <c r="D124" s="156" t="s">
        <v>2375</v>
      </c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</row>
    <row r="125" ht="13.5" customHeight="1" spans="1:14">
      <c r="A125" s="155" t="s">
        <v>700</v>
      </c>
      <c r="B125" s="155">
        <f t="shared" si="0"/>
        <v>80000</v>
      </c>
      <c r="C125" s="155">
        <f>IFERROR(VLOOKUP(A125,道具定价!$C:$F,4,FALSE)*B125,0)</f>
        <v>800</v>
      </c>
      <c r="D125" s="156" t="s">
        <v>2375</v>
      </c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</row>
    <row r="126" ht="13.5" customHeight="1" spans="1:14">
      <c r="A126" s="155" t="s">
        <v>728</v>
      </c>
      <c r="B126" s="155">
        <f t="shared" si="0"/>
        <v>70000</v>
      </c>
      <c r="C126" s="155">
        <f>IFERROR(VLOOKUP(A126,道具定价!$C:$F,4,FALSE)*B126,0)</f>
        <v>700</v>
      </c>
      <c r="D126" s="156" t="s">
        <v>2375</v>
      </c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</row>
    <row r="127" ht="13.5" customHeight="1" spans="1:14">
      <c r="A127" s="155" t="s">
        <v>729</v>
      </c>
      <c r="B127" s="155">
        <f t="shared" si="0"/>
        <v>200</v>
      </c>
      <c r="C127" s="155">
        <f>IFERROR(VLOOKUP(A127,道具定价!$C:$F,4,FALSE)*B127,0)</f>
        <v>400</v>
      </c>
      <c r="D127" s="156" t="s">
        <v>2376</v>
      </c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</row>
    <row r="128" ht="13.5" customHeight="1" spans="1:14">
      <c r="A128" s="155" t="s">
        <v>730</v>
      </c>
      <c r="B128" s="155">
        <f t="shared" si="0"/>
        <v>10</v>
      </c>
      <c r="C128" s="155">
        <f>IFERROR(VLOOKUP(A128,道具定价!$C:$F,4,FALSE)*B128,0)</f>
        <v>100</v>
      </c>
      <c r="D128" s="156" t="s">
        <v>2376</v>
      </c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</row>
    <row r="129" ht="13.5" customHeight="1" spans="1:14">
      <c r="A129" s="155" t="s">
        <v>665</v>
      </c>
      <c r="B129" s="155">
        <f t="shared" si="0"/>
        <v>0</v>
      </c>
      <c r="C129" s="155">
        <f>IFERROR(VLOOKUP(A129,道具定价!$C:$F,4,FALSE)*B129,0)</f>
        <v>0</v>
      </c>
      <c r="D129" s="156" t="s">
        <v>2376</v>
      </c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</row>
    <row r="130" ht="13.5" customHeight="1" spans="1:14">
      <c r="A130" s="155" t="s">
        <v>635</v>
      </c>
      <c r="B130" s="155">
        <f t="shared" si="0"/>
        <v>0</v>
      </c>
      <c r="C130" s="155">
        <f>IFERROR(VLOOKUP(A130,道具定价!$C:$F,4,FALSE)*B130,0)</f>
        <v>0</v>
      </c>
      <c r="D130" s="156" t="s">
        <v>2376</v>
      </c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</row>
    <row r="131" ht="13.5" customHeight="1" spans="1:14">
      <c r="A131" s="155" t="s">
        <v>607</v>
      </c>
      <c r="B131" s="155">
        <f t="shared" si="0"/>
        <v>90</v>
      </c>
      <c r="C131" s="155">
        <f>IFERROR(VLOOKUP(A131,道具定价!$C:$F,4,FALSE)*B131,0)</f>
        <v>900</v>
      </c>
      <c r="D131" s="156" t="s">
        <v>2375</v>
      </c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</row>
    <row r="132" ht="13.5" customHeight="1" spans="1:14">
      <c r="A132" s="155" t="s">
        <v>605</v>
      </c>
      <c r="B132" s="155">
        <f t="shared" si="0"/>
        <v>600</v>
      </c>
      <c r="C132" s="155">
        <f>IFERROR(VLOOKUP(A132,道具定价!$C:$F,4,FALSE)*B132,0)</f>
        <v>600</v>
      </c>
      <c r="D132" s="156" t="s">
        <v>2375</v>
      </c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</row>
    <row r="133" ht="13.5" customHeight="1" spans="1:14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</row>
    <row r="134" spans="1:14">
      <c r="A134" s="172" t="s">
        <v>269</v>
      </c>
      <c r="B134" s="155"/>
      <c r="C134" s="172">
        <f>SUM(C118:C132)</f>
        <v>19320</v>
      </c>
      <c r="D134" s="172" t="s">
        <v>2377</v>
      </c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</row>
    <row r="135" ht="13.5" customHeight="1" spans="1:14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</row>
    <row r="136" spans="1:14">
      <c r="A136" s="147" t="s">
        <v>2378</v>
      </c>
      <c r="B136" s="147">
        <f>SUM($M$14:$M$95)+SUM($F$105:$F$111)</f>
        <v>35020</v>
      </c>
      <c r="C136" s="147" t="s">
        <v>2379</v>
      </c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</row>
    <row r="137" spans="1:14">
      <c r="A137" t="s">
        <v>2380</v>
      </c>
    </row>
    <row r="138" spans="1:14">
      <c r="A138" t="s">
        <v>2381</v>
      </c>
    </row>
  </sheetData>
  <mergeCells count="18">
    <mergeCell ref="A1:N1"/>
    <mergeCell ref="B3:N3"/>
    <mergeCell ref="B4:N4"/>
    <mergeCell ref="B5:N5"/>
    <mergeCell ref="B6:N6"/>
    <mergeCell ref="B7:N7"/>
    <mergeCell ref="B8:N8"/>
    <mergeCell ref="B9:N9"/>
    <mergeCell ref="A11:N11"/>
    <mergeCell ref="A13:N13"/>
    <mergeCell ref="A25:N25"/>
    <mergeCell ref="A37:N37"/>
    <mergeCell ref="A49:N49"/>
    <mergeCell ref="A61:N61"/>
    <mergeCell ref="A73:N73"/>
    <mergeCell ref="A85:N85"/>
    <mergeCell ref="A103:H103"/>
    <mergeCell ref="A116:D116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R86"/>
  <sheetViews>
    <sheetView topLeftCell="AA1" workbookViewId="0">
      <selection activeCell="AH26" sqref="AH26"/>
    </sheetView>
  </sheetViews>
  <sheetFormatPr defaultColWidth="9" defaultRowHeight="16.5"/>
  <cols>
    <col min="1" max="3" width="9" style="3" customWidth="1"/>
    <col min="4" max="4" width="11.5" style="3" customWidth="1"/>
    <col min="5" max="5" width="14.125" style="3" customWidth="1"/>
    <col min="6" max="6" width="10" style="3" customWidth="1"/>
    <col min="7" max="7" width="14.125" style="3" customWidth="1"/>
    <col min="8" max="8" width="11.5" style="3" customWidth="1"/>
    <col min="9" max="9" width="14.125" style="3" customWidth="1"/>
    <col min="10" max="10" width="16.125" style="3" customWidth="1"/>
    <col min="11" max="11" width="17.875" style="3" customWidth="1"/>
    <col min="12" max="12" width="16" style="3" customWidth="1"/>
    <col min="13" max="13" width="14.125" style="3" customWidth="1"/>
    <col min="14" max="14" width="19.125" style="3" customWidth="1"/>
    <col min="15" max="15" width="17.125" style="3" customWidth="1"/>
    <col min="16" max="16" width="9" style="3" customWidth="1"/>
    <col min="17" max="17" width="14.125" style="3" customWidth="1"/>
    <col min="18" max="19" width="15" style="116" customWidth="1"/>
    <col min="20" max="22" width="18.375" style="116" customWidth="1"/>
    <col min="23" max="23" width="14.125" style="116" customWidth="1"/>
    <col min="24" max="24" width="14.125" style="3" customWidth="1"/>
    <col min="25" max="28" width="9" style="3" customWidth="1"/>
    <col min="29" max="29" width="17.125" style="3" customWidth="1"/>
    <col min="30" max="30" width="9" style="3" customWidth="1"/>
    <col min="31" max="31" width="15.5" style="3" customWidth="1"/>
    <col min="32" max="32" width="9" style="3" customWidth="1"/>
    <col min="33" max="33" width="18.125" style="3" customWidth="1"/>
    <col min="34" max="35" width="9" style="3" customWidth="1"/>
    <col min="36" max="37" width="10" style="3" customWidth="1"/>
    <col min="38" max="38" width="14" style="14" customWidth="1"/>
    <col min="39" max="39" width="20" style="14" customWidth="1"/>
    <col min="40" max="40" width="10" style="14" customWidth="1"/>
    <col min="41" max="41" width="20" style="14" customWidth="1"/>
    <col min="42" max="42" width="10" style="14" customWidth="1"/>
    <col min="43" max="43" width="22" style="14" customWidth="1"/>
    <col min="44" max="16384" width="10" style="3" customWidth="1"/>
  </cols>
  <sheetData>
    <row r="1" spans="1:44">
      <c r="AL1" s="117"/>
    </row>
    <row r="2" spans="1:44">
      <c r="A2" s="3" t="s">
        <v>2382</v>
      </c>
      <c r="AA2" s="3" t="s">
        <v>2383</v>
      </c>
      <c r="AJ2" s="3" t="s">
        <v>2384</v>
      </c>
      <c r="AL2" s="3"/>
      <c r="AM2" s="3"/>
      <c r="AN2" s="3"/>
      <c r="AO2" s="3"/>
      <c r="AP2" s="3"/>
      <c r="AQ2" s="3"/>
      <c r="AR2"/>
    </row>
    <row r="3" spans="1:44">
      <c r="A3" s="3" t="s">
        <v>2385</v>
      </c>
      <c r="AA3" s="3" t="s">
        <v>2386</v>
      </c>
      <c r="AJ3" s="3" t="s">
        <v>2387</v>
      </c>
      <c r="AL3" s="3"/>
      <c r="AM3" s="3"/>
      <c r="AN3" s="3"/>
      <c r="AO3" s="3"/>
      <c r="AP3" s="3"/>
      <c r="AQ3" s="3"/>
      <c r="AR3"/>
    </row>
    <row r="4" spans="1:44">
      <c r="AK4"/>
      <c r="AL4" s="117"/>
      <c r="AN4"/>
      <c r="AO4"/>
      <c r="AP4"/>
      <c r="AQ4"/>
      <c r="AR4"/>
    </row>
    <row r="5" spans="1:44">
      <c r="A5" s="118" t="s">
        <v>2388</v>
      </c>
      <c r="B5" s="119" t="s">
        <v>2389</v>
      </c>
      <c r="C5" s="119" t="s">
        <v>2390</v>
      </c>
      <c r="D5" s="3" t="s">
        <v>1903</v>
      </c>
      <c r="E5" s="3" t="s">
        <v>2391</v>
      </c>
      <c r="F5" s="3" t="s">
        <v>1905</v>
      </c>
      <c r="G5" s="3" t="s">
        <v>2392</v>
      </c>
      <c r="H5" s="3" t="s">
        <v>1986</v>
      </c>
      <c r="I5" s="3" t="s">
        <v>2393</v>
      </c>
      <c r="L5" s="3" t="s">
        <v>1987</v>
      </c>
      <c r="M5" s="3" t="s">
        <v>2394</v>
      </c>
      <c r="N5" s="3" t="s">
        <v>2395</v>
      </c>
      <c r="O5" s="3" t="s">
        <v>2396</v>
      </c>
      <c r="P5" s="3" t="s">
        <v>2397</v>
      </c>
      <c r="Q5" s="3" t="s">
        <v>2398</v>
      </c>
      <c r="T5" s="116" t="s">
        <v>2399</v>
      </c>
      <c r="U5" s="116" t="s">
        <v>2400</v>
      </c>
      <c r="V5" s="116" t="s">
        <v>2401</v>
      </c>
      <c r="W5" s="3" t="s">
        <v>2402</v>
      </c>
      <c r="X5" s="3" t="s">
        <v>2403</v>
      </c>
      <c r="Y5" s="3" t="s">
        <v>2404</v>
      </c>
      <c r="Z5" s="16"/>
      <c r="AA5" s="118" t="s">
        <v>2388</v>
      </c>
      <c r="AB5" s="120" t="s">
        <v>1154</v>
      </c>
      <c r="AC5" s="118" t="s">
        <v>1740</v>
      </c>
      <c r="AD5" s="118" t="s">
        <v>1123</v>
      </c>
      <c r="AE5" s="118" t="s">
        <v>1444</v>
      </c>
      <c r="AF5" s="118" t="s">
        <v>1125</v>
      </c>
      <c r="AG5" s="118" t="s">
        <v>2405</v>
      </c>
      <c r="AH5" s="118" t="s">
        <v>1127</v>
      </c>
      <c r="AJ5" s="118" t="s">
        <v>2388</v>
      </c>
      <c r="AK5" s="120" t="s">
        <v>1047</v>
      </c>
      <c r="AL5" s="118" t="s">
        <v>2406</v>
      </c>
      <c r="AM5" s="118" t="s">
        <v>1740</v>
      </c>
      <c r="AN5" s="118" t="s">
        <v>1123</v>
      </c>
      <c r="AO5" s="118" t="s">
        <v>1444</v>
      </c>
      <c r="AP5" s="118" t="s">
        <v>1125</v>
      </c>
      <c r="AQ5" s="118" t="s">
        <v>1236</v>
      </c>
      <c r="AR5"/>
    </row>
    <row r="6" spans="1:44">
      <c r="A6" s="121">
        <v>0</v>
      </c>
      <c r="B6" s="122">
        <v>1</v>
      </c>
      <c r="C6" s="16">
        <v>10</v>
      </c>
      <c r="D6" s="3" t="s">
        <v>5</v>
      </c>
      <c r="E6" s="16">
        <v>20</v>
      </c>
      <c r="F6" s="3" t="s">
        <v>601</v>
      </c>
      <c r="G6" s="3">
        <f t="shared" ref="G6:G64" si="0">IF(A6&lt;A7,(A6*5000+5000)*2,A6*5000+5000)</f>
        <v>5000</v>
      </c>
      <c r="H6" s="27" t="s">
        <v>1598</v>
      </c>
      <c r="I6" s="3">
        <v>6</v>
      </c>
      <c r="P6" s="3" t="s">
        <v>602</v>
      </c>
      <c r="Q6" s="3">
        <f t="shared" ref="Q6:Q65" si="1">C6*10</f>
        <v>100</v>
      </c>
      <c r="Y6" s="3">
        <f>SUM($Q$6:Q6)</f>
        <v>100</v>
      </c>
      <c r="Z6" s="123"/>
      <c r="AA6" s="121">
        <v>0</v>
      </c>
      <c r="AB6" s="124">
        <v>3</v>
      </c>
      <c r="AC6" s="122" t="s">
        <v>5</v>
      </c>
      <c r="AD6" s="27">
        <v>50</v>
      </c>
      <c r="AE6" s="27" t="s">
        <v>1598</v>
      </c>
      <c r="AF6" s="27">
        <v>15</v>
      </c>
      <c r="AG6" s="27" t="s">
        <v>1601</v>
      </c>
      <c r="AH6" s="27">
        <v>6</v>
      </c>
      <c r="AJ6" s="121">
        <v>0</v>
      </c>
      <c r="AK6" s="125">
        <v>0.2</v>
      </c>
      <c r="AL6" s="126">
        <f t="shared" ref="AL6:AL30" si="2">ROUNDUP(COUNTIF($A$6:$A$86,AJ6)*AK6,0)</f>
        <v>1</v>
      </c>
      <c r="AM6" s="29" t="s">
        <v>6</v>
      </c>
      <c r="AN6" s="127">
        <v>1</v>
      </c>
      <c r="AO6" s="27"/>
      <c r="AP6" s="128"/>
      <c r="AQ6" s="27" t="s">
        <v>2407</v>
      </c>
      <c r="AR6"/>
    </row>
    <row r="7" spans="1:44">
      <c r="A7" s="121">
        <v>0</v>
      </c>
      <c r="B7" s="129">
        <v>2</v>
      </c>
      <c r="C7" s="16">
        <v>10</v>
      </c>
      <c r="D7" s="3" t="s">
        <v>5</v>
      </c>
      <c r="E7" s="16">
        <v>20</v>
      </c>
      <c r="F7" s="3" t="s">
        <v>601</v>
      </c>
      <c r="G7" s="3">
        <f t="shared" si="0"/>
        <v>5000</v>
      </c>
      <c r="H7" s="27" t="s">
        <v>1598</v>
      </c>
      <c r="I7" s="3">
        <v>6</v>
      </c>
      <c r="P7" s="3" t="s">
        <v>602</v>
      </c>
      <c r="Q7" s="3">
        <f t="shared" si="1"/>
        <v>100</v>
      </c>
      <c r="Y7" s="3">
        <f>SUM($Q$6:Q7)</f>
        <v>200</v>
      </c>
      <c r="Z7" s="123"/>
      <c r="AA7" s="121">
        <v>0</v>
      </c>
      <c r="AB7" s="124">
        <v>9</v>
      </c>
      <c r="AC7" s="129" t="s">
        <v>5</v>
      </c>
      <c r="AD7" s="29">
        <v>50</v>
      </c>
      <c r="AE7" s="29" t="s">
        <v>1598</v>
      </c>
      <c r="AF7" s="29">
        <v>15</v>
      </c>
      <c r="AG7" s="29" t="s">
        <v>1602</v>
      </c>
      <c r="AH7" s="29">
        <v>6</v>
      </c>
      <c r="AJ7" s="121">
        <v>0</v>
      </c>
      <c r="AK7" s="125">
        <v>0.4</v>
      </c>
      <c r="AL7" s="130">
        <f t="shared" si="2"/>
        <v>2</v>
      </c>
      <c r="AM7" s="29" t="s">
        <v>6</v>
      </c>
      <c r="AN7" s="127">
        <v>1</v>
      </c>
      <c r="AO7" s="29"/>
      <c r="AP7" s="127"/>
      <c r="AQ7" s="29" t="s">
        <v>2408</v>
      </c>
      <c r="AR7"/>
    </row>
    <row r="8" spans="1:44">
      <c r="A8" s="121">
        <v>0</v>
      </c>
      <c r="B8" s="122">
        <v>3</v>
      </c>
      <c r="C8" s="16">
        <v>10</v>
      </c>
      <c r="D8" s="3" t="s">
        <v>5</v>
      </c>
      <c r="E8" s="16">
        <v>20</v>
      </c>
      <c r="F8" s="3" t="s">
        <v>601</v>
      </c>
      <c r="G8" s="3">
        <f t="shared" si="0"/>
        <v>5000</v>
      </c>
      <c r="H8" s="27" t="s">
        <v>1598</v>
      </c>
      <c r="I8" s="3">
        <v>6</v>
      </c>
      <c r="N8" s="3" t="s">
        <v>2409</v>
      </c>
      <c r="O8" s="3">
        <v>1</v>
      </c>
      <c r="P8" s="3" t="s">
        <v>602</v>
      </c>
      <c r="Q8" s="3">
        <f t="shared" si="1"/>
        <v>100</v>
      </c>
      <c r="Y8" s="3">
        <f>SUM($Q$6:Q8)</f>
        <v>300</v>
      </c>
      <c r="Z8" s="123"/>
      <c r="AA8" s="121">
        <v>0</v>
      </c>
      <c r="AB8" s="124">
        <v>15</v>
      </c>
      <c r="AC8" s="129" t="s">
        <v>5</v>
      </c>
      <c r="AD8" s="29">
        <v>150</v>
      </c>
      <c r="AE8" s="29" t="s">
        <v>1598</v>
      </c>
      <c r="AF8" s="29">
        <v>15</v>
      </c>
      <c r="AG8" s="29" t="s">
        <v>8</v>
      </c>
      <c r="AH8" s="29">
        <v>3</v>
      </c>
      <c r="AJ8" s="121">
        <v>0</v>
      </c>
      <c r="AK8" s="125">
        <v>0.6</v>
      </c>
      <c r="AL8" s="130">
        <f t="shared" si="2"/>
        <v>3</v>
      </c>
      <c r="AM8" s="29" t="s">
        <v>6</v>
      </c>
      <c r="AN8" s="127">
        <v>1</v>
      </c>
      <c r="AO8" s="29"/>
      <c r="AP8" s="127"/>
      <c r="AQ8" s="29" t="s">
        <v>2410</v>
      </c>
      <c r="AR8"/>
    </row>
    <row r="9" spans="1:44">
      <c r="A9" s="121">
        <v>0</v>
      </c>
      <c r="B9" s="129">
        <v>4</v>
      </c>
      <c r="C9" s="16">
        <v>10</v>
      </c>
      <c r="D9" s="3" t="s">
        <v>5</v>
      </c>
      <c r="E9" s="16">
        <v>20</v>
      </c>
      <c r="F9" s="3" t="s">
        <v>601</v>
      </c>
      <c r="G9" s="3">
        <f t="shared" si="0"/>
        <v>5000</v>
      </c>
      <c r="H9" s="27" t="s">
        <v>1598</v>
      </c>
      <c r="I9" s="3">
        <v>6</v>
      </c>
      <c r="J9" s="3" t="str">
        <f t="shared" ref="J9:J65" si="3">R9</f>
        <v>星盘低级道具</v>
      </c>
      <c r="K9" s="3" t="str">
        <f t="shared" ref="K9:K65" si="4">S9</f>
        <v>攻1</v>
      </c>
      <c r="L9" s="3" t="str">
        <f t="shared" ref="L9:L14" si="5">_xlfn.CONCAT(J9,K9)</f>
        <v>星盘低级道具攻1</v>
      </c>
      <c r="M9" s="3">
        <v>6</v>
      </c>
      <c r="P9" s="3" t="s">
        <v>602</v>
      </c>
      <c r="Q9" s="3">
        <f t="shared" si="1"/>
        <v>100</v>
      </c>
      <c r="R9" s="116" t="s">
        <v>637</v>
      </c>
      <c r="S9" s="116" t="s">
        <v>2411</v>
      </c>
      <c r="T9" s="3" t="str">
        <f t="shared" ref="T9:T65" si="6">_xlfn.CONCAT(R9,S9)</f>
        <v>星盘低级道具攻1</v>
      </c>
      <c r="U9" s="116">
        <v>2</v>
      </c>
      <c r="V9" s="116">
        <v>2</v>
      </c>
      <c r="W9" s="116">
        <v>1</v>
      </c>
      <c r="X9" s="3">
        <f>VLOOKUP(R9,道具定价!$C:$F,4,0)*AVERAGE(U9:V9)*W9</f>
        <v>20</v>
      </c>
      <c r="Y9" s="3">
        <f>SUM($Q$6:Q9)</f>
        <v>400</v>
      </c>
      <c r="Z9" s="123"/>
      <c r="AA9" s="131">
        <v>1</v>
      </c>
      <c r="AB9" s="132">
        <v>6</v>
      </c>
      <c r="AC9" s="133" t="s">
        <v>5</v>
      </c>
      <c r="AD9" s="134">
        <v>50</v>
      </c>
      <c r="AE9" s="134" t="s">
        <v>1599</v>
      </c>
      <c r="AF9" s="134">
        <v>8</v>
      </c>
      <c r="AG9" s="134" t="s">
        <v>1603</v>
      </c>
      <c r="AH9" s="134">
        <v>6</v>
      </c>
      <c r="AJ9" s="121">
        <v>0</v>
      </c>
      <c r="AK9" s="125">
        <v>0.8</v>
      </c>
      <c r="AL9" s="130">
        <f t="shared" si="2"/>
        <v>4</v>
      </c>
      <c r="AM9" s="29" t="s">
        <v>6</v>
      </c>
      <c r="AN9" s="127">
        <v>1</v>
      </c>
      <c r="AO9" s="29"/>
      <c r="AP9" s="127"/>
      <c r="AQ9" s="29" t="s">
        <v>2412</v>
      </c>
      <c r="AR9"/>
    </row>
    <row r="10" spans="1:44">
      <c r="A10" s="135">
        <v>0</v>
      </c>
      <c r="B10" s="122">
        <v>5</v>
      </c>
      <c r="C10" s="68">
        <v>10</v>
      </c>
      <c r="D10" s="74" t="s">
        <v>5</v>
      </c>
      <c r="E10" s="68">
        <v>20</v>
      </c>
      <c r="F10" s="74" t="s">
        <v>601</v>
      </c>
      <c r="G10" s="74">
        <f t="shared" si="0"/>
        <v>10000</v>
      </c>
      <c r="H10" s="27" t="s">
        <v>1598</v>
      </c>
      <c r="I10" s="74">
        <v>10</v>
      </c>
      <c r="J10" s="3" t="str">
        <f t="shared" si="3"/>
        <v>星盘低级道具</v>
      </c>
      <c r="K10" s="3" t="str">
        <f t="shared" si="4"/>
        <v>攻2</v>
      </c>
      <c r="L10" s="3" t="str">
        <f t="shared" si="5"/>
        <v>星盘低级道具攻2</v>
      </c>
      <c r="M10" s="3">
        <v>6</v>
      </c>
      <c r="P10" s="74" t="s">
        <v>602</v>
      </c>
      <c r="Q10" s="74">
        <f t="shared" si="1"/>
        <v>100</v>
      </c>
      <c r="R10" s="116" t="s">
        <v>637</v>
      </c>
      <c r="S10" s="116" t="s">
        <v>2413</v>
      </c>
      <c r="T10" s="3" t="str">
        <f t="shared" si="6"/>
        <v>星盘低级道具攻2</v>
      </c>
      <c r="U10" s="116">
        <v>2</v>
      </c>
      <c r="V10" s="116">
        <v>2</v>
      </c>
      <c r="W10" s="116">
        <v>1</v>
      </c>
      <c r="X10" s="3">
        <f>VLOOKUP(R10,道具定价!$C:$F,4,0)*AVERAGE(U10:V10)*W10</f>
        <v>20</v>
      </c>
      <c r="Y10" s="74">
        <f>SUM($Q$6:Q10)</f>
        <v>500</v>
      </c>
      <c r="Z10" s="136"/>
      <c r="AA10" s="131">
        <v>1</v>
      </c>
      <c r="AB10" s="132">
        <v>12</v>
      </c>
      <c r="AC10" s="133" t="s">
        <v>5</v>
      </c>
      <c r="AD10" s="134">
        <v>50</v>
      </c>
      <c r="AE10" s="134" t="s">
        <v>1599</v>
      </c>
      <c r="AF10" s="134">
        <v>8</v>
      </c>
      <c r="AG10" s="134" t="s">
        <v>1601</v>
      </c>
      <c r="AH10" s="134">
        <v>6</v>
      </c>
      <c r="AJ10" s="121">
        <v>0</v>
      </c>
      <c r="AK10" s="125">
        <v>1</v>
      </c>
      <c r="AL10" s="130">
        <f t="shared" si="2"/>
        <v>5</v>
      </c>
      <c r="AM10" s="29" t="s">
        <v>6</v>
      </c>
      <c r="AN10" s="127">
        <v>1</v>
      </c>
      <c r="AO10" s="29"/>
      <c r="AP10" s="127"/>
      <c r="AQ10" s="29" t="s">
        <v>2414</v>
      </c>
      <c r="AR10"/>
    </row>
    <row r="11" spans="1:44">
      <c r="A11" s="137">
        <v>1</v>
      </c>
      <c r="B11" s="138">
        <v>1</v>
      </c>
      <c r="C11" s="16">
        <v>10</v>
      </c>
      <c r="D11" s="3" t="s">
        <v>5</v>
      </c>
      <c r="E11" s="16">
        <v>20</v>
      </c>
      <c r="F11" s="3" t="s">
        <v>601</v>
      </c>
      <c r="G11" s="3">
        <f t="shared" si="0"/>
        <v>10000</v>
      </c>
      <c r="H11" s="27" t="s">
        <v>1599</v>
      </c>
      <c r="I11" s="3">
        <v>6</v>
      </c>
      <c r="J11" s="3" t="str">
        <f t="shared" si="3"/>
        <v>星盘低级道具</v>
      </c>
      <c r="K11" s="3" t="str">
        <f t="shared" si="4"/>
        <v>防1</v>
      </c>
      <c r="L11" s="3" t="str">
        <f t="shared" si="5"/>
        <v>星盘低级道具防1</v>
      </c>
      <c r="M11" s="3">
        <v>6</v>
      </c>
      <c r="N11" s="3" t="s">
        <v>2087</v>
      </c>
      <c r="O11" s="3">
        <v>1</v>
      </c>
      <c r="P11" s="3" t="s">
        <v>602</v>
      </c>
      <c r="Q11" s="3">
        <f t="shared" si="1"/>
        <v>100</v>
      </c>
      <c r="R11" s="116" t="s">
        <v>637</v>
      </c>
      <c r="S11" s="116" t="s">
        <v>2415</v>
      </c>
      <c r="T11" s="3" t="str">
        <f t="shared" si="6"/>
        <v>星盘低级道具防1</v>
      </c>
      <c r="U11" s="116">
        <v>2</v>
      </c>
      <c r="V11" s="116">
        <v>2</v>
      </c>
      <c r="W11" s="116">
        <v>1</v>
      </c>
      <c r="X11" s="3">
        <f>VLOOKUP(R11,道具定价!$C:$F,4,0)*AVERAGE(U11:V11)*W11</f>
        <v>20</v>
      </c>
      <c r="Y11" s="3">
        <f>SUM($Q$6:Q11)</f>
        <v>600</v>
      </c>
      <c r="Z11" s="123"/>
      <c r="AA11" s="131">
        <v>1</v>
      </c>
      <c r="AB11" s="132">
        <v>21</v>
      </c>
      <c r="AC11" s="133" t="s">
        <v>5</v>
      </c>
      <c r="AD11" s="134">
        <v>50</v>
      </c>
      <c r="AE11" s="134" t="s">
        <v>1599</v>
      </c>
      <c r="AF11" s="134">
        <v>8</v>
      </c>
      <c r="AG11" s="134" t="s">
        <v>1602</v>
      </c>
      <c r="AH11" s="134">
        <v>6</v>
      </c>
      <c r="AJ11" s="131">
        <v>1</v>
      </c>
      <c r="AK11" s="139">
        <v>0.2</v>
      </c>
      <c r="AL11" s="140">
        <f t="shared" si="2"/>
        <v>2</v>
      </c>
      <c r="AM11" s="29" t="s">
        <v>6</v>
      </c>
      <c r="AN11" s="127">
        <v>1</v>
      </c>
      <c r="AO11" s="134"/>
      <c r="AP11" s="141"/>
      <c r="AQ11" s="134" t="s">
        <v>2416</v>
      </c>
      <c r="AR11"/>
    </row>
    <row r="12" spans="1:44">
      <c r="A12" s="121">
        <v>1</v>
      </c>
      <c r="B12" s="129">
        <v>2</v>
      </c>
      <c r="C12" s="16">
        <v>10</v>
      </c>
      <c r="D12" s="3" t="s">
        <v>5</v>
      </c>
      <c r="E12" s="16">
        <v>20</v>
      </c>
      <c r="F12" s="3" t="s">
        <v>601</v>
      </c>
      <c r="G12" s="3">
        <f t="shared" si="0"/>
        <v>10000</v>
      </c>
      <c r="H12" s="27" t="s">
        <v>1599</v>
      </c>
      <c r="I12" s="3">
        <v>6</v>
      </c>
      <c r="J12" s="3" t="str">
        <f t="shared" si="3"/>
        <v>星盘低级道具</v>
      </c>
      <c r="K12" s="3" t="str">
        <f t="shared" si="4"/>
        <v>防2</v>
      </c>
      <c r="L12" s="3" t="str">
        <f t="shared" si="5"/>
        <v>星盘低级道具防2</v>
      </c>
      <c r="M12" s="3">
        <v>6</v>
      </c>
      <c r="P12" s="3" t="s">
        <v>602</v>
      </c>
      <c r="Q12" s="3">
        <f t="shared" si="1"/>
        <v>100</v>
      </c>
      <c r="R12" s="116" t="s">
        <v>637</v>
      </c>
      <c r="S12" s="116" t="s">
        <v>2417</v>
      </c>
      <c r="T12" s="3" t="str">
        <f t="shared" si="6"/>
        <v>星盘低级道具防2</v>
      </c>
      <c r="U12" s="116">
        <v>2</v>
      </c>
      <c r="V12" s="116">
        <v>2</v>
      </c>
      <c r="W12" s="116">
        <v>1</v>
      </c>
      <c r="X12" s="3">
        <f>VLOOKUP(R12,道具定价!$C:$F,4,0)*AVERAGE(U12:V12)*W12</f>
        <v>20</v>
      </c>
      <c r="Y12" s="3">
        <f>SUM($Q$6:Q12)</f>
        <v>700</v>
      </c>
      <c r="Z12" s="123"/>
      <c r="AA12" s="131">
        <v>1</v>
      </c>
      <c r="AB12" s="132">
        <v>30</v>
      </c>
      <c r="AC12" s="133" t="s">
        <v>5</v>
      </c>
      <c r="AD12" s="134">
        <v>150</v>
      </c>
      <c r="AE12" s="134" t="s">
        <v>1599</v>
      </c>
      <c r="AF12" s="134">
        <v>8</v>
      </c>
      <c r="AG12" s="134" t="s">
        <v>8</v>
      </c>
      <c r="AH12" s="134">
        <v>3</v>
      </c>
      <c r="AJ12" s="131">
        <v>1</v>
      </c>
      <c r="AK12" s="139">
        <v>0.4</v>
      </c>
      <c r="AL12" s="140">
        <f t="shared" si="2"/>
        <v>4</v>
      </c>
      <c r="AM12" s="29" t="s">
        <v>6</v>
      </c>
      <c r="AN12" s="127">
        <v>1</v>
      </c>
      <c r="AO12" s="134"/>
      <c r="AP12" s="141"/>
      <c r="AQ12" s="134" t="s">
        <v>2418</v>
      </c>
      <c r="AR12"/>
    </row>
    <row r="13" spans="1:44">
      <c r="A13" s="121">
        <v>1</v>
      </c>
      <c r="B13" s="122">
        <v>3</v>
      </c>
      <c r="C13" s="16">
        <v>10</v>
      </c>
      <c r="D13" s="3" t="s">
        <v>5</v>
      </c>
      <c r="E13" s="16">
        <v>20</v>
      </c>
      <c r="F13" s="3" t="s">
        <v>601</v>
      </c>
      <c r="G13" s="3">
        <f t="shared" si="0"/>
        <v>10000</v>
      </c>
      <c r="H13" s="27" t="s">
        <v>1599</v>
      </c>
      <c r="I13" s="3">
        <v>6</v>
      </c>
      <c r="J13" s="3" t="str">
        <f t="shared" si="3"/>
        <v>星盘低级道具</v>
      </c>
      <c r="K13" s="3" t="str">
        <f t="shared" si="4"/>
        <v>辅1</v>
      </c>
      <c r="L13" s="3" t="str">
        <f t="shared" si="5"/>
        <v>星盘低级道具辅1</v>
      </c>
      <c r="M13" s="3">
        <v>6</v>
      </c>
      <c r="P13" s="3" t="s">
        <v>602</v>
      </c>
      <c r="Q13" s="3">
        <f t="shared" si="1"/>
        <v>100</v>
      </c>
      <c r="R13" s="116" t="s">
        <v>637</v>
      </c>
      <c r="S13" s="116" t="s">
        <v>2419</v>
      </c>
      <c r="T13" s="3" t="str">
        <f t="shared" si="6"/>
        <v>星盘低级道具辅1</v>
      </c>
      <c r="U13" s="116">
        <v>2</v>
      </c>
      <c r="V13" s="116">
        <v>2</v>
      </c>
      <c r="W13" s="116">
        <v>1</v>
      </c>
      <c r="X13" s="3">
        <f>VLOOKUP(R13,道具定价!$C:$F,4,0)*AVERAGE(U13:V13)*W13</f>
        <v>20</v>
      </c>
      <c r="Y13" s="3">
        <f>SUM($Q$6:Q13)</f>
        <v>800</v>
      </c>
      <c r="Z13" s="123"/>
      <c r="AA13" s="121">
        <v>2</v>
      </c>
      <c r="AB13" s="124">
        <v>9</v>
      </c>
      <c r="AC13" s="129" t="s">
        <v>5</v>
      </c>
      <c r="AD13" s="29">
        <v>50</v>
      </c>
      <c r="AE13" s="29" t="s">
        <v>1600</v>
      </c>
      <c r="AF13" s="29">
        <v>8</v>
      </c>
      <c r="AG13" s="29" t="s">
        <v>1603</v>
      </c>
      <c r="AH13" s="29">
        <v>6</v>
      </c>
      <c r="AJ13" s="131">
        <v>1</v>
      </c>
      <c r="AK13" s="139">
        <v>0.6</v>
      </c>
      <c r="AL13" s="140">
        <f t="shared" si="2"/>
        <v>6</v>
      </c>
      <c r="AM13" s="29" t="s">
        <v>6</v>
      </c>
      <c r="AN13" s="127">
        <v>1</v>
      </c>
      <c r="AO13" s="134"/>
      <c r="AP13" s="141"/>
      <c r="AQ13" s="134" t="s">
        <v>2420</v>
      </c>
      <c r="AR13"/>
    </row>
    <row r="14" spans="1:44">
      <c r="A14" s="121">
        <v>1</v>
      </c>
      <c r="B14" s="129">
        <v>4</v>
      </c>
      <c r="C14" s="16">
        <v>10</v>
      </c>
      <c r="D14" s="3" t="s">
        <v>5</v>
      </c>
      <c r="E14" s="16">
        <v>20</v>
      </c>
      <c r="F14" s="3" t="s">
        <v>601</v>
      </c>
      <c r="G14" s="3">
        <f t="shared" si="0"/>
        <v>10000</v>
      </c>
      <c r="H14" s="27" t="s">
        <v>1599</v>
      </c>
      <c r="I14" s="3">
        <v>6</v>
      </c>
      <c r="J14" s="3" t="str">
        <f t="shared" si="3"/>
        <v>星盘低级道具</v>
      </c>
      <c r="K14" s="3" t="str">
        <f t="shared" si="4"/>
        <v>辅2</v>
      </c>
      <c r="L14" s="3" t="str">
        <f t="shared" si="5"/>
        <v>星盘低级道具辅2</v>
      </c>
      <c r="M14" s="3">
        <v>6</v>
      </c>
      <c r="P14" s="3" t="s">
        <v>602</v>
      </c>
      <c r="Q14" s="3">
        <f t="shared" si="1"/>
        <v>100</v>
      </c>
      <c r="R14" s="116" t="s">
        <v>637</v>
      </c>
      <c r="S14" s="116" t="s">
        <v>2421</v>
      </c>
      <c r="T14" s="3" t="str">
        <f t="shared" si="6"/>
        <v>星盘低级道具辅2</v>
      </c>
      <c r="U14" s="116">
        <v>2</v>
      </c>
      <c r="V14" s="116">
        <v>2</v>
      </c>
      <c r="W14" s="116">
        <v>1</v>
      </c>
      <c r="X14" s="3">
        <f>VLOOKUP(R14,道具定价!$C:$F,4,0)*AVERAGE(U14:V14)*W14</f>
        <v>20</v>
      </c>
      <c r="Y14" s="3">
        <f>SUM($Q$6:Q14)</f>
        <v>900</v>
      </c>
      <c r="Z14" s="123"/>
      <c r="AA14" s="121">
        <v>2</v>
      </c>
      <c r="AB14" s="124">
        <v>18</v>
      </c>
      <c r="AC14" s="129" t="s">
        <v>5</v>
      </c>
      <c r="AD14" s="29">
        <v>50</v>
      </c>
      <c r="AE14" s="29" t="s">
        <v>1600</v>
      </c>
      <c r="AF14" s="29">
        <v>8</v>
      </c>
      <c r="AG14" s="29" t="s">
        <v>1604</v>
      </c>
      <c r="AH14" s="29">
        <v>6</v>
      </c>
      <c r="AJ14" s="131">
        <v>1</v>
      </c>
      <c r="AK14" s="139">
        <v>0.8</v>
      </c>
      <c r="AL14" s="140">
        <f t="shared" si="2"/>
        <v>8</v>
      </c>
      <c r="AM14" s="29" t="s">
        <v>6</v>
      </c>
      <c r="AN14" s="127">
        <v>1</v>
      </c>
      <c r="AO14" s="134"/>
      <c r="AP14" s="141"/>
      <c r="AQ14" s="134" t="s">
        <v>2422</v>
      </c>
      <c r="AR14"/>
    </row>
    <row r="15" spans="1:44">
      <c r="A15" s="121">
        <v>1</v>
      </c>
      <c r="B15" s="122">
        <v>5</v>
      </c>
      <c r="C15" s="16">
        <v>10</v>
      </c>
      <c r="D15" s="3" t="s">
        <v>5</v>
      </c>
      <c r="E15" s="16">
        <v>20</v>
      </c>
      <c r="F15" s="3" t="s">
        <v>601</v>
      </c>
      <c r="G15" s="3">
        <f t="shared" si="0"/>
        <v>10000</v>
      </c>
      <c r="H15" s="27" t="s">
        <v>1599</v>
      </c>
      <c r="I15" s="3">
        <v>10</v>
      </c>
      <c r="J15" s="3" t="str">
        <f t="shared" si="3"/>
        <v>角色升阶材料低</v>
      </c>
      <c r="K15" s="3" t="str">
        <f t="shared" si="4"/>
        <v>攻</v>
      </c>
      <c r="P15" s="3" t="s">
        <v>602</v>
      </c>
      <c r="Q15" s="3">
        <f t="shared" si="1"/>
        <v>100</v>
      </c>
      <c r="R15" s="142" t="s">
        <v>617</v>
      </c>
      <c r="S15" s="142" t="s">
        <v>2423</v>
      </c>
      <c r="T15" s="3" t="str">
        <f t="shared" si="6"/>
        <v>角色升阶材料低攻</v>
      </c>
      <c r="U15" s="142">
        <v>3</v>
      </c>
      <c r="V15" s="142">
        <v>3</v>
      </c>
      <c r="W15" s="142">
        <v>1</v>
      </c>
      <c r="X15" s="3">
        <f>VLOOKUP(R15,道具定价!$C:$F,4,0)*AVERAGE(U15:V15)*W15</f>
        <v>12</v>
      </c>
      <c r="Y15" s="3">
        <f>SUM($Q$6:Q15)</f>
        <v>1000</v>
      </c>
      <c r="Z15" s="123"/>
      <c r="AA15" s="121">
        <v>2</v>
      </c>
      <c r="AB15" s="124">
        <v>27</v>
      </c>
      <c r="AC15" s="129" t="s">
        <v>5</v>
      </c>
      <c r="AD15" s="29">
        <v>50</v>
      </c>
      <c r="AE15" s="29" t="s">
        <v>1600</v>
      </c>
      <c r="AF15" s="29">
        <v>8</v>
      </c>
      <c r="AG15" s="29" t="s">
        <v>1605</v>
      </c>
      <c r="AH15" s="29">
        <v>6</v>
      </c>
      <c r="AJ15" s="131">
        <v>1</v>
      </c>
      <c r="AK15" s="139">
        <v>1</v>
      </c>
      <c r="AL15" s="140">
        <f t="shared" si="2"/>
        <v>10</v>
      </c>
      <c r="AM15" s="29" t="s">
        <v>6</v>
      </c>
      <c r="AN15" s="127">
        <v>1</v>
      </c>
      <c r="AO15" s="134"/>
      <c r="AP15" s="141"/>
      <c r="AQ15" s="134" t="s">
        <v>2424</v>
      </c>
      <c r="AR15"/>
    </row>
    <row r="16" spans="1:44">
      <c r="A16" s="121">
        <v>1</v>
      </c>
      <c r="B16" s="122">
        <v>6</v>
      </c>
      <c r="C16" s="16">
        <v>10</v>
      </c>
      <c r="D16" s="3" t="s">
        <v>5</v>
      </c>
      <c r="E16" s="16">
        <v>20</v>
      </c>
      <c r="F16" s="3" t="s">
        <v>601</v>
      </c>
      <c r="G16" s="3">
        <f t="shared" si="0"/>
        <v>10000</v>
      </c>
      <c r="H16" s="27" t="s">
        <v>1599</v>
      </c>
      <c r="I16" s="3">
        <v>6</v>
      </c>
      <c r="J16" s="3" t="str">
        <f t="shared" si="3"/>
        <v>角色升阶材料低</v>
      </c>
      <c r="K16" s="3" t="str">
        <f t="shared" si="4"/>
        <v>防</v>
      </c>
      <c r="P16" s="3" t="s">
        <v>602</v>
      </c>
      <c r="Q16" s="3">
        <f t="shared" si="1"/>
        <v>100</v>
      </c>
      <c r="R16" s="142" t="s">
        <v>617</v>
      </c>
      <c r="S16" s="142" t="s">
        <v>2425</v>
      </c>
      <c r="T16" s="3" t="str">
        <f t="shared" si="6"/>
        <v>角色升阶材料低防</v>
      </c>
      <c r="U16" s="142">
        <v>3</v>
      </c>
      <c r="V16" s="142">
        <v>3</v>
      </c>
      <c r="W16" s="142">
        <v>1</v>
      </c>
      <c r="X16" s="3">
        <f>VLOOKUP(R16,道具定价!$C:$F,4,0)*AVERAGE(U16:V16)*W16</f>
        <v>12</v>
      </c>
      <c r="Y16" s="3">
        <f>SUM($Q$6:Q16)</f>
        <v>1100</v>
      </c>
      <c r="Z16" s="123"/>
      <c r="AA16" s="121">
        <v>2</v>
      </c>
      <c r="AB16" s="124">
        <v>36</v>
      </c>
      <c r="AC16" s="129" t="s">
        <v>5</v>
      </c>
      <c r="AD16" s="29">
        <v>50</v>
      </c>
      <c r="AE16" s="29" t="s">
        <v>1600</v>
      </c>
      <c r="AF16" s="29">
        <v>8</v>
      </c>
      <c r="AG16" s="29" t="s">
        <v>1606</v>
      </c>
      <c r="AH16" s="29">
        <v>6</v>
      </c>
      <c r="AJ16" s="121">
        <v>2</v>
      </c>
      <c r="AK16" s="125">
        <v>0.2</v>
      </c>
      <c r="AL16" s="130">
        <f t="shared" si="2"/>
        <v>3</v>
      </c>
      <c r="AM16" s="29" t="s">
        <v>6</v>
      </c>
      <c r="AN16" s="127">
        <v>1</v>
      </c>
      <c r="AO16" s="29"/>
      <c r="AP16" s="127"/>
      <c r="AQ16" s="29" t="s">
        <v>2426</v>
      </c>
      <c r="AR16"/>
    </row>
    <row r="17" spans="1:44">
      <c r="A17" s="121">
        <v>1</v>
      </c>
      <c r="B17" s="129">
        <v>7</v>
      </c>
      <c r="C17" s="16">
        <v>10</v>
      </c>
      <c r="D17" s="3" t="s">
        <v>5</v>
      </c>
      <c r="E17" s="16">
        <v>20</v>
      </c>
      <c r="F17" s="3" t="s">
        <v>601</v>
      </c>
      <c r="G17" s="3">
        <f t="shared" si="0"/>
        <v>10000</v>
      </c>
      <c r="H17" s="27" t="s">
        <v>1599</v>
      </c>
      <c r="I17" s="3">
        <v>6</v>
      </c>
      <c r="J17" s="3" t="str">
        <f t="shared" si="3"/>
        <v>角色升阶材料低</v>
      </c>
      <c r="K17" s="3" t="str">
        <f t="shared" si="4"/>
        <v>辅</v>
      </c>
      <c r="P17" s="3" t="s">
        <v>602</v>
      </c>
      <c r="Q17" s="3">
        <f t="shared" si="1"/>
        <v>100</v>
      </c>
      <c r="R17" s="142" t="s">
        <v>617</v>
      </c>
      <c r="S17" s="142" t="s">
        <v>2427</v>
      </c>
      <c r="T17" s="3" t="str">
        <f t="shared" si="6"/>
        <v>角色升阶材料低辅</v>
      </c>
      <c r="U17" s="142">
        <v>3</v>
      </c>
      <c r="V17" s="142">
        <v>3</v>
      </c>
      <c r="W17" s="142">
        <v>1</v>
      </c>
      <c r="X17" s="3">
        <f>VLOOKUP(R17,道具定价!$C:$F,4,0)*AVERAGE(U17:V17)*W17</f>
        <v>12</v>
      </c>
      <c r="Y17" s="3">
        <f>SUM($Q$6:Q17)</f>
        <v>1200</v>
      </c>
      <c r="Z17" s="123"/>
      <c r="AA17" s="121">
        <v>2</v>
      </c>
      <c r="AB17" s="124">
        <v>45</v>
      </c>
      <c r="AC17" s="129" t="s">
        <v>5</v>
      </c>
      <c r="AD17" s="29">
        <v>150</v>
      </c>
      <c r="AE17" s="29" t="s">
        <v>1610</v>
      </c>
      <c r="AF17" s="29">
        <v>10000</v>
      </c>
      <c r="AG17" s="29" t="s">
        <v>8</v>
      </c>
      <c r="AH17" s="29">
        <v>3</v>
      </c>
      <c r="AJ17" s="121">
        <v>2</v>
      </c>
      <c r="AK17" s="125">
        <v>0.4</v>
      </c>
      <c r="AL17" s="130">
        <f t="shared" si="2"/>
        <v>6</v>
      </c>
      <c r="AM17" s="29" t="s">
        <v>6</v>
      </c>
      <c r="AN17" s="127">
        <v>1</v>
      </c>
      <c r="AO17" s="29"/>
      <c r="AP17" s="127"/>
      <c r="AQ17" s="29" t="s">
        <v>2428</v>
      </c>
      <c r="AR17"/>
    </row>
    <row r="18" spans="1:44">
      <c r="A18" s="121">
        <v>1</v>
      </c>
      <c r="B18" s="122">
        <v>8</v>
      </c>
      <c r="C18" s="16">
        <v>10</v>
      </c>
      <c r="D18" s="3" t="s">
        <v>5</v>
      </c>
      <c r="E18" s="16">
        <v>20</v>
      </c>
      <c r="F18" s="3" t="s">
        <v>601</v>
      </c>
      <c r="G18" s="3">
        <f t="shared" si="0"/>
        <v>10000</v>
      </c>
      <c r="H18" s="27" t="s">
        <v>1599</v>
      </c>
      <c r="I18" s="3">
        <v>6</v>
      </c>
      <c r="J18" s="3" t="str">
        <f t="shared" si="3"/>
        <v>角色升阶材料低</v>
      </c>
      <c r="K18" s="3" t="str">
        <f t="shared" si="4"/>
        <v>攻</v>
      </c>
      <c r="P18" s="3" t="s">
        <v>602</v>
      </c>
      <c r="Q18" s="3">
        <f t="shared" si="1"/>
        <v>100</v>
      </c>
      <c r="R18" s="142" t="s">
        <v>617</v>
      </c>
      <c r="S18" s="142" t="s">
        <v>2423</v>
      </c>
      <c r="T18" s="3" t="str">
        <f t="shared" si="6"/>
        <v>角色升阶材料低攻</v>
      </c>
      <c r="U18" s="142">
        <v>4</v>
      </c>
      <c r="V18" s="142">
        <v>4</v>
      </c>
      <c r="W18" s="142">
        <v>1</v>
      </c>
      <c r="X18" s="3">
        <f>VLOOKUP(R18,道具定价!$C:$F,4,0)*AVERAGE(U18:V18)*W18</f>
        <v>16</v>
      </c>
      <c r="Y18" s="3">
        <f>SUM($Q$6:Q18)</f>
        <v>1300</v>
      </c>
      <c r="Z18" s="123"/>
      <c r="AA18" s="131">
        <v>3</v>
      </c>
      <c r="AB18" s="132">
        <v>9</v>
      </c>
      <c r="AC18" s="133" t="s">
        <v>5</v>
      </c>
      <c r="AD18" s="134">
        <v>50</v>
      </c>
      <c r="AE18" s="134" t="s">
        <v>1600</v>
      </c>
      <c r="AF18" s="134">
        <v>12</v>
      </c>
      <c r="AG18" s="134" t="s">
        <v>1604</v>
      </c>
      <c r="AH18" s="134">
        <v>6</v>
      </c>
      <c r="AJ18" s="121">
        <v>2</v>
      </c>
      <c r="AK18" s="125">
        <v>0.6</v>
      </c>
      <c r="AL18" s="130">
        <f t="shared" si="2"/>
        <v>9</v>
      </c>
      <c r="AM18" s="29" t="s">
        <v>6</v>
      </c>
      <c r="AN18" s="127">
        <v>1</v>
      </c>
      <c r="AO18" s="29"/>
      <c r="AP18" s="127"/>
      <c r="AQ18" s="29" t="s">
        <v>2429</v>
      </c>
      <c r="AR18"/>
    </row>
    <row r="19" spans="1:44">
      <c r="A19" s="121">
        <v>1</v>
      </c>
      <c r="B19" s="122">
        <v>9</v>
      </c>
      <c r="C19" s="16">
        <v>10</v>
      </c>
      <c r="D19" s="3" t="s">
        <v>5</v>
      </c>
      <c r="E19" s="16">
        <v>20</v>
      </c>
      <c r="F19" s="3" t="s">
        <v>601</v>
      </c>
      <c r="G19" s="3">
        <f t="shared" si="0"/>
        <v>10000</v>
      </c>
      <c r="H19" s="27" t="s">
        <v>1599</v>
      </c>
      <c r="I19" s="3">
        <v>6</v>
      </c>
      <c r="J19" s="3" t="str">
        <f t="shared" si="3"/>
        <v>角色升阶材料低</v>
      </c>
      <c r="K19" s="3" t="str">
        <f t="shared" si="4"/>
        <v>防</v>
      </c>
      <c r="P19" s="3" t="s">
        <v>602</v>
      </c>
      <c r="Q19" s="3">
        <f t="shared" si="1"/>
        <v>100</v>
      </c>
      <c r="R19" s="142" t="s">
        <v>617</v>
      </c>
      <c r="S19" s="142" t="s">
        <v>2425</v>
      </c>
      <c r="T19" s="3" t="str">
        <f t="shared" si="6"/>
        <v>角色升阶材料低防</v>
      </c>
      <c r="U19" s="142">
        <v>4</v>
      </c>
      <c r="V19" s="142">
        <v>4</v>
      </c>
      <c r="W19" s="142">
        <v>1</v>
      </c>
      <c r="X19" s="3">
        <f>VLOOKUP(R19,道具定价!$C:$F,4,0)*AVERAGE(U19:V19)*W19</f>
        <v>16</v>
      </c>
      <c r="Y19" s="3">
        <f>SUM($Q$6:Q19)</f>
        <v>1400</v>
      </c>
      <c r="Z19" s="123"/>
      <c r="AA19" s="131">
        <v>3</v>
      </c>
      <c r="AB19" s="132">
        <v>18</v>
      </c>
      <c r="AC19" s="133" t="s">
        <v>5</v>
      </c>
      <c r="AD19" s="134">
        <v>50</v>
      </c>
      <c r="AE19" s="134" t="s">
        <v>1600</v>
      </c>
      <c r="AF19" s="134">
        <v>12</v>
      </c>
      <c r="AG19" s="134" t="s">
        <v>1605</v>
      </c>
      <c r="AH19" s="134">
        <v>6</v>
      </c>
      <c r="AJ19" s="121">
        <v>2</v>
      </c>
      <c r="AK19" s="125">
        <v>0.8</v>
      </c>
      <c r="AL19" s="130">
        <f t="shared" si="2"/>
        <v>12</v>
      </c>
      <c r="AM19" s="29" t="s">
        <v>6</v>
      </c>
      <c r="AN19" s="127">
        <v>1</v>
      </c>
      <c r="AO19" s="29"/>
      <c r="AP19" s="127"/>
      <c r="AQ19" s="29" t="s">
        <v>2430</v>
      </c>
      <c r="AR19"/>
    </row>
    <row r="20" spans="1:44">
      <c r="A20" s="135">
        <v>1</v>
      </c>
      <c r="B20" s="129">
        <v>10</v>
      </c>
      <c r="C20" s="68">
        <v>10</v>
      </c>
      <c r="D20" s="74" t="s">
        <v>5</v>
      </c>
      <c r="E20" s="68">
        <v>20</v>
      </c>
      <c r="F20" s="74" t="s">
        <v>601</v>
      </c>
      <c r="G20" s="74">
        <f t="shared" si="0"/>
        <v>20000</v>
      </c>
      <c r="H20" s="27" t="s">
        <v>1599</v>
      </c>
      <c r="I20" s="74">
        <v>10</v>
      </c>
      <c r="J20" s="3" t="str">
        <f t="shared" si="3"/>
        <v>角色升阶材料低</v>
      </c>
      <c r="K20" s="3" t="str">
        <f t="shared" si="4"/>
        <v>辅</v>
      </c>
      <c r="P20" s="74" t="s">
        <v>602</v>
      </c>
      <c r="Q20" s="74">
        <f t="shared" si="1"/>
        <v>100</v>
      </c>
      <c r="R20" s="142" t="s">
        <v>617</v>
      </c>
      <c r="S20" s="142" t="s">
        <v>2427</v>
      </c>
      <c r="T20" s="3" t="str">
        <f t="shared" si="6"/>
        <v>角色升阶材料低辅</v>
      </c>
      <c r="U20" s="142">
        <v>4</v>
      </c>
      <c r="V20" s="142">
        <v>4</v>
      </c>
      <c r="W20" s="142">
        <v>1</v>
      </c>
      <c r="X20" s="3">
        <f>VLOOKUP(R20,道具定价!$C:$F,4,0)*AVERAGE(U20:V20)*W20</f>
        <v>16</v>
      </c>
      <c r="Y20" s="74">
        <f>SUM($Q$6:Q20)</f>
        <v>1500</v>
      </c>
      <c r="Z20" s="136"/>
      <c r="AA20" s="131">
        <v>3</v>
      </c>
      <c r="AB20" s="132">
        <v>27</v>
      </c>
      <c r="AC20" s="133" t="s">
        <v>5</v>
      </c>
      <c r="AD20" s="134">
        <v>50</v>
      </c>
      <c r="AE20" s="134" t="s">
        <v>1600</v>
      </c>
      <c r="AF20" s="134">
        <v>12</v>
      </c>
      <c r="AG20" s="134" t="s">
        <v>1606</v>
      </c>
      <c r="AH20" s="134">
        <v>9</v>
      </c>
      <c r="AJ20" s="121">
        <v>2</v>
      </c>
      <c r="AK20" s="125">
        <v>1</v>
      </c>
      <c r="AL20" s="130">
        <f t="shared" si="2"/>
        <v>15</v>
      </c>
      <c r="AM20" s="29" t="s">
        <v>6</v>
      </c>
      <c r="AN20" s="127">
        <v>1</v>
      </c>
      <c r="AO20" s="29"/>
      <c r="AP20" s="127"/>
      <c r="AQ20" s="29" t="s">
        <v>2431</v>
      </c>
      <c r="AR20"/>
    </row>
    <row r="21" spans="1:44">
      <c r="A21" s="137">
        <v>2</v>
      </c>
      <c r="B21" s="138">
        <v>1</v>
      </c>
      <c r="C21" s="16">
        <v>10</v>
      </c>
      <c r="D21" s="3" t="s">
        <v>5</v>
      </c>
      <c r="E21" s="16">
        <v>20</v>
      </c>
      <c r="F21" s="3" t="s">
        <v>601</v>
      </c>
      <c r="G21" s="3">
        <f t="shared" si="0"/>
        <v>15000</v>
      </c>
      <c r="H21" s="27" t="s">
        <v>1599</v>
      </c>
      <c r="I21" s="3">
        <v>8</v>
      </c>
      <c r="J21" s="3" t="str">
        <f t="shared" si="3"/>
        <v>星盘低级道具</v>
      </c>
      <c r="K21" s="3" t="str">
        <f t="shared" si="4"/>
        <v>攻1</v>
      </c>
      <c r="L21" s="3" t="str">
        <f t="shared" ref="L21:L26" si="7">_xlfn.CONCAT(J21,K21)</f>
        <v>星盘低级道具攻1</v>
      </c>
      <c r="M21" s="3">
        <v>6</v>
      </c>
      <c r="P21" s="3" t="s">
        <v>602</v>
      </c>
      <c r="Q21" s="3">
        <f t="shared" si="1"/>
        <v>100</v>
      </c>
      <c r="R21" s="116" t="s">
        <v>637</v>
      </c>
      <c r="S21" s="116" t="s">
        <v>2411</v>
      </c>
      <c r="T21" s="3" t="str">
        <f t="shared" si="6"/>
        <v>星盘低级道具攻1</v>
      </c>
      <c r="U21" s="116">
        <v>2</v>
      </c>
      <c r="V21" s="116">
        <v>3</v>
      </c>
      <c r="W21" s="116">
        <v>1</v>
      </c>
      <c r="X21" s="3">
        <f>VLOOKUP(R21,道具定价!$C:$F,4,0)*AVERAGE(U21:V21)*W21</f>
        <v>25</v>
      </c>
      <c r="Y21" s="3">
        <f>SUM($Q$6:Q21)</f>
        <v>1600</v>
      </c>
      <c r="Z21" s="123"/>
      <c r="AA21" s="131">
        <v>3</v>
      </c>
      <c r="AB21" s="132">
        <v>36</v>
      </c>
      <c r="AC21" s="133" t="s">
        <v>5</v>
      </c>
      <c r="AD21" s="134">
        <v>50</v>
      </c>
      <c r="AE21" s="134" t="s">
        <v>1600</v>
      </c>
      <c r="AF21" s="134">
        <v>12</v>
      </c>
      <c r="AG21" s="134" t="s">
        <v>1621</v>
      </c>
      <c r="AH21" s="134">
        <v>3</v>
      </c>
      <c r="AJ21" s="131">
        <v>3</v>
      </c>
      <c r="AK21" s="139">
        <v>0.2</v>
      </c>
      <c r="AL21" s="140">
        <f t="shared" si="2"/>
        <v>3</v>
      </c>
      <c r="AM21" s="29" t="s">
        <v>6</v>
      </c>
      <c r="AN21" s="127">
        <v>1</v>
      </c>
      <c r="AO21" s="134"/>
      <c r="AP21" s="141"/>
      <c r="AQ21" s="134" t="s">
        <v>2432</v>
      </c>
      <c r="AR21"/>
    </row>
    <row r="22" spans="1:44">
      <c r="A22" s="121">
        <v>2</v>
      </c>
      <c r="B22" s="129">
        <v>2</v>
      </c>
      <c r="C22" s="16">
        <v>10</v>
      </c>
      <c r="D22" s="3" t="s">
        <v>5</v>
      </c>
      <c r="E22" s="16">
        <v>20</v>
      </c>
      <c r="F22" s="3" t="s">
        <v>601</v>
      </c>
      <c r="G22" s="3">
        <f t="shared" si="0"/>
        <v>15000</v>
      </c>
      <c r="H22" s="27" t="s">
        <v>1599</v>
      </c>
      <c r="I22" s="3">
        <v>8</v>
      </c>
      <c r="J22" s="3" t="str">
        <f t="shared" si="3"/>
        <v>星盘低级道具</v>
      </c>
      <c r="K22" s="3" t="str">
        <f t="shared" si="4"/>
        <v>攻2</v>
      </c>
      <c r="L22" s="3" t="str">
        <f t="shared" si="7"/>
        <v>星盘低级道具攻2</v>
      </c>
      <c r="M22" s="3">
        <v>6</v>
      </c>
      <c r="P22" s="3" t="s">
        <v>602</v>
      </c>
      <c r="Q22" s="3">
        <f t="shared" si="1"/>
        <v>100</v>
      </c>
      <c r="R22" s="116" t="s">
        <v>637</v>
      </c>
      <c r="S22" s="116" t="s">
        <v>2413</v>
      </c>
      <c r="T22" s="3" t="str">
        <f t="shared" si="6"/>
        <v>星盘低级道具攻2</v>
      </c>
      <c r="U22" s="116">
        <v>2</v>
      </c>
      <c r="V22" s="116">
        <v>3</v>
      </c>
      <c r="W22" s="116">
        <v>1</v>
      </c>
      <c r="X22" s="3">
        <f>VLOOKUP(R22,道具定价!$C:$F,4,0)*AVERAGE(U22:V22)*W22</f>
        <v>25</v>
      </c>
      <c r="Y22" s="3">
        <f>SUM($Q$6:Q22)</f>
        <v>1700</v>
      </c>
      <c r="Z22" s="123"/>
      <c r="AA22" s="131">
        <v>3</v>
      </c>
      <c r="AB22" s="132">
        <v>45</v>
      </c>
      <c r="AC22" s="133" t="s">
        <v>5</v>
      </c>
      <c r="AD22" s="134">
        <v>150</v>
      </c>
      <c r="AE22" s="134" t="s">
        <v>1610</v>
      </c>
      <c r="AF22" s="134">
        <v>15000</v>
      </c>
      <c r="AG22" s="134" t="s">
        <v>8</v>
      </c>
      <c r="AH22" s="134">
        <v>3</v>
      </c>
      <c r="AJ22" s="131">
        <v>3</v>
      </c>
      <c r="AK22" s="139">
        <v>0.4</v>
      </c>
      <c r="AL22" s="140">
        <f t="shared" si="2"/>
        <v>6</v>
      </c>
      <c r="AM22" s="29" t="s">
        <v>6</v>
      </c>
      <c r="AN22" s="127">
        <v>1</v>
      </c>
      <c r="AO22" s="134"/>
      <c r="AP22" s="141"/>
      <c r="AQ22" s="134" t="s">
        <v>2433</v>
      </c>
      <c r="AR22"/>
    </row>
    <row r="23" spans="1:44">
      <c r="A23" s="121">
        <v>2</v>
      </c>
      <c r="B23" s="122">
        <v>3</v>
      </c>
      <c r="C23" s="16">
        <v>10</v>
      </c>
      <c r="D23" s="3" t="s">
        <v>5</v>
      </c>
      <c r="E23" s="16">
        <v>20</v>
      </c>
      <c r="F23" s="3" t="s">
        <v>601</v>
      </c>
      <c r="G23" s="3">
        <f t="shared" si="0"/>
        <v>15000</v>
      </c>
      <c r="H23" s="27" t="s">
        <v>1599</v>
      </c>
      <c r="I23" s="3">
        <v>8</v>
      </c>
      <c r="J23" s="3" t="str">
        <f t="shared" si="3"/>
        <v>星盘低级道具</v>
      </c>
      <c r="K23" s="3" t="str">
        <f t="shared" si="4"/>
        <v>防1</v>
      </c>
      <c r="L23" s="3" t="str">
        <f t="shared" si="7"/>
        <v>星盘低级道具防1</v>
      </c>
      <c r="M23" s="3">
        <v>6</v>
      </c>
      <c r="P23" s="3" t="s">
        <v>602</v>
      </c>
      <c r="Q23" s="3">
        <f t="shared" si="1"/>
        <v>100</v>
      </c>
      <c r="R23" s="116" t="s">
        <v>637</v>
      </c>
      <c r="S23" s="116" t="s">
        <v>2415</v>
      </c>
      <c r="T23" s="3" t="str">
        <f t="shared" si="6"/>
        <v>星盘低级道具防1</v>
      </c>
      <c r="U23" s="116">
        <v>2</v>
      </c>
      <c r="V23" s="116">
        <v>3</v>
      </c>
      <c r="W23" s="116">
        <v>1</v>
      </c>
      <c r="X23" s="3">
        <f>VLOOKUP(R23,道具定价!$C:$F,4,0)*AVERAGE(U23:V23)*W23</f>
        <v>25</v>
      </c>
      <c r="Y23" s="3">
        <f>SUM($Q$6:Q23)</f>
        <v>1800</v>
      </c>
      <c r="Z23" s="123"/>
      <c r="AA23" s="121">
        <v>4</v>
      </c>
      <c r="AB23" s="124">
        <v>9</v>
      </c>
      <c r="AC23" s="129" t="s">
        <v>5</v>
      </c>
      <c r="AD23" s="29">
        <v>50</v>
      </c>
      <c r="AE23" s="29" t="s">
        <v>1600</v>
      </c>
      <c r="AF23" s="29">
        <v>12</v>
      </c>
      <c r="AG23" s="29" t="s">
        <v>1604</v>
      </c>
      <c r="AH23" s="29">
        <v>9</v>
      </c>
      <c r="AJ23" s="131">
        <v>3</v>
      </c>
      <c r="AK23" s="139">
        <v>0.6</v>
      </c>
      <c r="AL23" s="140">
        <f t="shared" si="2"/>
        <v>9</v>
      </c>
      <c r="AM23" s="29" t="s">
        <v>6</v>
      </c>
      <c r="AN23" s="127">
        <v>1</v>
      </c>
      <c r="AO23" s="134"/>
      <c r="AP23" s="141"/>
      <c r="AQ23" s="134" t="s">
        <v>2434</v>
      </c>
      <c r="AR23"/>
    </row>
    <row r="24" spans="1:44">
      <c r="A24" s="121">
        <v>2</v>
      </c>
      <c r="B24" s="129">
        <v>4</v>
      </c>
      <c r="C24" s="16">
        <v>10</v>
      </c>
      <c r="D24" s="3" t="s">
        <v>5</v>
      </c>
      <c r="E24" s="16">
        <v>20</v>
      </c>
      <c r="F24" s="3" t="s">
        <v>601</v>
      </c>
      <c r="G24" s="3">
        <f t="shared" si="0"/>
        <v>15000</v>
      </c>
      <c r="H24" s="27" t="s">
        <v>1599</v>
      </c>
      <c r="I24" s="3">
        <v>8</v>
      </c>
      <c r="J24" s="3" t="str">
        <f t="shared" si="3"/>
        <v>星盘低级道具</v>
      </c>
      <c r="K24" s="3" t="str">
        <f t="shared" si="4"/>
        <v>防2</v>
      </c>
      <c r="L24" s="3" t="str">
        <f t="shared" si="7"/>
        <v>星盘低级道具防2</v>
      </c>
      <c r="M24" s="3">
        <v>6</v>
      </c>
      <c r="P24" s="3" t="s">
        <v>602</v>
      </c>
      <c r="Q24" s="3">
        <f t="shared" si="1"/>
        <v>100</v>
      </c>
      <c r="R24" s="116" t="s">
        <v>637</v>
      </c>
      <c r="S24" s="116" t="s">
        <v>2417</v>
      </c>
      <c r="T24" s="3" t="str">
        <f t="shared" si="6"/>
        <v>星盘低级道具防2</v>
      </c>
      <c r="U24" s="116">
        <v>2</v>
      </c>
      <c r="V24" s="116">
        <v>3</v>
      </c>
      <c r="W24" s="116">
        <v>1</v>
      </c>
      <c r="X24" s="3">
        <f>VLOOKUP(R24,道具定价!$C:$F,4,0)*AVERAGE(U24:V24)*W24</f>
        <v>25</v>
      </c>
      <c r="Y24" s="3">
        <f>SUM($Q$6:Q24)</f>
        <v>1900</v>
      </c>
      <c r="Z24" s="123"/>
      <c r="AA24" s="121">
        <v>4</v>
      </c>
      <c r="AB24" s="124">
        <v>18</v>
      </c>
      <c r="AC24" s="129" t="s">
        <v>5</v>
      </c>
      <c r="AD24" s="29">
        <v>50</v>
      </c>
      <c r="AE24" s="29" t="s">
        <v>1600</v>
      </c>
      <c r="AF24" s="29">
        <v>12</v>
      </c>
      <c r="AG24" s="29" t="s">
        <v>1605</v>
      </c>
      <c r="AH24" s="29">
        <v>9</v>
      </c>
      <c r="AJ24" s="131">
        <v>3</v>
      </c>
      <c r="AK24" s="139">
        <v>0.8</v>
      </c>
      <c r="AL24" s="140">
        <f t="shared" si="2"/>
        <v>12</v>
      </c>
      <c r="AM24" s="29" t="s">
        <v>6</v>
      </c>
      <c r="AN24" s="127">
        <v>1</v>
      </c>
      <c r="AO24" s="134"/>
      <c r="AP24" s="141"/>
      <c r="AQ24" s="134" t="s">
        <v>2435</v>
      </c>
      <c r="AR24"/>
    </row>
    <row r="25" spans="1:44">
      <c r="A25" s="121">
        <v>2</v>
      </c>
      <c r="B25" s="122">
        <v>5</v>
      </c>
      <c r="C25" s="16">
        <v>10</v>
      </c>
      <c r="D25" s="3" t="s">
        <v>5</v>
      </c>
      <c r="E25" s="16">
        <v>20</v>
      </c>
      <c r="F25" s="3" t="s">
        <v>601</v>
      </c>
      <c r="G25" s="3">
        <f t="shared" si="0"/>
        <v>15000</v>
      </c>
      <c r="H25" s="27" t="s">
        <v>1599</v>
      </c>
      <c r="I25" s="3">
        <v>12</v>
      </c>
      <c r="J25" s="3" t="str">
        <f t="shared" si="3"/>
        <v>星盘低级道具</v>
      </c>
      <c r="K25" s="3" t="str">
        <f t="shared" si="4"/>
        <v>辅1</v>
      </c>
      <c r="L25" s="3" t="str">
        <f t="shared" si="7"/>
        <v>星盘低级道具辅1</v>
      </c>
      <c r="M25" s="3">
        <v>6</v>
      </c>
      <c r="P25" s="3" t="s">
        <v>602</v>
      </c>
      <c r="Q25" s="3">
        <f t="shared" si="1"/>
        <v>100</v>
      </c>
      <c r="R25" s="116" t="s">
        <v>637</v>
      </c>
      <c r="S25" s="116" t="s">
        <v>2419</v>
      </c>
      <c r="T25" s="3" t="str">
        <f t="shared" si="6"/>
        <v>星盘低级道具辅1</v>
      </c>
      <c r="U25" s="116">
        <v>2</v>
      </c>
      <c r="V25" s="116">
        <v>3</v>
      </c>
      <c r="W25" s="116">
        <v>1</v>
      </c>
      <c r="X25" s="3">
        <f>VLOOKUP(R25,道具定价!$C:$F,4,0)*AVERAGE(U25:V25)*W25</f>
        <v>25</v>
      </c>
      <c r="Y25" s="3">
        <f>SUM($Q$6:Q25)</f>
        <v>2000</v>
      </c>
      <c r="Z25" s="123"/>
      <c r="AA25" s="121">
        <v>4</v>
      </c>
      <c r="AB25" s="124">
        <v>27</v>
      </c>
      <c r="AC25" s="129" t="s">
        <v>5</v>
      </c>
      <c r="AD25" s="29">
        <v>50</v>
      </c>
      <c r="AE25" s="29" t="s">
        <v>1600</v>
      </c>
      <c r="AF25" s="29">
        <v>12</v>
      </c>
      <c r="AG25" s="29" t="s">
        <v>1606</v>
      </c>
      <c r="AH25" s="29">
        <v>9</v>
      </c>
      <c r="AJ25" s="131">
        <v>3</v>
      </c>
      <c r="AK25" s="139">
        <v>1</v>
      </c>
      <c r="AL25" s="140">
        <f t="shared" si="2"/>
        <v>15</v>
      </c>
      <c r="AM25" s="29" t="s">
        <v>6</v>
      </c>
      <c r="AN25" s="127">
        <v>1</v>
      </c>
      <c r="AO25" s="134"/>
      <c r="AP25" s="141"/>
      <c r="AQ25" s="134" t="s">
        <v>2436</v>
      </c>
      <c r="AR25"/>
    </row>
    <row r="26" spans="1:44">
      <c r="A26" s="121">
        <v>2</v>
      </c>
      <c r="B26" s="122">
        <v>6</v>
      </c>
      <c r="C26" s="16">
        <v>10</v>
      </c>
      <c r="D26" s="3" t="s">
        <v>5</v>
      </c>
      <c r="E26" s="16">
        <v>20</v>
      </c>
      <c r="F26" s="3" t="s">
        <v>601</v>
      </c>
      <c r="G26" s="3">
        <f t="shared" si="0"/>
        <v>15000</v>
      </c>
      <c r="H26" s="27" t="s">
        <v>1599</v>
      </c>
      <c r="I26" s="3">
        <v>8</v>
      </c>
      <c r="J26" s="3" t="str">
        <f t="shared" si="3"/>
        <v>星盘低级道具</v>
      </c>
      <c r="K26" s="3" t="str">
        <f t="shared" si="4"/>
        <v>辅2</v>
      </c>
      <c r="L26" s="3" t="str">
        <f t="shared" si="7"/>
        <v>星盘低级道具辅2</v>
      </c>
      <c r="M26" s="3">
        <v>6</v>
      </c>
      <c r="P26" s="3" t="s">
        <v>602</v>
      </c>
      <c r="Q26" s="3">
        <f t="shared" si="1"/>
        <v>100</v>
      </c>
      <c r="R26" s="116" t="s">
        <v>637</v>
      </c>
      <c r="S26" s="116" t="s">
        <v>2421</v>
      </c>
      <c r="T26" s="3" t="str">
        <f t="shared" si="6"/>
        <v>星盘低级道具辅2</v>
      </c>
      <c r="U26" s="116">
        <v>2</v>
      </c>
      <c r="V26" s="116">
        <v>3</v>
      </c>
      <c r="W26" s="116">
        <v>1</v>
      </c>
      <c r="X26" s="3">
        <f>VLOOKUP(R26,道具定价!$C:$F,4,0)*AVERAGE(U26:V26)*W26</f>
        <v>25</v>
      </c>
      <c r="Y26" s="3">
        <f>SUM($Q$6:Q26)</f>
        <v>2100</v>
      </c>
      <c r="Z26" s="123"/>
      <c r="AA26" s="121">
        <v>4</v>
      </c>
      <c r="AB26" s="124">
        <v>36</v>
      </c>
      <c r="AC26" s="129" t="s">
        <v>5</v>
      </c>
      <c r="AD26" s="29">
        <v>50</v>
      </c>
      <c r="AE26" s="29" t="s">
        <v>1600</v>
      </c>
      <c r="AF26" s="29">
        <v>12</v>
      </c>
      <c r="AG26" s="29" t="s">
        <v>1622</v>
      </c>
      <c r="AH26" s="29">
        <v>1</v>
      </c>
      <c r="AJ26" s="121">
        <v>4</v>
      </c>
      <c r="AK26" s="125">
        <v>0.2</v>
      </c>
      <c r="AL26" s="130">
        <f t="shared" si="2"/>
        <v>3</v>
      </c>
      <c r="AM26" s="29" t="s">
        <v>6</v>
      </c>
      <c r="AN26" s="127">
        <v>1</v>
      </c>
      <c r="AO26" s="29"/>
      <c r="AP26" s="127"/>
      <c r="AQ26" s="29" t="s">
        <v>2437</v>
      </c>
      <c r="AR26"/>
    </row>
    <row r="27" spans="1:44">
      <c r="A27" s="121">
        <v>2</v>
      </c>
      <c r="B27" s="129">
        <v>7</v>
      </c>
      <c r="C27" s="16">
        <v>10</v>
      </c>
      <c r="D27" s="3" t="s">
        <v>5</v>
      </c>
      <c r="E27" s="16">
        <v>20</v>
      </c>
      <c r="F27" s="3" t="s">
        <v>601</v>
      </c>
      <c r="G27" s="3">
        <f t="shared" si="0"/>
        <v>15000</v>
      </c>
      <c r="H27" s="27" t="s">
        <v>1599</v>
      </c>
      <c r="I27" s="3">
        <v>8</v>
      </c>
      <c r="J27" s="3" t="str">
        <f t="shared" si="3"/>
        <v>角色升阶材料低</v>
      </c>
      <c r="K27" s="3" t="str">
        <f t="shared" si="4"/>
        <v>攻</v>
      </c>
      <c r="P27" s="3" t="s">
        <v>602</v>
      </c>
      <c r="Q27" s="3">
        <f t="shared" si="1"/>
        <v>100</v>
      </c>
      <c r="R27" s="142" t="s">
        <v>617</v>
      </c>
      <c r="S27" s="142" t="s">
        <v>2423</v>
      </c>
      <c r="T27" s="3" t="str">
        <f t="shared" si="6"/>
        <v>角色升阶材料低攻</v>
      </c>
      <c r="U27" s="142">
        <v>5</v>
      </c>
      <c r="V27" s="142">
        <v>5</v>
      </c>
      <c r="W27" s="142">
        <v>1</v>
      </c>
      <c r="X27" s="3">
        <f>VLOOKUP(R27,道具定价!$C:$F,4,0)*AVERAGE(U27:V27)*W27</f>
        <v>20</v>
      </c>
      <c r="Y27" s="3">
        <f>SUM($Q$6:Q27)</f>
        <v>2200</v>
      </c>
      <c r="Z27" s="123"/>
      <c r="AA27" s="121">
        <v>4</v>
      </c>
      <c r="AB27" s="124">
        <v>45</v>
      </c>
      <c r="AC27" s="129" t="s">
        <v>5</v>
      </c>
      <c r="AD27" s="29">
        <v>150</v>
      </c>
      <c r="AE27" s="29" t="s">
        <v>1610</v>
      </c>
      <c r="AF27" s="29">
        <v>20000</v>
      </c>
      <c r="AG27" s="29" t="s">
        <v>8</v>
      </c>
      <c r="AH27" s="29">
        <v>3</v>
      </c>
      <c r="AJ27" s="121">
        <v>4</v>
      </c>
      <c r="AK27" s="125">
        <v>0.4</v>
      </c>
      <c r="AL27" s="130">
        <f t="shared" si="2"/>
        <v>6</v>
      </c>
      <c r="AM27" s="29" t="s">
        <v>6</v>
      </c>
      <c r="AN27" s="127">
        <v>1</v>
      </c>
      <c r="AO27" s="29"/>
      <c r="AP27" s="127"/>
      <c r="AQ27" s="29" t="s">
        <v>2438</v>
      </c>
      <c r="AR27"/>
    </row>
    <row r="28" spans="1:44">
      <c r="A28" s="121">
        <v>2</v>
      </c>
      <c r="B28" s="122">
        <v>8</v>
      </c>
      <c r="C28" s="16">
        <v>10</v>
      </c>
      <c r="D28" s="3" t="s">
        <v>5</v>
      </c>
      <c r="E28" s="16">
        <v>20</v>
      </c>
      <c r="F28" s="3" t="s">
        <v>601</v>
      </c>
      <c r="G28" s="3">
        <f t="shared" si="0"/>
        <v>15000</v>
      </c>
      <c r="H28" s="27" t="s">
        <v>1599</v>
      </c>
      <c r="I28" s="3">
        <v>8</v>
      </c>
      <c r="J28" s="3" t="str">
        <f t="shared" si="3"/>
        <v>角色升阶材料低</v>
      </c>
      <c r="K28" s="3" t="str">
        <f t="shared" si="4"/>
        <v>防</v>
      </c>
      <c r="P28" s="3" t="s">
        <v>602</v>
      </c>
      <c r="Q28" s="3">
        <f t="shared" si="1"/>
        <v>100</v>
      </c>
      <c r="R28" s="142" t="s">
        <v>617</v>
      </c>
      <c r="S28" s="142" t="s">
        <v>2425</v>
      </c>
      <c r="T28" s="3" t="str">
        <f t="shared" si="6"/>
        <v>角色升阶材料低防</v>
      </c>
      <c r="U28" s="142">
        <v>5</v>
      </c>
      <c r="V28" s="142">
        <v>5</v>
      </c>
      <c r="W28" s="142">
        <v>1</v>
      </c>
      <c r="X28" s="3">
        <f>VLOOKUP(R28,道具定价!$C:$F,4,0)*AVERAGE(U28:V28)*W28</f>
        <v>20</v>
      </c>
      <c r="Y28" s="3">
        <f>SUM($Q$6:Q28)</f>
        <v>2300</v>
      </c>
      <c r="AJ28" s="121">
        <v>4</v>
      </c>
      <c r="AK28" s="125">
        <v>0.6</v>
      </c>
      <c r="AL28" s="130">
        <f t="shared" si="2"/>
        <v>9</v>
      </c>
      <c r="AM28" s="29" t="s">
        <v>6</v>
      </c>
      <c r="AN28" s="127">
        <v>1</v>
      </c>
      <c r="AO28" s="29"/>
      <c r="AP28" s="127"/>
      <c r="AQ28" s="29" t="s">
        <v>2439</v>
      </c>
      <c r="AR28"/>
    </row>
    <row r="29" spans="1:44">
      <c r="A29" s="121">
        <v>2</v>
      </c>
      <c r="B29" s="122">
        <v>9</v>
      </c>
      <c r="C29" s="16">
        <v>10</v>
      </c>
      <c r="D29" s="3" t="s">
        <v>5</v>
      </c>
      <c r="E29" s="16">
        <v>20</v>
      </c>
      <c r="F29" s="3" t="s">
        <v>601</v>
      </c>
      <c r="G29" s="3">
        <f t="shared" si="0"/>
        <v>15000</v>
      </c>
      <c r="H29" s="27" t="s">
        <v>1599</v>
      </c>
      <c r="I29" s="3">
        <v>8</v>
      </c>
      <c r="J29" s="3" t="str">
        <f t="shared" si="3"/>
        <v>角色升阶材料低</v>
      </c>
      <c r="K29" s="3" t="str">
        <f t="shared" si="4"/>
        <v>辅</v>
      </c>
      <c r="P29" s="3" t="s">
        <v>602</v>
      </c>
      <c r="Q29" s="3">
        <f t="shared" si="1"/>
        <v>100</v>
      </c>
      <c r="R29" s="142" t="s">
        <v>617</v>
      </c>
      <c r="S29" s="142" t="s">
        <v>2427</v>
      </c>
      <c r="T29" s="3" t="str">
        <f t="shared" si="6"/>
        <v>角色升阶材料低辅</v>
      </c>
      <c r="U29" s="142">
        <v>5</v>
      </c>
      <c r="V29" s="142">
        <v>5</v>
      </c>
      <c r="W29" s="142">
        <v>1</v>
      </c>
      <c r="X29" s="3">
        <f>VLOOKUP(R29,道具定价!$C:$F,4,0)*AVERAGE(U29:V29)*W29</f>
        <v>20</v>
      </c>
      <c r="Y29" s="3">
        <f>SUM($Q$6:Q29)</f>
        <v>2400</v>
      </c>
      <c r="AJ29" s="121">
        <v>4</v>
      </c>
      <c r="AK29" s="125">
        <v>0.8</v>
      </c>
      <c r="AL29" s="130">
        <f t="shared" si="2"/>
        <v>12</v>
      </c>
      <c r="AM29" s="29" t="s">
        <v>6</v>
      </c>
      <c r="AN29" s="127">
        <v>1</v>
      </c>
      <c r="AO29" s="29"/>
      <c r="AP29" s="127"/>
      <c r="AQ29" s="29" t="s">
        <v>2440</v>
      </c>
      <c r="AR29"/>
    </row>
    <row r="30" spans="1:44">
      <c r="A30" s="121">
        <v>2</v>
      </c>
      <c r="B30" s="129">
        <v>10</v>
      </c>
      <c r="C30" s="16">
        <v>10</v>
      </c>
      <c r="D30" s="3" t="s">
        <v>5</v>
      </c>
      <c r="E30" s="16">
        <v>20</v>
      </c>
      <c r="F30" s="3" t="s">
        <v>601</v>
      </c>
      <c r="G30" s="3">
        <f t="shared" si="0"/>
        <v>15000</v>
      </c>
      <c r="H30" s="27" t="s">
        <v>1599</v>
      </c>
      <c r="I30" s="3">
        <v>12</v>
      </c>
      <c r="J30" s="3" t="str">
        <f t="shared" si="3"/>
        <v>角色升阶材料低</v>
      </c>
      <c r="K30" s="3" t="str">
        <f t="shared" si="4"/>
        <v>攻</v>
      </c>
      <c r="P30" s="3" t="s">
        <v>602</v>
      </c>
      <c r="Q30" s="3">
        <f t="shared" si="1"/>
        <v>100</v>
      </c>
      <c r="R30" s="142" t="s">
        <v>617</v>
      </c>
      <c r="S30" s="142" t="s">
        <v>2423</v>
      </c>
      <c r="T30" s="3" t="str">
        <f t="shared" si="6"/>
        <v>角色升阶材料低攻</v>
      </c>
      <c r="U30" s="142">
        <v>6</v>
      </c>
      <c r="V30" s="142">
        <v>6</v>
      </c>
      <c r="W30" s="142">
        <v>1</v>
      </c>
      <c r="X30" s="3">
        <f>VLOOKUP(R30,道具定价!$C:$F,4,0)*AVERAGE(U30:V30)*W30</f>
        <v>24</v>
      </c>
      <c r="Y30" s="3">
        <f>SUM($Q$6:Q30)</f>
        <v>2500</v>
      </c>
      <c r="AA30"/>
      <c r="AB30"/>
      <c r="AC30"/>
      <c r="AD30"/>
      <c r="AE30"/>
      <c r="AF30"/>
      <c r="AG30"/>
      <c r="AH30"/>
      <c r="AJ30" s="121">
        <v>4</v>
      </c>
      <c r="AK30" s="125">
        <v>1</v>
      </c>
      <c r="AL30" s="130">
        <f t="shared" si="2"/>
        <v>15</v>
      </c>
      <c r="AM30" s="29" t="s">
        <v>6</v>
      </c>
      <c r="AN30" s="127">
        <v>1</v>
      </c>
      <c r="AO30" s="29"/>
      <c r="AP30" s="127"/>
      <c r="AQ30" s="29" t="s">
        <v>2441</v>
      </c>
      <c r="AR30"/>
    </row>
    <row r="31" spans="1:44">
      <c r="A31" s="121">
        <v>2</v>
      </c>
      <c r="B31" s="122">
        <v>11</v>
      </c>
      <c r="C31" s="16">
        <v>10</v>
      </c>
      <c r="D31" s="3" t="s">
        <v>5</v>
      </c>
      <c r="E31" s="16">
        <v>20</v>
      </c>
      <c r="F31" s="3" t="s">
        <v>601</v>
      </c>
      <c r="G31" s="3">
        <f t="shared" si="0"/>
        <v>15000</v>
      </c>
      <c r="H31" s="27" t="s">
        <v>1599</v>
      </c>
      <c r="I31" s="3">
        <v>8</v>
      </c>
      <c r="J31" s="3" t="str">
        <f t="shared" si="3"/>
        <v>角色升阶材料低</v>
      </c>
      <c r="K31" s="3" t="str">
        <f t="shared" si="4"/>
        <v>防</v>
      </c>
      <c r="P31" s="3" t="s">
        <v>602</v>
      </c>
      <c r="Q31" s="3">
        <f t="shared" si="1"/>
        <v>100</v>
      </c>
      <c r="R31" s="142" t="s">
        <v>617</v>
      </c>
      <c r="S31" s="142" t="s">
        <v>2425</v>
      </c>
      <c r="T31" s="3" t="str">
        <f t="shared" si="6"/>
        <v>角色升阶材料低防</v>
      </c>
      <c r="U31" s="142">
        <v>6</v>
      </c>
      <c r="V31" s="142">
        <v>6</v>
      </c>
      <c r="W31" s="142">
        <v>1</v>
      </c>
      <c r="X31" s="3">
        <f>VLOOKUP(R31,道具定价!$C:$F,4,0)*AVERAGE(U31:V31)*W31</f>
        <v>24</v>
      </c>
      <c r="Y31" s="3">
        <f>SUM($Q$6:Q31)</f>
        <v>2600</v>
      </c>
      <c r="AC31"/>
      <c r="AD31"/>
      <c r="AJ31"/>
      <c r="AK31"/>
      <c r="AL31" s="117"/>
      <c r="AN31"/>
      <c r="AO31"/>
      <c r="AP31"/>
      <c r="AQ31"/>
      <c r="AR31"/>
    </row>
    <row r="32" spans="1:44">
      <c r="A32" s="121">
        <v>2</v>
      </c>
      <c r="B32" s="129">
        <v>12</v>
      </c>
      <c r="C32" s="16">
        <v>10</v>
      </c>
      <c r="D32" s="3" t="s">
        <v>5</v>
      </c>
      <c r="E32" s="16">
        <v>20</v>
      </c>
      <c r="F32" s="3" t="s">
        <v>601</v>
      </c>
      <c r="G32" s="3">
        <f t="shared" si="0"/>
        <v>15000</v>
      </c>
      <c r="H32" s="27" t="s">
        <v>1599</v>
      </c>
      <c r="I32" s="3">
        <v>8</v>
      </c>
      <c r="J32" s="3" t="str">
        <f t="shared" si="3"/>
        <v>角色升阶材料低</v>
      </c>
      <c r="K32" s="3" t="str">
        <f t="shared" si="4"/>
        <v>辅</v>
      </c>
      <c r="P32" s="3" t="s">
        <v>602</v>
      </c>
      <c r="Q32" s="3">
        <f t="shared" si="1"/>
        <v>100</v>
      </c>
      <c r="R32" s="142" t="s">
        <v>617</v>
      </c>
      <c r="S32" s="142" t="s">
        <v>2427</v>
      </c>
      <c r="T32" s="3" t="str">
        <f t="shared" si="6"/>
        <v>角色升阶材料低辅</v>
      </c>
      <c r="U32" s="142">
        <v>6</v>
      </c>
      <c r="V32" s="142">
        <v>6</v>
      </c>
      <c r="W32" s="142">
        <v>1</v>
      </c>
      <c r="X32" s="3">
        <f>VLOOKUP(R32,道具定价!$C:$F,4,0)*AVERAGE(U32:V32)*W32</f>
        <v>24</v>
      </c>
      <c r="Y32" s="3">
        <f>SUM($Q$6:Q32)</f>
        <v>2700</v>
      </c>
      <c r="AC32"/>
      <c r="AD32"/>
      <c r="AJ32"/>
      <c r="AK32"/>
      <c r="AL32" s="117"/>
      <c r="AN32"/>
      <c r="AO32"/>
      <c r="AP32"/>
      <c r="AQ32"/>
      <c r="AR32"/>
    </row>
    <row r="33" spans="1:44">
      <c r="A33" s="121">
        <v>2</v>
      </c>
      <c r="B33" s="122">
        <v>13</v>
      </c>
      <c r="C33" s="16">
        <v>10</v>
      </c>
      <c r="D33" s="3" t="s">
        <v>5</v>
      </c>
      <c r="E33" s="16">
        <v>20</v>
      </c>
      <c r="F33" s="3" t="s">
        <v>601</v>
      </c>
      <c r="G33" s="3">
        <f t="shared" si="0"/>
        <v>15000</v>
      </c>
      <c r="H33" s="27" t="s">
        <v>1599</v>
      </c>
      <c r="I33" s="3">
        <v>8</v>
      </c>
      <c r="J33" s="3" t="str">
        <f t="shared" si="3"/>
        <v>星盘中级道具</v>
      </c>
      <c r="K33" s="3" t="str">
        <f t="shared" si="4"/>
        <v>攻1</v>
      </c>
      <c r="L33" s="3" t="str">
        <f t="shared" ref="L33:L65" si="8">_xlfn.CONCAT(J33,K33)</f>
        <v>星盘中级道具攻1</v>
      </c>
      <c r="M33" s="3">
        <v>4</v>
      </c>
      <c r="P33" s="3" t="s">
        <v>602</v>
      </c>
      <c r="Q33" s="3">
        <f t="shared" si="1"/>
        <v>100</v>
      </c>
      <c r="R33" s="116" t="s">
        <v>638</v>
      </c>
      <c r="S33" s="116" t="s">
        <v>2411</v>
      </c>
      <c r="T33" s="3" t="str">
        <f t="shared" si="6"/>
        <v>星盘中级道具攻1</v>
      </c>
      <c r="U33" s="116">
        <v>2</v>
      </c>
      <c r="V33" s="116">
        <v>2</v>
      </c>
      <c r="W33" s="116">
        <v>1</v>
      </c>
      <c r="X33" s="3">
        <f>VLOOKUP(R33,道具定价!$C:$F,4,0)*AVERAGE(U33:V33)*W33</f>
        <v>30</v>
      </c>
      <c r="Y33" s="3">
        <f>SUM($Q$6:Q33)</f>
        <v>2800</v>
      </c>
      <c r="AC33"/>
      <c r="AD33"/>
      <c r="AJ33"/>
      <c r="AK33"/>
      <c r="AL33"/>
      <c r="AN33"/>
      <c r="AO33"/>
      <c r="AP33"/>
      <c r="AQ33"/>
      <c r="AR33"/>
    </row>
    <row r="34" spans="1:44">
      <c r="A34" s="121">
        <v>2</v>
      </c>
      <c r="B34" s="129">
        <v>14</v>
      </c>
      <c r="C34" s="16">
        <v>10</v>
      </c>
      <c r="D34" s="3" t="s">
        <v>5</v>
      </c>
      <c r="E34" s="16">
        <v>20</v>
      </c>
      <c r="F34" s="3" t="s">
        <v>601</v>
      </c>
      <c r="G34" s="3">
        <f t="shared" si="0"/>
        <v>15000</v>
      </c>
      <c r="H34" s="27" t="s">
        <v>1599</v>
      </c>
      <c r="I34" s="3">
        <v>8</v>
      </c>
      <c r="J34" s="3" t="str">
        <f t="shared" si="3"/>
        <v>星盘中级道具</v>
      </c>
      <c r="K34" s="3" t="str">
        <f t="shared" si="4"/>
        <v>攻2</v>
      </c>
      <c r="L34" s="3" t="str">
        <f t="shared" si="8"/>
        <v>星盘中级道具攻2</v>
      </c>
      <c r="M34" s="3">
        <v>4</v>
      </c>
      <c r="P34" s="3" t="s">
        <v>602</v>
      </c>
      <c r="Q34" s="3">
        <f t="shared" si="1"/>
        <v>100</v>
      </c>
      <c r="R34" s="116" t="s">
        <v>638</v>
      </c>
      <c r="S34" s="116" t="s">
        <v>2413</v>
      </c>
      <c r="T34" s="3" t="str">
        <f t="shared" si="6"/>
        <v>星盘中级道具攻2</v>
      </c>
      <c r="U34" s="116">
        <v>2</v>
      </c>
      <c r="V34" s="116">
        <v>2</v>
      </c>
      <c r="W34" s="116">
        <v>1</v>
      </c>
      <c r="X34" s="3">
        <f>VLOOKUP(R34,道具定价!$C:$F,4,0)*AVERAGE(U34:V34)*W34</f>
        <v>30</v>
      </c>
      <c r="Y34" s="3">
        <f>SUM($Q$6:Q34)</f>
        <v>2900</v>
      </c>
      <c r="AC34"/>
      <c r="AD34"/>
      <c r="AJ34"/>
      <c r="AK34"/>
      <c r="AL34"/>
      <c r="AN34"/>
      <c r="AO34"/>
      <c r="AP34"/>
      <c r="AQ34"/>
      <c r="AR34"/>
    </row>
    <row r="35" spans="1:44">
      <c r="A35" s="135">
        <v>2</v>
      </c>
      <c r="B35" s="122">
        <v>15</v>
      </c>
      <c r="C35" s="16">
        <v>10</v>
      </c>
      <c r="D35" s="74" t="s">
        <v>5</v>
      </c>
      <c r="E35" s="68">
        <v>20</v>
      </c>
      <c r="F35" s="74" t="s">
        <v>601</v>
      </c>
      <c r="G35" s="74">
        <f t="shared" si="0"/>
        <v>30000</v>
      </c>
      <c r="H35" s="27" t="s">
        <v>1599</v>
      </c>
      <c r="I35" s="74">
        <v>12</v>
      </c>
      <c r="J35" s="3" t="str">
        <f t="shared" si="3"/>
        <v>星盘中级道具</v>
      </c>
      <c r="K35" s="3" t="str">
        <f t="shared" si="4"/>
        <v>防1</v>
      </c>
      <c r="L35" s="3" t="str">
        <f t="shared" si="8"/>
        <v>星盘中级道具防1</v>
      </c>
      <c r="M35" s="3">
        <v>4</v>
      </c>
      <c r="N35" s="3" t="s">
        <v>2442</v>
      </c>
      <c r="O35" s="3" t="s">
        <v>2443</v>
      </c>
      <c r="P35" s="74" t="s">
        <v>602</v>
      </c>
      <c r="Q35" s="74">
        <f t="shared" si="1"/>
        <v>100</v>
      </c>
      <c r="R35" s="116" t="s">
        <v>638</v>
      </c>
      <c r="S35" s="116" t="s">
        <v>2415</v>
      </c>
      <c r="T35" s="3" t="str">
        <f t="shared" si="6"/>
        <v>星盘中级道具防1</v>
      </c>
      <c r="U35" s="116">
        <v>2</v>
      </c>
      <c r="V35" s="116">
        <v>2</v>
      </c>
      <c r="W35" s="116">
        <v>1</v>
      </c>
      <c r="X35" s="3">
        <f>VLOOKUP(R35,道具定价!$C:$F,4,0)*AVERAGE(U35:V35)*W35</f>
        <v>30</v>
      </c>
      <c r="Y35" s="74">
        <f>SUM($Q$6:Q35)</f>
        <v>3000</v>
      </c>
      <c r="AC35"/>
      <c r="AD35"/>
      <c r="AJ35"/>
      <c r="AK35"/>
      <c r="AL35"/>
      <c r="AN35"/>
      <c r="AO35"/>
      <c r="AP35"/>
      <c r="AQ35"/>
      <c r="AR35"/>
    </row>
    <row r="36" spans="1:44">
      <c r="A36" s="137">
        <v>3</v>
      </c>
      <c r="B36" s="138">
        <v>1</v>
      </c>
      <c r="C36" s="16">
        <v>10</v>
      </c>
      <c r="D36" s="3" t="s">
        <v>5</v>
      </c>
      <c r="E36" s="16">
        <v>20</v>
      </c>
      <c r="F36" s="3" t="s">
        <v>601</v>
      </c>
      <c r="G36" s="3">
        <f t="shared" si="0"/>
        <v>20000</v>
      </c>
      <c r="H36" s="27" t="s">
        <v>1599</v>
      </c>
      <c r="I36" s="3">
        <v>12</v>
      </c>
      <c r="J36" s="3" t="str">
        <f t="shared" si="3"/>
        <v>星盘中级道具</v>
      </c>
      <c r="K36" s="3" t="str">
        <f t="shared" si="4"/>
        <v>防2</v>
      </c>
      <c r="L36" s="3" t="str">
        <f t="shared" si="8"/>
        <v>星盘中级道具防2</v>
      </c>
      <c r="M36" s="3">
        <v>4</v>
      </c>
      <c r="P36" s="3" t="s">
        <v>602</v>
      </c>
      <c r="Q36" s="3">
        <f t="shared" si="1"/>
        <v>100</v>
      </c>
      <c r="R36" s="116" t="s">
        <v>638</v>
      </c>
      <c r="S36" s="116" t="s">
        <v>2417</v>
      </c>
      <c r="T36" s="3" t="str">
        <f t="shared" si="6"/>
        <v>星盘中级道具防2</v>
      </c>
      <c r="U36" s="116">
        <v>2</v>
      </c>
      <c r="V36" s="116">
        <v>2</v>
      </c>
      <c r="W36" s="116">
        <v>1</v>
      </c>
      <c r="X36" s="3">
        <f>VLOOKUP(R36,道具定价!$C:$F,4,0)*AVERAGE(U36:V36)*W36</f>
        <v>30</v>
      </c>
      <c r="Y36" s="3">
        <f>SUM($Q$6:Q36)</f>
        <v>3100</v>
      </c>
      <c r="AC36"/>
      <c r="AD36"/>
      <c r="AJ36"/>
      <c r="AK36"/>
      <c r="AL36"/>
      <c r="AN36"/>
      <c r="AO36"/>
      <c r="AP36"/>
      <c r="AQ36"/>
      <c r="AR36"/>
    </row>
    <row r="37" spans="1:44">
      <c r="A37" s="121">
        <v>3</v>
      </c>
      <c r="B37" s="129">
        <v>2</v>
      </c>
      <c r="C37" s="16">
        <v>10</v>
      </c>
      <c r="D37" s="3" t="s">
        <v>5</v>
      </c>
      <c r="E37" s="16">
        <v>20</v>
      </c>
      <c r="F37" s="3" t="s">
        <v>601</v>
      </c>
      <c r="G37" s="3">
        <f t="shared" si="0"/>
        <v>20000</v>
      </c>
      <c r="H37" s="27" t="s">
        <v>1599</v>
      </c>
      <c r="I37" s="3">
        <v>12</v>
      </c>
      <c r="J37" s="3" t="str">
        <f t="shared" si="3"/>
        <v>星盘中级道具</v>
      </c>
      <c r="K37" s="3" t="str">
        <f t="shared" si="4"/>
        <v>辅1</v>
      </c>
      <c r="L37" s="3" t="str">
        <f t="shared" si="8"/>
        <v>星盘中级道具辅1</v>
      </c>
      <c r="M37" s="3">
        <v>4</v>
      </c>
      <c r="P37" s="3" t="s">
        <v>602</v>
      </c>
      <c r="Q37" s="3">
        <f t="shared" si="1"/>
        <v>100</v>
      </c>
      <c r="R37" s="116" t="s">
        <v>638</v>
      </c>
      <c r="S37" s="116" t="s">
        <v>2419</v>
      </c>
      <c r="T37" s="3" t="str">
        <f t="shared" si="6"/>
        <v>星盘中级道具辅1</v>
      </c>
      <c r="U37" s="116">
        <v>2</v>
      </c>
      <c r="V37" s="116">
        <v>2</v>
      </c>
      <c r="W37" s="116">
        <v>1</v>
      </c>
      <c r="X37" s="3">
        <f>VLOOKUP(R37,道具定价!$C:$F,4,0)*AVERAGE(U37:V37)*W37</f>
        <v>30</v>
      </c>
      <c r="Y37" s="3">
        <f>SUM($Q$6:Q37)</f>
        <v>3200</v>
      </c>
      <c r="AC37"/>
      <c r="AD37"/>
      <c r="AJ37"/>
      <c r="AK37"/>
      <c r="AL37"/>
      <c r="AN37"/>
      <c r="AO37"/>
      <c r="AP37"/>
      <c r="AQ37"/>
      <c r="AR37"/>
    </row>
    <row r="38" spans="1:44">
      <c r="A38" s="121">
        <v>3</v>
      </c>
      <c r="B38" s="122">
        <v>3</v>
      </c>
      <c r="C38" s="16">
        <v>10</v>
      </c>
      <c r="D38" s="3" t="s">
        <v>5</v>
      </c>
      <c r="E38" s="16">
        <v>20</v>
      </c>
      <c r="F38" s="3" t="s">
        <v>601</v>
      </c>
      <c r="G38" s="3">
        <f t="shared" si="0"/>
        <v>20000</v>
      </c>
      <c r="H38" s="27" t="s">
        <v>1599</v>
      </c>
      <c r="I38" s="3">
        <v>12</v>
      </c>
      <c r="J38" s="3" t="str">
        <f t="shared" si="3"/>
        <v>星盘中级道具</v>
      </c>
      <c r="K38" s="3" t="str">
        <f t="shared" si="4"/>
        <v>辅2</v>
      </c>
      <c r="L38" s="3" t="str">
        <f t="shared" si="8"/>
        <v>星盘中级道具辅2</v>
      </c>
      <c r="M38" s="3">
        <v>4</v>
      </c>
      <c r="P38" s="3" t="s">
        <v>602</v>
      </c>
      <c r="Q38" s="3">
        <f t="shared" si="1"/>
        <v>100</v>
      </c>
      <c r="R38" s="116" t="s">
        <v>638</v>
      </c>
      <c r="S38" s="116" t="s">
        <v>2421</v>
      </c>
      <c r="T38" s="3" t="str">
        <f t="shared" si="6"/>
        <v>星盘中级道具辅2</v>
      </c>
      <c r="U38" s="116">
        <v>2</v>
      </c>
      <c r="V38" s="116">
        <v>2</v>
      </c>
      <c r="W38" s="116">
        <v>1</v>
      </c>
      <c r="X38" s="3">
        <f>VLOOKUP(R38,道具定价!$C:$F,4,0)*AVERAGE(U38:V38)*W38</f>
        <v>30</v>
      </c>
      <c r="Y38" s="3">
        <f>SUM($Q$6:Q38)</f>
        <v>3300</v>
      </c>
      <c r="AC38"/>
      <c r="AD38"/>
      <c r="AJ38"/>
      <c r="AK38"/>
      <c r="AL38"/>
      <c r="AN38"/>
      <c r="AO38"/>
      <c r="AP38"/>
      <c r="AQ38"/>
      <c r="AR38"/>
    </row>
    <row r="39" spans="1:44">
      <c r="A39" s="121">
        <v>3</v>
      </c>
      <c r="B39" s="129">
        <v>4</v>
      </c>
      <c r="C39" s="16">
        <v>10</v>
      </c>
      <c r="D39" s="3" t="s">
        <v>5</v>
      </c>
      <c r="E39" s="16">
        <v>20</v>
      </c>
      <c r="F39" s="3" t="s">
        <v>601</v>
      </c>
      <c r="G39" s="3">
        <f t="shared" si="0"/>
        <v>20000</v>
      </c>
      <c r="H39" s="27" t="s">
        <v>1599</v>
      </c>
      <c r="I39" s="3">
        <v>12</v>
      </c>
      <c r="J39" s="3" t="str">
        <f t="shared" si="3"/>
        <v>星盘中级道具</v>
      </c>
      <c r="K39" s="3" t="str">
        <f t="shared" si="4"/>
        <v>攻1</v>
      </c>
      <c r="L39" s="3" t="str">
        <f t="shared" si="8"/>
        <v>星盘中级道具攻1</v>
      </c>
      <c r="M39" s="3">
        <v>4</v>
      </c>
      <c r="P39" s="3" t="s">
        <v>602</v>
      </c>
      <c r="Q39" s="3">
        <f t="shared" si="1"/>
        <v>100</v>
      </c>
      <c r="R39" s="116" t="s">
        <v>638</v>
      </c>
      <c r="S39" s="116" t="s">
        <v>2411</v>
      </c>
      <c r="T39" s="3" t="str">
        <f t="shared" si="6"/>
        <v>星盘中级道具攻1</v>
      </c>
      <c r="U39" s="116">
        <v>2</v>
      </c>
      <c r="V39" s="116">
        <v>3</v>
      </c>
      <c r="W39" s="116">
        <v>1</v>
      </c>
      <c r="X39" s="3">
        <f>VLOOKUP(R39,道具定价!$C:$F,4,0)*AVERAGE(U39:V39)*W39</f>
        <v>37.5</v>
      </c>
      <c r="Y39" s="3">
        <f>SUM($Q$6:Q39)</f>
        <v>3400</v>
      </c>
      <c r="AC39"/>
      <c r="AD39"/>
      <c r="AJ39"/>
      <c r="AK39"/>
      <c r="AL39"/>
      <c r="AN39"/>
      <c r="AO39"/>
      <c r="AP39"/>
      <c r="AQ39"/>
      <c r="AR39"/>
    </row>
    <row r="40" spans="1:44">
      <c r="A40" s="121">
        <v>3</v>
      </c>
      <c r="B40" s="122">
        <v>5</v>
      </c>
      <c r="C40" s="16">
        <v>10</v>
      </c>
      <c r="D40" s="3" t="s">
        <v>5</v>
      </c>
      <c r="E40" s="16">
        <v>20</v>
      </c>
      <c r="F40" s="3" t="s">
        <v>601</v>
      </c>
      <c r="G40" s="3">
        <f t="shared" si="0"/>
        <v>20000</v>
      </c>
      <c r="H40" s="27" t="s">
        <v>1599</v>
      </c>
      <c r="I40" s="3">
        <v>20</v>
      </c>
      <c r="J40" s="3" t="str">
        <f t="shared" si="3"/>
        <v>星盘中级道具</v>
      </c>
      <c r="K40" s="3" t="str">
        <f t="shared" si="4"/>
        <v>攻2</v>
      </c>
      <c r="L40" s="3" t="str">
        <f t="shared" si="8"/>
        <v>星盘中级道具攻2</v>
      </c>
      <c r="M40" s="3">
        <v>4</v>
      </c>
      <c r="P40" s="3" t="s">
        <v>602</v>
      </c>
      <c r="Q40" s="3">
        <f t="shared" si="1"/>
        <v>100</v>
      </c>
      <c r="R40" s="116" t="s">
        <v>638</v>
      </c>
      <c r="S40" s="116" t="s">
        <v>2413</v>
      </c>
      <c r="T40" s="3" t="str">
        <f t="shared" si="6"/>
        <v>星盘中级道具攻2</v>
      </c>
      <c r="U40" s="116">
        <v>2</v>
      </c>
      <c r="V40" s="116">
        <v>3</v>
      </c>
      <c r="W40" s="116">
        <v>1</v>
      </c>
      <c r="X40" s="3">
        <f>VLOOKUP(R40,道具定价!$C:$F,4,0)*AVERAGE(U40:V40)*W40</f>
        <v>37.5</v>
      </c>
      <c r="Y40" s="3">
        <f>SUM($Q$6:Q40)</f>
        <v>3500</v>
      </c>
      <c r="AC40"/>
      <c r="AD40"/>
      <c r="AJ40"/>
      <c r="AK40"/>
      <c r="AL40"/>
      <c r="AN40"/>
      <c r="AO40"/>
      <c r="AP40"/>
      <c r="AQ40"/>
      <c r="AR40"/>
    </row>
    <row r="41" spans="1:44">
      <c r="A41" s="121">
        <v>3</v>
      </c>
      <c r="B41" s="122">
        <v>6</v>
      </c>
      <c r="C41" s="16">
        <v>10</v>
      </c>
      <c r="D41" s="3" t="s">
        <v>5</v>
      </c>
      <c r="E41" s="16">
        <v>20</v>
      </c>
      <c r="F41" s="3" t="s">
        <v>601</v>
      </c>
      <c r="G41" s="3">
        <f t="shared" si="0"/>
        <v>20000</v>
      </c>
      <c r="H41" s="27" t="s">
        <v>1599</v>
      </c>
      <c r="I41" s="3">
        <v>12</v>
      </c>
      <c r="J41" s="3" t="str">
        <f t="shared" si="3"/>
        <v>星盘中级道具</v>
      </c>
      <c r="K41" s="3" t="str">
        <f t="shared" si="4"/>
        <v>防1</v>
      </c>
      <c r="L41" s="3" t="str">
        <f t="shared" si="8"/>
        <v>星盘中级道具防1</v>
      </c>
      <c r="M41" s="3">
        <v>4</v>
      </c>
      <c r="P41" s="3" t="s">
        <v>602</v>
      </c>
      <c r="Q41" s="3">
        <f t="shared" si="1"/>
        <v>100</v>
      </c>
      <c r="R41" s="116" t="s">
        <v>638</v>
      </c>
      <c r="S41" s="116" t="s">
        <v>2415</v>
      </c>
      <c r="T41" s="3" t="str">
        <f t="shared" si="6"/>
        <v>星盘中级道具防1</v>
      </c>
      <c r="U41" s="116">
        <v>2</v>
      </c>
      <c r="V41" s="116">
        <v>3</v>
      </c>
      <c r="W41" s="116">
        <v>1</v>
      </c>
      <c r="X41" s="3">
        <f>VLOOKUP(R41,道具定价!$C:$F,4,0)*AVERAGE(U41:V41)*W41</f>
        <v>37.5</v>
      </c>
      <c r="Y41" s="3">
        <f>SUM($Q$6:Q41)</f>
        <v>3600</v>
      </c>
      <c r="AC41"/>
      <c r="AD41"/>
      <c r="AJ41"/>
      <c r="AK41"/>
      <c r="AL41"/>
      <c r="AN41"/>
      <c r="AO41"/>
      <c r="AP41"/>
      <c r="AQ41"/>
      <c r="AR41"/>
    </row>
    <row r="42" spans="1:44">
      <c r="A42" s="121">
        <v>3</v>
      </c>
      <c r="B42" s="129">
        <v>7</v>
      </c>
      <c r="C42" s="16">
        <v>10</v>
      </c>
      <c r="D42" s="3" t="s">
        <v>5</v>
      </c>
      <c r="E42" s="16">
        <v>20</v>
      </c>
      <c r="F42" s="3" t="s">
        <v>601</v>
      </c>
      <c r="G42" s="3">
        <f t="shared" si="0"/>
        <v>20000</v>
      </c>
      <c r="H42" s="27" t="s">
        <v>1599</v>
      </c>
      <c r="I42" s="3">
        <v>12</v>
      </c>
      <c r="J42" s="3" t="str">
        <f t="shared" si="3"/>
        <v>星盘中级道具</v>
      </c>
      <c r="K42" s="3" t="str">
        <f t="shared" si="4"/>
        <v>防2</v>
      </c>
      <c r="L42" s="3" t="str">
        <f t="shared" si="8"/>
        <v>星盘中级道具防2</v>
      </c>
      <c r="M42" s="3">
        <v>4</v>
      </c>
      <c r="P42" s="3" t="s">
        <v>602</v>
      </c>
      <c r="Q42" s="3">
        <f t="shared" si="1"/>
        <v>100</v>
      </c>
      <c r="R42" s="116" t="s">
        <v>638</v>
      </c>
      <c r="S42" s="116" t="s">
        <v>2417</v>
      </c>
      <c r="T42" s="3" t="str">
        <f t="shared" si="6"/>
        <v>星盘中级道具防2</v>
      </c>
      <c r="U42" s="116">
        <v>2</v>
      </c>
      <c r="V42" s="116">
        <v>3</v>
      </c>
      <c r="W42" s="116">
        <v>1</v>
      </c>
      <c r="X42" s="3">
        <f>VLOOKUP(R42,道具定价!$C:$F,4,0)*AVERAGE(U42:V42)*W42</f>
        <v>37.5</v>
      </c>
      <c r="Y42" s="3">
        <f>SUM($Q$6:Q42)</f>
        <v>3700</v>
      </c>
      <c r="AC42"/>
      <c r="AD42"/>
      <c r="AJ42"/>
      <c r="AK42"/>
      <c r="AL42"/>
      <c r="AN42"/>
      <c r="AO42"/>
      <c r="AP42"/>
      <c r="AQ42"/>
      <c r="AR42"/>
    </row>
    <row r="43" spans="1:44">
      <c r="A43" s="121">
        <v>3</v>
      </c>
      <c r="B43" s="122">
        <v>8</v>
      </c>
      <c r="C43" s="16">
        <v>10</v>
      </c>
      <c r="D43" s="3" t="s">
        <v>5</v>
      </c>
      <c r="E43" s="16">
        <v>20</v>
      </c>
      <c r="F43" s="3" t="s">
        <v>601</v>
      </c>
      <c r="G43" s="3">
        <f t="shared" si="0"/>
        <v>20000</v>
      </c>
      <c r="H43" s="27" t="s">
        <v>1599</v>
      </c>
      <c r="I43" s="3">
        <v>12</v>
      </c>
      <c r="J43" s="3" t="str">
        <f t="shared" si="3"/>
        <v>星盘中级道具</v>
      </c>
      <c r="K43" s="3" t="str">
        <f t="shared" si="4"/>
        <v>辅1</v>
      </c>
      <c r="L43" s="3" t="str">
        <f t="shared" si="8"/>
        <v>星盘中级道具辅1</v>
      </c>
      <c r="M43" s="3">
        <v>4</v>
      </c>
      <c r="P43" s="3" t="s">
        <v>602</v>
      </c>
      <c r="Q43" s="3">
        <f t="shared" si="1"/>
        <v>100</v>
      </c>
      <c r="R43" s="116" t="s">
        <v>638</v>
      </c>
      <c r="S43" s="116" t="s">
        <v>2419</v>
      </c>
      <c r="T43" s="3" t="str">
        <f t="shared" si="6"/>
        <v>星盘中级道具辅1</v>
      </c>
      <c r="U43" s="116">
        <v>2</v>
      </c>
      <c r="V43" s="116">
        <v>3</v>
      </c>
      <c r="W43" s="116">
        <v>1</v>
      </c>
      <c r="X43" s="3">
        <f>VLOOKUP(R43,道具定价!$C:$F,4,0)*AVERAGE(U43:V43)*W43</f>
        <v>37.5</v>
      </c>
      <c r="Y43" s="3">
        <f>SUM($Q$6:Q43)</f>
        <v>3800</v>
      </c>
      <c r="AC43"/>
      <c r="AD43"/>
      <c r="AJ43"/>
      <c r="AK43"/>
      <c r="AL43"/>
      <c r="AN43"/>
      <c r="AO43"/>
      <c r="AP43"/>
      <c r="AQ43"/>
      <c r="AR43"/>
    </row>
    <row r="44" spans="1:44">
      <c r="A44" s="121">
        <v>3</v>
      </c>
      <c r="B44" s="122">
        <v>9</v>
      </c>
      <c r="C44" s="16">
        <v>10</v>
      </c>
      <c r="D44" s="3" t="s">
        <v>5</v>
      </c>
      <c r="E44" s="16">
        <v>20</v>
      </c>
      <c r="F44" s="3" t="s">
        <v>601</v>
      </c>
      <c r="G44" s="3">
        <f t="shared" si="0"/>
        <v>20000</v>
      </c>
      <c r="H44" s="27" t="s">
        <v>1599</v>
      </c>
      <c r="I44" s="3">
        <v>12</v>
      </c>
      <c r="J44" s="3" t="str">
        <f t="shared" si="3"/>
        <v>星盘中级道具</v>
      </c>
      <c r="K44" s="3" t="str">
        <f t="shared" si="4"/>
        <v>辅2</v>
      </c>
      <c r="L44" s="3" t="str">
        <f t="shared" si="8"/>
        <v>星盘中级道具辅2</v>
      </c>
      <c r="M44" s="3">
        <v>4</v>
      </c>
      <c r="P44" s="3" t="s">
        <v>602</v>
      </c>
      <c r="Q44" s="3">
        <f t="shared" si="1"/>
        <v>100</v>
      </c>
      <c r="R44" s="116" t="s">
        <v>638</v>
      </c>
      <c r="S44" s="116" t="s">
        <v>2421</v>
      </c>
      <c r="T44" s="3" t="str">
        <f t="shared" si="6"/>
        <v>星盘中级道具辅2</v>
      </c>
      <c r="U44" s="116">
        <v>2</v>
      </c>
      <c r="V44" s="116">
        <v>3</v>
      </c>
      <c r="W44" s="116">
        <v>1</v>
      </c>
      <c r="X44" s="3">
        <f>VLOOKUP(R44,道具定价!$C:$F,4,0)*AVERAGE(U44:V44)*W44</f>
        <v>37.5</v>
      </c>
      <c r="Y44" s="3">
        <f>SUM($Q$6:Q44)</f>
        <v>3900</v>
      </c>
      <c r="AC44"/>
      <c r="AD44"/>
      <c r="AJ44"/>
      <c r="AK44"/>
      <c r="AL44"/>
      <c r="AN44"/>
      <c r="AO44"/>
      <c r="AP44"/>
      <c r="AQ44"/>
      <c r="AR44"/>
    </row>
    <row r="45" spans="1:44">
      <c r="A45" s="121">
        <v>3</v>
      </c>
      <c r="B45" s="129">
        <v>10</v>
      </c>
      <c r="C45" s="16">
        <v>10</v>
      </c>
      <c r="D45" s="3" t="s">
        <v>5</v>
      </c>
      <c r="E45" s="16">
        <v>20</v>
      </c>
      <c r="F45" s="3" t="s">
        <v>601</v>
      </c>
      <c r="G45" s="3">
        <f t="shared" si="0"/>
        <v>20000</v>
      </c>
      <c r="H45" s="27" t="s">
        <v>1599</v>
      </c>
      <c r="I45" s="3">
        <v>20</v>
      </c>
      <c r="J45" s="3" t="str">
        <f t="shared" si="3"/>
        <v>角色升阶材料中</v>
      </c>
      <c r="K45" s="3" t="str">
        <f t="shared" si="4"/>
        <v>攻</v>
      </c>
      <c r="L45" s="3" t="str">
        <f t="shared" si="8"/>
        <v>角色升阶材料中攻</v>
      </c>
      <c r="M45" s="3">
        <v>3</v>
      </c>
      <c r="P45" s="3" t="s">
        <v>602</v>
      </c>
      <c r="Q45" s="3">
        <f t="shared" si="1"/>
        <v>100</v>
      </c>
      <c r="R45" s="142" t="s">
        <v>618</v>
      </c>
      <c r="S45" s="142" t="s">
        <v>2423</v>
      </c>
      <c r="T45" s="3" t="str">
        <f t="shared" si="6"/>
        <v>角色升阶材料中攻</v>
      </c>
      <c r="U45" s="142">
        <v>2</v>
      </c>
      <c r="V45" s="142">
        <v>2</v>
      </c>
      <c r="W45" s="116">
        <v>1</v>
      </c>
      <c r="X45" s="3">
        <f>VLOOKUP(R45,道具定价!$C:$F,4,0)*AVERAGE(U45:V45)*W45</f>
        <v>24</v>
      </c>
      <c r="Y45" s="3">
        <f>SUM($Q$6:Q45)</f>
        <v>4000</v>
      </c>
      <c r="AC45"/>
      <c r="AD45"/>
      <c r="AJ45"/>
      <c r="AK45"/>
      <c r="AL45"/>
      <c r="AN45"/>
      <c r="AO45"/>
      <c r="AP45"/>
      <c r="AQ45"/>
      <c r="AR45"/>
    </row>
    <row r="46" spans="1:44">
      <c r="A46" s="121">
        <v>3</v>
      </c>
      <c r="B46" s="122">
        <v>11</v>
      </c>
      <c r="C46" s="16">
        <v>10</v>
      </c>
      <c r="D46" s="3" t="s">
        <v>5</v>
      </c>
      <c r="E46" s="16">
        <v>20</v>
      </c>
      <c r="F46" s="3" t="s">
        <v>601</v>
      </c>
      <c r="G46" s="3">
        <f t="shared" si="0"/>
        <v>20000</v>
      </c>
      <c r="H46" s="27" t="s">
        <v>1599</v>
      </c>
      <c r="I46" s="3">
        <v>12</v>
      </c>
      <c r="J46" s="3" t="str">
        <f t="shared" si="3"/>
        <v>角色升阶材料中</v>
      </c>
      <c r="K46" s="3" t="str">
        <f t="shared" si="4"/>
        <v>防</v>
      </c>
      <c r="L46" s="3" t="str">
        <f t="shared" si="8"/>
        <v>角色升阶材料中防</v>
      </c>
      <c r="M46" s="3">
        <v>3</v>
      </c>
      <c r="P46" s="3" t="s">
        <v>602</v>
      </c>
      <c r="Q46" s="3">
        <f t="shared" si="1"/>
        <v>100</v>
      </c>
      <c r="R46" s="142" t="s">
        <v>618</v>
      </c>
      <c r="S46" s="142" t="s">
        <v>2425</v>
      </c>
      <c r="T46" s="3" t="str">
        <f t="shared" si="6"/>
        <v>角色升阶材料中防</v>
      </c>
      <c r="U46" s="142">
        <v>2</v>
      </c>
      <c r="V46" s="142">
        <v>2</v>
      </c>
      <c r="W46" s="116">
        <v>1</v>
      </c>
      <c r="X46" s="3">
        <f>VLOOKUP(R46,道具定价!$C:$F,4,0)*AVERAGE(U46:V46)*W46</f>
        <v>24</v>
      </c>
      <c r="Y46" s="3">
        <f>SUM($Q$6:Q46)</f>
        <v>4100</v>
      </c>
      <c r="AC46"/>
      <c r="AD46"/>
      <c r="AJ46"/>
      <c r="AK46"/>
      <c r="AL46"/>
      <c r="AN46"/>
      <c r="AO46"/>
      <c r="AP46"/>
      <c r="AQ46"/>
      <c r="AR46"/>
    </row>
    <row r="47" spans="1:44">
      <c r="A47" s="121">
        <v>3</v>
      </c>
      <c r="B47" s="129">
        <v>12</v>
      </c>
      <c r="C47" s="16">
        <v>10</v>
      </c>
      <c r="D47" s="3" t="s">
        <v>5</v>
      </c>
      <c r="E47" s="16">
        <v>20</v>
      </c>
      <c r="F47" s="3" t="s">
        <v>601</v>
      </c>
      <c r="G47" s="3">
        <f t="shared" si="0"/>
        <v>20000</v>
      </c>
      <c r="H47" s="27" t="s">
        <v>1599</v>
      </c>
      <c r="I47" s="3">
        <v>12</v>
      </c>
      <c r="J47" s="3" t="str">
        <f t="shared" si="3"/>
        <v>角色升阶材料中</v>
      </c>
      <c r="K47" s="3" t="str">
        <f t="shared" si="4"/>
        <v>辅</v>
      </c>
      <c r="L47" s="3" t="str">
        <f t="shared" si="8"/>
        <v>角色升阶材料中辅</v>
      </c>
      <c r="M47" s="3">
        <v>3</v>
      </c>
      <c r="P47" s="3" t="s">
        <v>602</v>
      </c>
      <c r="Q47" s="3">
        <f t="shared" si="1"/>
        <v>100</v>
      </c>
      <c r="R47" s="142" t="s">
        <v>618</v>
      </c>
      <c r="S47" s="142" t="s">
        <v>2427</v>
      </c>
      <c r="T47" s="3" t="str">
        <f t="shared" si="6"/>
        <v>角色升阶材料中辅</v>
      </c>
      <c r="U47" s="142">
        <v>2</v>
      </c>
      <c r="V47" s="142">
        <v>2</v>
      </c>
      <c r="W47" s="116">
        <v>1</v>
      </c>
      <c r="X47" s="3">
        <f>VLOOKUP(R47,道具定价!$C:$F,4,0)*AVERAGE(U47:V47)*W47</f>
        <v>24</v>
      </c>
      <c r="Y47" s="3">
        <f>SUM($Q$6:Q47)</f>
        <v>4200</v>
      </c>
      <c r="AC47"/>
      <c r="AD47"/>
      <c r="AJ47"/>
      <c r="AK47"/>
      <c r="AL47"/>
      <c r="AN47"/>
      <c r="AO47"/>
      <c r="AP47"/>
      <c r="AQ47"/>
      <c r="AR47"/>
    </row>
    <row r="48" spans="1:44">
      <c r="A48" s="121">
        <v>3</v>
      </c>
      <c r="B48" s="122">
        <v>13</v>
      </c>
      <c r="C48" s="16">
        <v>10</v>
      </c>
      <c r="D48" s="3" t="s">
        <v>5</v>
      </c>
      <c r="E48" s="16">
        <v>20</v>
      </c>
      <c r="F48" s="3" t="s">
        <v>601</v>
      </c>
      <c r="G48" s="3">
        <f t="shared" si="0"/>
        <v>20000</v>
      </c>
      <c r="H48" s="27" t="s">
        <v>1599</v>
      </c>
      <c r="I48" s="3">
        <v>12</v>
      </c>
      <c r="J48" s="3" t="str">
        <f t="shared" si="3"/>
        <v>角色升阶材料中</v>
      </c>
      <c r="K48" s="3" t="str">
        <f t="shared" si="4"/>
        <v>攻</v>
      </c>
      <c r="L48" s="3" t="str">
        <f t="shared" si="8"/>
        <v>角色升阶材料中攻</v>
      </c>
      <c r="M48" s="3">
        <v>3</v>
      </c>
      <c r="P48" s="3" t="s">
        <v>602</v>
      </c>
      <c r="Q48" s="3">
        <f t="shared" si="1"/>
        <v>100</v>
      </c>
      <c r="R48" s="142" t="s">
        <v>618</v>
      </c>
      <c r="S48" s="142" t="s">
        <v>2423</v>
      </c>
      <c r="T48" s="3" t="str">
        <f t="shared" si="6"/>
        <v>角色升阶材料中攻</v>
      </c>
      <c r="U48" s="142">
        <v>2</v>
      </c>
      <c r="V48" s="142">
        <v>3</v>
      </c>
      <c r="W48" s="116">
        <v>1</v>
      </c>
      <c r="X48" s="3">
        <f>VLOOKUP(R48,道具定价!$C:$F,4,0)*AVERAGE(U48:V48)*W48</f>
        <v>30</v>
      </c>
      <c r="Y48" s="3">
        <f>SUM($Q$6:Q48)</f>
        <v>4300</v>
      </c>
      <c r="AC48"/>
      <c r="AD48"/>
      <c r="AJ48"/>
      <c r="AK48"/>
      <c r="AL48"/>
      <c r="AN48"/>
      <c r="AO48"/>
      <c r="AP48"/>
      <c r="AQ48"/>
      <c r="AR48"/>
    </row>
    <row r="49" spans="1:44">
      <c r="A49" s="121">
        <v>3</v>
      </c>
      <c r="B49" s="129">
        <v>14</v>
      </c>
      <c r="C49" s="16">
        <v>10</v>
      </c>
      <c r="D49" s="3" t="s">
        <v>5</v>
      </c>
      <c r="E49" s="16">
        <v>20</v>
      </c>
      <c r="F49" s="3" t="s">
        <v>601</v>
      </c>
      <c r="G49" s="3">
        <f t="shared" si="0"/>
        <v>20000</v>
      </c>
      <c r="H49" s="27" t="s">
        <v>1599</v>
      </c>
      <c r="I49" s="3">
        <v>12</v>
      </c>
      <c r="J49" s="3" t="str">
        <f t="shared" si="3"/>
        <v>角色升阶材料中</v>
      </c>
      <c r="K49" s="3" t="str">
        <f t="shared" si="4"/>
        <v>防</v>
      </c>
      <c r="L49" s="3" t="str">
        <f t="shared" si="8"/>
        <v>角色升阶材料中防</v>
      </c>
      <c r="M49" s="3">
        <v>3</v>
      </c>
      <c r="P49" s="3" t="s">
        <v>602</v>
      </c>
      <c r="Q49" s="3">
        <f t="shared" si="1"/>
        <v>100</v>
      </c>
      <c r="R49" s="142" t="s">
        <v>618</v>
      </c>
      <c r="S49" s="142" t="s">
        <v>2425</v>
      </c>
      <c r="T49" s="3" t="str">
        <f t="shared" si="6"/>
        <v>角色升阶材料中防</v>
      </c>
      <c r="U49" s="142">
        <v>2</v>
      </c>
      <c r="V49" s="142">
        <v>3</v>
      </c>
      <c r="W49" s="116">
        <v>1</v>
      </c>
      <c r="X49" s="3">
        <f>VLOOKUP(R49,道具定价!$C:$F,4,0)*AVERAGE(U49:V49)*W49</f>
        <v>30</v>
      </c>
      <c r="Y49" s="3">
        <f>SUM($Q$6:Q49)</f>
        <v>4400</v>
      </c>
      <c r="AC49"/>
      <c r="AD49"/>
      <c r="AJ49"/>
      <c r="AK49"/>
      <c r="AL49"/>
      <c r="AN49"/>
      <c r="AO49"/>
      <c r="AP49"/>
      <c r="AQ49"/>
      <c r="AR49"/>
    </row>
    <row r="50" spans="1:44">
      <c r="A50" s="135">
        <v>3</v>
      </c>
      <c r="B50" s="122">
        <v>15</v>
      </c>
      <c r="C50" s="16">
        <v>10</v>
      </c>
      <c r="D50" s="74" t="s">
        <v>5</v>
      </c>
      <c r="E50" s="68">
        <v>20</v>
      </c>
      <c r="F50" s="74" t="s">
        <v>601</v>
      </c>
      <c r="G50" s="74">
        <f t="shared" si="0"/>
        <v>40000</v>
      </c>
      <c r="H50" s="27" t="s">
        <v>1599</v>
      </c>
      <c r="I50" s="74">
        <v>20</v>
      </c>
      <c r="J50" s="3" t="str">
        <f t="shared" si="3"/>
        <v>角色升阶材料中</v>
      </c>
      <c r="K50" s="3" t="str">
        <f t="shared" si="4"/>
        <v>辅</v>
      </c>
      <c r="L50" s="3" t="str">
        <f t="shared" si="8"/>
        <v>角色升阶材料中辅</v>
      </c>
      <c r="M50" s="3">
        <v>3</v>
      </c>
      <c r="P50" s="74" t="s">
        <v>602</v>
      </c>
      <c r="Q50" s="74">
        <f t="shared" si="1"/>
        <v>100</v>
      </c>
      <c r="R50" s="142" t="s">
        <v>618</v>
      </c>
      <c r="S50" s="142" t="s">
        <v>2427</v>
      </c>
      <c r="T50" s="3" t="str">
        <f t="shared" si="6"/>
        <v>角色升阶材料中辅</v>
      </c>
      <c r="U50" s="142">
        <v>2</v>
      </c>
      <c r="V50" s="142">
        <v>3</v>
      </c>
      <c r="W50" s="116">
        <v>1</v>
      </c>
      <c r="X50" s="3">
        <f>VLOOKUP(R50,道具定价!$C:$F,4,0)*AVERAGE(U50:V50)*W50</f>
        <v>30</v>
      </c>
      <c r="Y50" s="74">
        <f>SUM($Q$6:Q50)</f>
        <v>4500</v>
      </c>
      <c r="AC50"/>
      <c r="AD50"/>
      <c r="AJ50"/>
      <c r="AK50"/>
      <c r="AL50"/>
      <c r="AN50"/>
      <c r="AO50"/>
      <c r="AP50"/>
      <c r="AQ50"/>
      <c r="AR50"/>
    </row>
    <row r="51" spans="1:44">
      <c r="A51" s="137">
        <v>4</v>
      </c>
      <c r="B51" s="138">
        <v>1</v>
      </c>
      <c r="C51" s="16">
        <v>10</v>
      </c>
      <c r="D51" s="3" t="s">
        <v>5</v>
      </c>
      <c r="E51" s="16">
        <v>20</v>
      </c>
      <c r="F51" s="3" t="s">
        <v>601</v>
      </c>
      <c r="G51" s="3">
        <f t="shared" si="0"/>
        <v>25000</v>
      </c>
      <c r="H51" s="27" t="s">
        <v>1599</v>
      </c>
      <c r="I51" s="3">
        <v>16</v>
      </c>
      <c r="J51" s="3" t="str">
        <f t="shared" si="3"/>
        <v>星盘高级道具</v>
      </c>
      <c r="K51" s="3" t="str">
        <f t="shared" si="4"/>
        <v>攻1</v>
      </c>
      <c r="L51" s="3" t="str">
        <f t="shared" si="8"/>
        <v>星盘高级道具攻1</v>
      </c>
      <c r="M51" s="3">
        <v>3</v>
      </c>
      <c r="P51" s="3" t="s">
        <v>602</v>
      </c>
      <c r="Q51" s="3">
        <f t="shared" si="1"/>
        <v>100</v>
      </c>
      <c r="R51" s="116" t="s">
        <v>639</v>
      </c>
      <c r="S51" s="116" t="s">
        <v>2411</v>
      </c>
      <c r="T51" s="3" t="str">
        <f t="shared" si="6"/>
        <v>星盘高级道具攻1</v>
      </c>
      <c r="U51" s="116">
        <v>2</v>
      </c>
      <c r="V51" s="116">
        <v>2</v>
      </c>
      <c r="W51" s="142">
        <v>1</v>
      </c>
      <c r="X51" s="3">
        <f>VLOOKUP(R51,道具定价!$C:$F,4,0)*AVERAGE(U51:V51)*W51</f>
        <v>40</v>
      </c>
      <c r="Y51" s="3">
        <f>SUM($Q$6:Q51)</f>
        <v>4600</v>
      </c>
      <c r="AC51"/>
      <c r="AD51"/>
      <c r="AJ51"/>
      <c r="AK51"/>
      <c r="AL51"/>
      <c r="AN51"/>
      <c r="AO51"/>
      <c r="AP51"/>
      <c r="AQ51"/>
      <c r="AR51"/>
    </row>
    <row r="52" spans="1:44">
      <c r="A52" s="121">
        <v>4</v>
      </c>
      <c r="B52" s="129">
        <v>2</v>
      </c>
      <c r="C52" s="16">
        <v>10</v>
      </c>
      <c r="D52" s="3" t="s">
        <v>5</v>
      </c>
      <c r="E52" s="16">
        <v>20</v>
      </c>
      <c r="F52" s="3" t="s">
        <v>601</v>
      </c>
      <c r="G52" s="3">
        <f t="shared" si="0"/>
        <v>25000</v>
      </c>
      <c r="H52" s="27" t="s">
        <v>1599</v>
      </c>
      <c r="I52" s="3">
        <v>16</v>
      </c>
      <c r="J52" s="3" t="str">
        <f t="shared" si="3"/>
        <v>星盘高级道具</v>
      </c>
      <c r="K52" s="3" t="str">
        <f t="shared" si="4"/>
        <v>攻2</v>
      </c>
      <c r="L52" s="3" t="str">
        <f t="shared" si="8"/>
        <v>星盘高级道具攻2</v>
      </c>
      <c r="M52" s="3">
        <v>3</v>
      </c>
      <c r="P52" s="3" t="s">
        <v>602</v>
      </c>
      <c r="Q52" s="3">
        <f t="shared" si="1"/>
        <v>100</v>
      </c>
      <c r="R52" s="116" t="s">
        <v>639</v>
      </c>
      <c r="S52" s="116" t="s">
        <v>2413</v>
      </c>
      <c r="T52" s="3" t="str">
        <f t="shared" si="6"/>
        <v>星盘高级道具攻2</v>
      </c>
      <c r="U52" s="116">
        <v>2</v>
      </c>
      <c r="V52" s="116">
        <v>2</v>
      </c>
      <c r="W52" s="142">
        <v>1</v>
      </c>
      <c r="X52" s="3">
        <f>VLOOKUP(R52,道具定价!$C:$F,4,0)*AVERAGE(U52:V52)*W52</f>
        <v>40</v>
      </c>
      <c r="Y52" s="3">
        <f>SUM($Q$6:Q52)</f>
        <v>4700</v>
      </c>
      <c r="AC52"/>
      <c r="AD52"/>
      <c r="AJ52"/>
      <c r="AK52"/>
      <c r="AL52"/>
      <c r="AN52"/>
      <c r="AO52"/>
      <c r="AP52"/>
      <c r="AQ52"/>
      <c r="AR52"/>
    </row>
    <row r="53" spans="1:44">
      <c r="A53" s="121">
        <v>4</v>
      </c>
      <c r="B53" s="122">
        <v>3</v>
      </c>
      <c r="C53" s="16">
        <v>10</v>
      </c>
      <c r="D53" s="3" t="s">
        <v>5</v>
      </c>
      <c r="E53" s="16">
        <v>20</v>
      </c>
      <c r="F53" s="3" t="s">
        <v>601</v>
      </c>
      <c r="G53" s="3">
        <f t="shared" si="0"/>
        <v>25000</v>
      </c>
      <c r="H53" s="27" t="s">
        <v>1599</v>
      </c>
      <c r="I53" s="3">
        <v>16</v>
      </c>
      <c r="J53" s="3" t="str">
        <f t="shared" si="3"/>
        <v>星盘高级道具</v>
      </c>
      <c r="K53" s="3" t="str">
        <f t="shared" si="4"/>
        <v>防1</v>
      </c>
      <c r="L53" s="3" t="str">
        <f t="shared" si="8"/>
        <v>星盘高级道具防1</v>
      </c>
      <c r="M53" s="3">
        <v>3</v>
      </c>
      <c r="P53" s="3" t="s">
        <v>602</v>
      </c>
      <c r="Q53" s="3">
        <f t="shared" si="1"/>
        <v>100</v>
      </c>
      <c r="R53" s="116" t="s">
        <v>639</v>
      </c>
      <c r="S53" s="116" t="s">
        <v>2415</v>
      </c>
      <c r="T53" s="3" t="str">
        <f t="shared" si="6"/>
        <v>星盘高级道具防1</v>
      </c>
      <c r="U53" s="116">
        <v>2</v>
      </c>
      <c r="V53" s="116">
        <v>2</v>
      </c>
      <c r="W53" s="142">
        <v>1</v>
      </c>
      <c r="X53" s="3">
        <f>VLOOKUP(R53,道具定价!$C:$F,4,0)*AVERAGE(U53:V53)*W53</f>
        <v>40</v>
      </c>
      <c r="Y53" s="3">
        <f>SUM($Q$6:Q53)</f>
        <v>4800</v>
      </c>
      <c r="AC53"/>
      <c r="AD53"/>
      <c r="AJ53"/>
      <c r="AK53"/>
      <c r="AL53"/>
      <c r="AN53"/>
      <c r="AO53"/>
      <c r="AP53"/>
      <c r="AQ53"/>
      <c r="AR53"/>
    </row>
    <row r="54" spans="1:44">
      <c r="A54" s="121">
        <v>4</v>
      </c>
      <c r="B54" s="129">
        <v>4</v>
      </c>
      <c r="C54" s="16">
        <v>10</v>
      </c>
      <c r="D54" s="3" t="s">
        <v>5</v>
      </c>
      <c r="E54" s="16">
        <v>20</v>
      </c>
      <c r="F54" s="3" t="s">
        <v>601</v>
      </c>
      <c r="G54" s="3">
        <f t="shared" si="0"/>
        <v>25000</v>
      </c>
      <c r="H54" s="27" t="s">
        <v>1599</v>
      </c>
      <c r="I54" s="3">
        <v>16</v>
      </c>
      <c r="J54" s="3" t="str">
        <f t="shared" si="3"/>
        <v>星盘高级道具</v>
      </c>
      <c r="K54" s="3" t="str">
        <f t="shared" si="4"/>
        <v>防2</v>
      </c>
      <c r="L54" s="3" t="str">
        <f t="shared" si="8"/>
        <v>星盘高级道具防2</v>
      </c>
      <c r="M54" s="3">
        <v>3</v>
      </c>
      <c r="P54" s="3" t="s">
        <v>602</v>
      </c>
      <c r="Q54" s="3">
        <f t="shared" si="1"/>
        <v>100</v>
      </c>
      <c r="R54" s="116" t="s">
        <v>639</v>
      </c>
      <c r="S54" s="116" t="s">
        <v>2417</v>
      </c>
      <c r="T54" s="3" t="str">
        <f t="shared" si="6"/>
        <v>星盘高级道具防2</v>
      </c>
      <c r="U54" s="116">
        <v>2</v>
      </c>
      <c r="V54" s="116">
        <v>2</v>
      </c>
      <c r="W54" s="142">
        <v>1</v>
      </c>
      <c r="X54" s="3">
        <f>VLOOKUP(R54,道具定价!$C:$F,4,0)*AVERAGE(U54:V54)*W54</f>
        <v>40</v>
      </c>
      <c r="Y54" s="3">
        <f>SUM($Q$6:Q54)</f>
        <v>4900</v>
      </c>
      <c r="AC54"/>
      <c r="AD54"/>
      <c r="AJ54"/>
      <c r="AK54"/>
      <c r="AL54"/>
      <c r="AN54"/>
      <c r="AO54"/>
      <c r="AP54"/>
      <c r="AQ54"/>
      <c r="AR54"/>
    </row>
    <row r="55" spans="1:44">
      <c r="A55" s="121">
        <v>4</v>
      </c>
      <c r="B55" s="122">
        <v>5</v>
      </c>
      <c r="C55" s="16">
        <v>10</v>
      </c>
      <c r="D55" s="3" t="s">
        <v>5</v>
      </c>
      <c r="E55" s="16">
        <v>20</v>
      </c>
      <c r="F55" s="3" t="s">
        <v>601</v>
      </c>
      <c r="G55" s="3">
        <f t="shared" si="0"/>
        <v>25000</v>
      </c>
      <c r="H55" s="27" t="s">
        <v>1599</v>
      </c>
      <c r="I55" s="3">
        <v>24</v>
      </c>
      <c r="J55" s="3" t="str">
        <f t="shared" si="3"/>
        <v>星盘高级道具</v>
      </c>
      <c r="K55" s="3" t="str">
        <f t="shared" si="4"/>
        <v>辅1</v>
      </c>
      <c r="L55" s="3" t="str">
        <f t="shared" si="8"/>
        <v>星盘高级道具辅1</v>
      </c>
      <c r="M55" s="3">
        <v>3</v>
      </c>
      <c r="P55" s="3" t="s">
        <v>602</v>
      </c>
      <c r="Q55" s="3">
        <f t="shared" si="1"/>
        <v>100</v>
      </c>
      <c r="R55" s="116" t="s">
        <v>639</v>
      </c>
      <c r="S55" s="116" t="s">
        <v>2419</v>
      </c>
      <c r="T55" s="3" t="str">
        <f t="shared" si="6"/>
        <v>星盘高级道具辅1</v>
      </c>
      <c r="U55" s="116">
        <v>2</v>
      </c>
      <c r="V55" s="116">
        <v>2</v>
      </c>
      <c r="W55" s="142">
        <v>1</v>
      </c>
      <c r="X55" s="3">
        <f>VLOOKUP(R55,道具定价!$C:$F,4,0)*AVERAGE(U55:V55)*W55</f>
        <v>40</v>
      </c>
      <c r="Y55" s="3">
        <f>SUM($Q$6:Q55)</f>
        <v>5000</v>
      </c>
      <c r="AC55"/>
      <c r="AD55"/>
      <c r="AJ55"/>
      <c r="AK55"/>
      <c r="AL55"/>
      <c r="AN55"/>
      <c r="AO55"/>
      <c r="AP55"/>
      <c r="AQ55"/>
      <c r="AR55"/>
    </row>
    <row r="56" spans="1:44">
      <c r="A56" s="121">
        <v>4</v>
      </c>
      <c r="B56" s="122">
        <v>6</v>
      </c>
      <c r="C56" s="16">
        <v>10</v>
      </c>
      <c r="D56" s="3" t="s">
        <v>5</v>
      </c>
      <c r="E56" s="16">
        <v>20</v>
      </c>
      <c r="F56" s="3" t="s">
        <v>601</v>
      </c>
      <c r="G56" s="3">
        <f t="shared" si="0"/>
        <v>25000</v>
      </c>
      <c r="H56" s="27" t="s">
        <v>1599</v>
      </c>
      <c r="I56" s="3">
        <v>16</v>
      </c>
      <c r="J56" s="3" t="str">
        <f t="shared" si="3"/>
        <v>星盘高级道具</v>
      </c>
      <c r="K56" s="3" t="str">
        <f t="shared" si="4"/>
        <v>辅2</v>
      </c>
      <c r="L56" s="3" t="str">
        <f t="shared" si="8"/>
        <v>星盘高级道具辅2</v>
      </c>
      <c r="M56" s="3">
        <v>3</v>
      </c>
      <c r="P56" s="3" t="s">
        <v>602</v>
      </c>
      <c r="Q56" s="3">
        <f t="shared" si="1"/>
        <v>100</v>
      </c>
      <c r="R56" s="116" t="s">
        <v>639</v>
      </c>
      <c r="S56" s="116" t="s">
        <v>2421</v>
      </c>
      <c r="T56" s="3" t="str">
        <f t="shared" si="6"/>
        <v>星盘高级道具辅2</v>
      </c>
      <c r="U56" s="116">
        <v>2</v>
      </c>
      <c r="V56" s="116">
        <v>2</v>
      </c>
      <c r="W56" s="142">
        <v>1</v>
      </c>
      <c r="X56" s="3">
        <f>VLOOKUP(R56,道具定价!$C:$F,4,0)*AVERAGE(U56:V56)*W56</f>
        <v>40</v>
      </c>
      <c r="Y56" s="3">
        <f>SUM($Q$6:Q56)</f>
        <v>5100</v>
      </c>
      <c r="AC56"/>
      <c r="AD56"/>
      <c r="AJ56"/>
      <c r="AK56"/>
      <c r="AL56"/>
      <c r="AN56"/>
      <c r="AO56"/>
      <c r="AP56"/>
      <c r="AQ56"/>
      <c r="AR56"/>
    </row>
    <row r="57" spans="1:44">
      <c r="A57" s="121">
        <v>4</v>
      </c>
      <c r="B57" s="129">
        <v>7</v>
      </c>
      <c r="C57" s="16">
        <v>10</v>
      </c>
      <c r="D57" s="3" t="s">
        <v>5</v>
      </c>
      <c r="E57" s="16">
        <v>20</v>
      </c>
      <c r="F57" s="3" t="s">
        <v>601</v>
      </c>
      <c r="G57" s="3">
        <f t="shared" si="0"/>
        <v>25000</v>
      </c>
      <c r="H57" s="27" t="s">
        <v>1599</v>
      </c>
      <c r="I57" s="3">
        <v>16</v>
      </c>
      <c r="J57" s="3" t="str">
        <f t="shared" si="3"/>
        <v>角色升阶材料高</v>
      </c>
      <c r="K57" s="3" t="str">
        <f t="shared" si="4"/>
        <v>攻</v>
      </c>
      <c r="L57" s="3" t="str">
        <f t="shared" si="8"/>
        <v>角色升阶材料高攻</v>
      </c>
      <c r="M57" s="3">
        <v>3</v>
      </c>
      <c r="P57" s="3" t="s">
        <v>602</v>
      </c>
      <c r="Q57" s="3">
        <f t="shared" si="1"/>
        <v>100</v>
      </c>
      <c r="R57" s="142" t="s">
        <v>619</v>
      </c>
      <c r="S57" s="142" t="s">
        <v>2423</v>
      </c>
      <c r="T57" s="3" t="str">
        <f t="shared" si="6"/>
        <v>角色升阶材料高攻</v>
      </c>
      <c r="U57" s="142">
        <v>1</v>
      </c>
      <c r="V57" s="142">
        <v>1</v>
      </c>
      <c r="W57" s="116">
        <v>1</v>
      </c>
      <c r="X57" s="3">
        <f>VLOOKUP(R60,道具定价!$C:$F,4,0)*AVERAGE(U60:V60)*W57</f>
        <v>37.5</v>
      </c>
      <c r="Y57" s="3">
        <f>SUM($Q$6:Q57)</f>
        <v>5200</v>
      </c>
      <c r="AC57"/>
      <c r="AD57"/>
      <c r="AJ57"/>
      <c r="AK57"/>
      <c r="AL57"/>
      <c r="AN57"/>
      <c r="AO57"/>
      <c r="AP57"/>
      <c r="AQ57"/>
      <c r="AR57"/>
    </row>
    <row r="58" spans="1:44">
      <c r="A58" s="121">
        <v>4</v>
      </c>
      <c r="B58" s="122">
        <v>8</v>
      </c>
      <c r="C58" s="16">
        <v>10</v>
      </c>
      <c r="D58" s="3" t="s">
        <v>5</v>
      </c>
      <c r="E58" s="16">
        <v>20</v>
      </c>
      <c r="F58" s="3" t="s">
        <v>601</v>
      </c>
      <c r="G58" s="3">
        <f t="shared" si="0"/>
        <v>25000</v>
      </c>
      <c r="H58" s="27" t="s">
        <v>1599</v>
      </c>
      <c r="I58" s="3">
        <v>16</v>
      </c>
      <c r="J58" s="3" t="str">
        <f t="shared" si="3"/>
        <v>角色升阶材料高</v>
      </c>
      <c r="K58" s="3" t="str">
        <f t="shared" si="4"/>
        <v>防</v>
      </c>
      <c r="L58" s="3" t="str">
        <f t="shared" si="8"/>
        <v>角色升阶材料高防</v>
      </c>
      <c r="M58" s="3">
        <v>3</v>
      </c>
      <c r="P58" s="3" t="s">
        <v>602</v>
      </c>
      <c r="Q58" s="3">
        <f t="shared" si="1"/>
        <v>100</v>
      </c>
      <c r="R58" s="142" t="s">
        <v>619</v>
      </c>
      <c r="S58" s="142" t="s">
        <v>2425</v>
      </c>
      <c r="T58" s="3" t="str">
        <f t="shared" si="6"/>
        <v>角色升阶材料高防</v>
      </c>
      <c r="U58" s="142">
        <v>1</v>
      </c>
      <c r="V58" s="142">
        <v>1</v>
      </c>
      <c r="W58" s="116">
        <v>1</v>
      </c>
      <c r="X58" s="3">
        <f>VLOOKUP(R61,道具定价!$C:$F,4,0)*AVERAGE(U61:V61)*W58</f>
        <v>37.5</v>
      </c>
      <c r="Y58" s="3">
        <f>SUM($Q$6:Q58)</f>
        <v>5300</v>
      </c>
      <c r="AC58"/>
      <c r="AD58"/>
      <c r="AJ58"/>
      <c r="AK58"/>
      <c r="AL58"/>
      <c r="AN58"/>
      <c r="AO58"/>
      <c r="AP58"/>
      <c r="AQ58"/>
      <c r="AR58"/>
    </row>
    <row r="59" spans="1:44">
      <c r="A59" s="121">
        <v>4</v>
      </c>
      <c r="B59" s="122">
        <v>9</v>
      </c>
      <c r="C59" s="16">
        <v>10</v>
      </c>
      <c r="D59" s="3" t="s">
        <v>5</v>
      </c>
      <c r="E59" s="16">
        <v>20</v>
      </c>
      <c r="F59" s="3" t="s">
        <v>601</v>
      </c>
      <c r="G59" s="3">
        <f t="shared" si="0"/>
        <v>25000</v>
      </c>
      <c r="H59" s="27" t="s">
        <v>1599</v>
      </c>
      <c r="I59" s="3">
        <v>16</v>
      </c>
      <c r="J59" s="3" t="str">
        <f t="shared" si="3"/>
        <v>角色升阶材料高</v>
      </c>
      <c r="K59" s="3" t="str">
        <f t="shared" si="4"/>
        <v>辅</v>
      </c>
      <c r="L59" s="3" t="str">
        <f t="shared" si="8"/>
        <v>角色升阶材料高辅</v>
      </c>
      <c r="M59" s="3">
        <v>3</v>
      </c>
      <c r="P59" s="3" t="s">
        <v>602</v>
      </c>
      <c r="Q59" s="3">
        <f t="shared" si="1"/>
        <v>100</v>
      </c>
      <c r="R59" s="142" t="s">
        <v>619</v>
      </c>
      <c r="S59" s="142" t="s">
        <v>2427</v>
      </c>
      <c r="T59" s="3" t="str">
        <f t="shared" si="6"/>
        <v>角色升阶材料高辅</v>
      </c>
      <c r="U59" s="142">
        <v>1</v>
      </c>
      <c r="V59" s="142">
        <v>1</v>
      </c>
      <c r="W59" s="116">
        <v>1</v>
      </c>
      <c r="X59" s="3">
        <f>VLOOKUP(R62,道具定价!$C:$F,4,0)*AVERAGE(U62:V62)*W59</f>
        <v>37.5</v>
      </c>
      <c r="Y59" s="3">
        <f>SUM($Q$6:Q59)</f>
        <v>5400</v>
      </c>
      <c r="AC59"/>
      <c r="AD59"/>
      <c r="AJ59"/>
      <c r="AK59"/>
      <c r="AL59"/>
      <c r="AN59"/>
      <c r="AO59"/>
      <c r="AP59"/>
      <c r="AQ59"/>
      <c r="AR59"/>
    </row>
    <row r="60" spans="1:44">
      <c r="A60" s="121">
        <v>4</v>
      </c>
      <c r="B60" s="129">
        <v>10</v>
      </c>
      <c r="C60" s="16">
        <v>10</v>
      </c>
      <c r="D60" s="3" t="s">
        <v>5</v>
      </c>
      <c r="E60" s="16">
        <v>20</v>
      </c>
      <c r="F60" s="3" t="s">
        <v>601</v>
      </c>
      <c r="G60" s="3">
        <f t="shared" si="0"/>
        <v>25000</v>
      </c>
      <c r="H60" s="27" t="s">
        <v>1599</v>
      </c>
      <c r="I60" s="3">
        <v>24</v>
      </c>
      <c r="J60" s="3" t="str">
        <f t="shared" si="3"/>
        <v>星盘顶级道具</v>
      </c>
      <c r="K60" s="3" t="str">
        <f t="shared" si="4"/>
        <v>攻1</v>
      </c>
      <c r="L60" s="3" t="str">
        <f t="shared" si="8"/>
        <v>星盘顶级道具攻1</v>
      </c>
      <c r="M60" s="3">
        <v>3</v>
      </c>
      <c r="P60" s="3" t="s">
        <v>602</v>
      </c>
      <c r="Q60" s="3">
        <f t="shared" si="1"/>
        <v>100</v>
      </c>
      <c r="R60" s="116" t="s">
        <v>640</v>
      </c>
      <c r="S60" s="116" t="s">
        <v>2411</v>
      </c>
      <c r="T60" s="3" t="str">
        <f t="shared" si="6"/>
        <v>星盘顶级道具攻1</v>
      </c>
      <c r="U60" s="116">
        <v>1</v>
      </c>
      <c r="V60" s="116">
        <v>2</v>
      </c>
      <c r="W60" s="116">
        <v>1</v>
      </c>
      <c r="X60" s="3">
        <f>VLOOKUP(R63,道具定价!$C:$F,4,0)*AVERAGE(U63:V63)*W60</f>
        <v>37.5</v>
      </c>
      <c r="Y60" s="3">
        <f>SUM($Q$6:Q60)</f>
        <v>5500</v>
      </c>
      <c r="AC60"/>
      <c r="AD60"/>
      <c r="AJ60"/>
      <c r="AK60"/>
      <c r="AL60"/>
    </row>
    <row r="61" spans="1:44">
      <c r="A61" s="121">
        <v>4</v>
      </c>
      <c r="B61" s="122">
        <v>11</v>
      </c>
      <c r="C61" s="16">
        <v>10</v>
      </c>
      <c r="D61" s="3" t="s">
        <v>5</v>
      </c>
      <c r="E61" s="16">
        <v>20</v>
      </c>
      <c r="F61" s="3" t="s">
        <v>601</v>
      </c>
      <c r="G61" s="3">
        <f t="shared" si="0"/>
        <v>25000</v>
      </c>
      <c r="H61" s="27" t="s">
        <v>1599</v>
      </c>
      <c r="I61" s="3">
        <v>16</v>
      </c>
      <c r="J61" s="3" t="str">
        <f t="shared" si="3"/>
        <v>星盘顶级道具</v>
      </c>
      <c r="K61" s="3" t="str">
        <f t="shared" si="4"/>
        <v>攻2</v>
      </c>
      <c r="L61" s="3" t="str">
        <f t="shared" si="8"/>
        <v>星盘顶级道具攻2</v>
      </c>
      <c r="M61" s="3">
        <v>3</v>
      </c>
      <c r="P61" s="3" t="s">
        <v>602</v>
      </c>
      <c r="Q61" s="3">
        <f t="shared" si="1"/>
        <v>100</v>
      </c>
      <c r="R61" s="116" t="s">
        <v>640</v>
      </c>
      <c r="S61" s="116" t="s">
        <v>2413</v>
      </c>
      <c r="T61" s="3" t="str">
        <f t="shared" si="6"/>
        <v>星盘顶级道具攻2</v>
      </c>
      <c r="U61" s="116">
        <v>1</v>
      </c>
      <c r="V61" s="116">
        <v>2</v>
      </c>
      <c r="W61" s="116">
        <v>1</v>
      </c>
      <c r="X61" s="3">
        <f>VLOOKUP(R64,道具定价!$C:$F,4,0)*AVERAGE(U64:V64)*W61</f>
        <v>37.5</v>
      </c>
      <c r="Y61" s="3">
        <f>SUM($Q$6:Q61)</f>
        <v>5600</v>
      </c>
      <c r="AC61"/>
      <c r="AD61"/>
      <c r="AJ61"/>
      <c r="AK61"/>
      <c r="AL61"/>
    </row>
    <row r="62" spans="1:44">
      <c r="A62" s="121">
        <v>4</v>
      </c>
      <c r="B62" s="129">
        <v>12</v>
      </c>
      <c r="C62" s="16">
        <v>10</v>
      </c>
      <c r="D62" s="3" t="s">
        <v>5</v>
      </c>
      <c r="E62" s="16">
        <v>20</v>
      </c>
      <c r="F62" s="3" t="s">
        <v>601</v>
      </c>
      <c r="G62" s="3">
        <f t="shared" si="0"/>
        <v>25000</v>
      </c>
      <c r="H62" s="27" t="s">
        <v>1599</v>
      </c>
      <c r="I62" s="3">
        <v>16</v>
      </c>
      <c r="J62" s="3" t="str">
        <f t="shared" si="3"/>
        <v>星盘顶级道具</v>
      </c>
      <c r="K62" s="3" t="str">
        <f t="shared" si="4"/>
        <v>防1</v>
      </c>
      <c r="L62" s="3" t="str">
        <f t="shared" si="8"/>
        <v>星盘顶级道具防1</v>
      </c>
      <c r="M62" s="3">
        <v>3</v>
      </c>
      <c r="P62" s="3" t="s">
        <v>602</v>
      </c>
      <c r="Q62" s="3">
        <f t="shared" si="1"/>
        <v>100</v>
      </c>
      <c r="R62" s="116" t="s">
        <v>640</v>
      </c>
      <c r="S62" s="116" t="s">
        <v>2415</v>
      </c>
      <c r="T62" s="3" t="str">
        <f t="shared" si="6"/>
        <v>星盘顶级道具防1</v>
      </c>
      <c r="U62" s="116">
        <v>1</v>
      </c>
      <c r="V62" s="116">
        <v>2</v>
      </c>
      <c r="W62" s="116">
        <v>1</v>
      </c>
      <c r="X62" s="3">
        <f>VLOOKUP(R65,道具定价!$C:$F,4,0)*AVERAGE(U65:V65)*W62</f>
        <v>37.5</v>
      </c>
      <c r="Y62" s="3">
        <f>SUM($Q$6:Q62)</f>
        <v>5700</v>
      </c>
      <c r="AC62"/>
      <c r="AD62"/>
      <c r="AJ62"/>
      <c r="AK62"/>
      <c r="AL62"/>
    </row>
    <row r="63" spans="1:44">
      <c r="A63" s="121">
        <v>4</v>
      </c>
      <c r="B63" s="122">
        <v>13</v>
      </c>
      <c r="C63" s="16">
        <v>10</v>
      </c>
      <c r="D63" s="3" t="s">
        <v>5</v>
      </c>
      <c r="E63" s="16">
        <v>20</v>
      </c>
      <c r="F63" s="3" t="s">
        <v>601</v>
      </c>
      <c r="G63" s="3">
        <f t="shared" si="0"/>
        <v>25000</v>
      </c>
      <c r="H63" s="27" t="s">
        <v>1599</v>
      </c>
      <c r="I63" s="3">
        <v>16</v>
      </c>
      <c r="J63" s="3" t="str">
        <f t="shared" si="3"/>
        <v>星盘顶级道具</v>
      </c>
      <c r="K63" s="3" t="str">
        <f t="shared" si="4"/>
        <v>防2</v>
      </c>
      <c r="L63" s="3" t="str">
        <f t="shared" si="8"/>
        <v>星盘顶级道具防2</v>
      </c>
      <c r="M63" s="3">
        <v>3</v>
      </c>
      <c r="P63" s="3" t="s">
        <v>602</v>
      </c>
      <c r="Q63" s="3">
        <f t="shared" si="1"/>
        <v>100</v>
      </c>
      <c r="R63" s="116" t="s">
        <v>640</v>
      </c>
      <c r="S63" s="116" t="s">
        <v>2417</v>
      </c>
      <c r="T63" s="3" t="str">
        <f t="shared" si="6"/>
        <v>星盘顶级道具防2</v>
      </c>
      <c r="U63" s="116">
        <v>1</v>
      </c>
      <c r="V63" s="116">
        <v>2</v>
      </c>
      <c r="W63" s="142">
        <v>1</v>
      </c>
      <c r="X63" s="3">
        <f>VLOOKUP(R57,道具定价!$C:$F,4,0)*AVERAGE(U57:V57)*W63</f>
        <v>36</v>
      </c>
      <c r="Y63" s="3">
        <f>SUM($Q$6:Q63)</f>
        <v>5800</v>
      </c>
      <c r="AC63"/>
      <c r="AD63"/>
      <c r="AJ63"/>
      <c r="AK63"/>
      <c r="AL63"/>
    </row>
    <row r="64" spans="1:44">
      <c r="A64" s="121">
        <v>4</v>
      </c>
      <c r="B64" s="129">
        <v>14</v>
      </c>
      <c r="C64" s="16">
        <v>10</v>
      </c>
      <c r="D64" s="3" t="s">
        <v>5</v>
      </c>
      <c r="E64" s="16">
        <v>20</v>
      </c>
      <c r="F64" s="3" t="s">
        <v>601</v>
      </c>
      <c r="G64" s="3">
        <f t="shared" si="0"/>
        <v>25000</v>
      </c>
      <c r="H64" s="27" t="s">
        <v>1599</v>
      </c>
      <c r="I64" s="3">
        <v>16</v>
      </c>
      <c r="J64" s="3" t="str">
        <f t="shared" si="3"/>
        <v>星盘顶级道具</v>
      </c>
      <c r="K64" s="3" t="str">
        <f t="shared" si="4"/>
        <v>辅1</v>
      </c>
      <c r="L64" s="3" t="str">
        <f t="shared" si="8"/>
        <v>星盘顶级道具辅1</v>
      </c>
      <c r="M64" s="3">
        <v>3</v>
      </c>
      <c r="P64" s="3" t="s">
        <v>602</v>
      </c>
      <c r="Q64" s="3">
        <f t="shared" si="1"/>
        <v>100</v>
      </c>
      <c r="R64" s="116" t="s">
        <v>640</v>
      </c>
      <c r="S64" s="116" t="s">
        <v>2419</v>
      </c>
      <c r="T64" s="3" t="str">
        <f t="shared" si="6"/>
        <v>星盘顶级道具辅1</v>
      </c>
      <c r="U64" s="116">
        <v>1</v>
      </c>
      <c r="V64" s="116">
        <v>2</v>
      </c>
      <c r="W64" s="142">
        <v>1</v>
      </c>
      <c r="X64" s="3">
        <f>VLOOKUP(R58,道具定价!$C:$F,4,0)*AVERAGE(U58:V58)*W64</f>
        <v>36</v>
      </c>
      <c r="Y64" s="3">
        <f>SUM($Q$6:Q64)</f>
        <v>5900</v>
      </c>
      <c r="AC64"/>
      <c r="AD64"/>
      <c r="AJ64"/>
      <c r="AK64"/>
      <c r="AL64"/>
    </row>
    <row r="65" spans="1:38">
      <c r="A65" s="135">
        <v>4</v>
      </c>
      <c r="B65" s="122">
        <v>15</v>
      </c>
      <c r="C65" s="16">
        <v>10</v>
      </c>
      <c r="D65" s="74" t="s">
        <v>5</v>
      </c>
      <c r="E65" s="68">
        <v>20</v>
      </c>
      <c r="F65" s="74" t="s">
        <v>601</v>
      </c>
      <c r="G65" s="74">
        <v>50000</v>
      </c>
      <c r="H65" s="27" t="s">
        <v>1599</v>
      </c>
      <c r="I65" s="3">
        <v>24</v>
      </c>
      <c r="J65" s="3" t="str">
        <f t="shared" si="3"/>
        <v>星盘顶级道具</v>
      </c>
      <c r="K65" s="3" t="str">
        <f t="shared" si="4"/>
        <v>辅2</v>
      </c>
      <c r="L65" s="3" t="str">
        <f t="shared" si="8"/>
        <v>星盘顶级道具辅2</v>
      </c>
      <c r="M65" s="3">
        <v>3</v>
      </c>
      <c r="P65" s="74" t="s">
        <v>602</v>
      </c>
      <c r="Q65" s="74">
        <f t="shared" si="1"/>
        <v>100</v>
      </c>
      <c r="R65" s="116" t="s">
        <v>640</v>
      </c>
      <c r="S65" s="116" t="s">
        <v>2421</v>
      </c>
      <c r="T65" s="3" t="str">
        <f t="shared" si="6"/>
        <v>星盘顶级道具辅2</v>
      </c>
      <c r="U65" s="116">
        <v>1</v>
      </c>
      <c r="V65" s="116">
        <v>2</v>
      </c>
      <c r="W65" s="142">
        <v>1</v>
      </c>
      <c r="X65" s="3">
        <f>VLOOKUP(R59,道具定价!$C:$F,4,0)*AVERAGE(U59:V59)*W65</f>
        <v>36</v>
      </c>
      <c r="Y65" s="74">
        <f>SUM($Q$6:Q65)</f>
        <v>6000</v>
      </c>
      <c r="AC65"/>
      <c r="AD65"/>
      <c r="AJ65"/>
      <c r="AK65"/>
      <c r="AL65"/>
    </row>
    <row r="66" spans="1:38">
      <c r="AC66"/>
      <c r="AD66"/>
      <c r="AJ66"/>
      <c r="AK66"/>
      <c r="AL66"/>
    </row>
    <row r="67" spans="1:38">
      <c r="R67" s="3"/>
      <c r="S67" s="3"/>
      <c r="T67" s="3"/>
      <c r="U67" s="3"/>
      <c r="V67" s="3"/>
      <c r="AC67"/>
      <c r="AD67"/>
      <c r="AJ67"/>
      <c r="AK67"/>
      <c r="AL67"/>
    </row>
    <row r="68" spans="1:38">
      <c r="R68" s="3"/>
      <c r="S68" s="3"/>
      <c r="T68" s="3"/>
      <c r="U68" s="3"/>
      <c r="V68" s="3"/>
      <c r="AC68"/>
      <c r="AD68"/>
      <c r="AJ68"/>
      <c r="AK68"/>
      <c r="AL68"/>
    </row>
    <row r="69" spans="1:38">
      <c r="R69" s="3"/>
      <c r="S69" s="3"/>
      <c r="T69" s="3"/>
      <c r="U69" s="3"/>
      <c r="V69" s="3"/>
      <c r="AC69"/>
      <c r="AD69"/>
      <c r="AJ69"/>
    </row>
    <row r="70" spans="1:38">
      <c r="AC70"/>
      <c r="AD70"/>
      <c r="AJ70"/>
    </row>
    <row r="71" spans="1:38">
      <c r="AC71"/>
      <c r="AD71"/>
      <c r="AJ71"/>
    </row>
    <row r="72" spans="1:38">
      <c r="AC72"/>
      <c r="AD72"/>
      <c r="AJ72"/>
    </row>
    <row r="73" spans="1:38">
      <c r="R73" s="3"/>
      <c r="S73" s="3"/>
      <c r="T73" s="3"/>
      <c r="U73" s="3"/>
      <c r="V73" s="3"/>
      <c r="AC73"/>
      <c r="AD73"/>
      <c r="AJ73"/>
    </row>
    <row r="74" spans="1:38">
      <c r="R74" s="3"/>
      <c r="S74" s="3"/>
      <c r="T74" s="3"/>
      <c r="U74" s="3"/>
      <c r="V74" s="3"/>
      <c r="AC74"/>
      <c r="AD74"/>
      <c r="AJ74"/>
    </row>
    <row r="75" ht="17.25" customHeight="1" spans="1:38">
      <c r="L75" s="15"/>
      <c r="M75" s="15"/>
      <c r="AC75"/>
      <c r="AD75"/>
      <c r="AJ75"/>
    </row>
    <row r="76" ht="17.25" customHeight="1" spans="1:38">
      <c r="L76" s="15"/>
      <c r="M76" s="15"/>
      <c r="AC76"/>
      <c r="AD76"/>
      <c r="AJ76"/>
    </row>
    <row r="77" ht="17.25" customHeight="1" spans="1:38">
      <c r="L77" s="15"/>
      <c r="M77" s="15"/>
      <c r="AC77"/>
      <c r="AD77"/>
      <c r="AJ77"/>
    </row>
    <row r="78" ht="17.25" customHeight="1" spans="1:38">
      <c r="L78" s="15"/>
      <c r="M78" s="15"/>
      <c r="AC78"/>
      <c r="AD78"/>
      <c r="AJ78"/>
    </row>
    <row r="79" ht="17.25" customHeight="1" spans="1:38">
      <c r="L79" s="15"/>
      <c r="M79" s="15"/>
      <c r="AC79"/>
      <c r="AD79"/>
      <c r="AJ79"/>
    </row>
    <row r="80" ht="17.25" customHeight="1" spans="1:38">
      <c r="L80" s="15"/>
      <c r="M80" s="15"/>
      <c r="AC80"/>
      <c r="AD80"/>
      <c r="AJ80"/>
    </row>
    <row r="81" ht="17.25" customHeight="1" spans="12:36">
      <c r="L81" s="15"/>
      <c r="M81" s="15"/>
      <c r="AJ81"/>
    </row>
    <row r="82" ht="17.25" customHeight="1" spans="12:36">
      <c r="L82" s="15"/>
      <c r="M82" s="15"/>
    </row>
    <row r="83" ht="17.25" customHeight="1" spans="12:36">
      <c r="L83" s="15"/>
      <c r="M83" s="15"/>
    </row>
    <row r="84" ht="17.25" customHeight="1" spans="12:36">
      <c r="L84" s="15"/>
      <c r="M84" s="15"/>
    </row>
    <row r="85" ht="17.25" customHeight="1" spans="12:36">
      <c r="L85" s="15"/>
      <c r="M85" s="15"/>
    </row>
    <row r="86" ht="17.25" customHeight="1" spans="12:36">
      <c r="L86" s="15"/>
      <c r="M86" s="15"/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Z228"/>
  <sheetViews>
    <sheetView workbookViewId="0">
      <selection activeCell="M16" sqref="M16"/>
    </sheetView>
  </sheetViews>
  <sheetFormatPr defaultColWidth="9" defaultRowHeight="13.5"/>
  <cols>
    <col min="2" max="2" width="17.125" style="14" customWidth="1"/>
    <col min="15" max="15" width="17.125" style="14" customWidth="1"/>
    <col min="19" max="19" width="16.125" style="14" customWidth="1"/>
    <col min="20" max="20" width="17.125" style="14" customWidth="1"/>
    <col min="24" max="24" width="15.625" style="14" customWidth="1"/>
  </cols>
  <sheetData>
    <row r="1" spans="2:26">
      <c r="B1" t="s">
        <v>589</v>
      </c>
      <c r="C1" t="s">
        <v>590</v>
      </c>
      <c r="H1" t="s">
        <v>2444</v>
      </c>
    </row>
    <row r="2" ht="16.5" customHeight="1" spans="2:26">
      <c r="B2" s="3" t="s">
        <v>5</v>
      </c>
      <c r="C2" s="3">
        <v>2</v>
      </c>
      <c r="H2" s="3" t="str">
        <f>_xlfn.CONCAT(主线副本!R9,主线副本!S9)</f>
        <v>星盘低级道具攻1</v>
      </c>
      <c r="I2" s="3"/>
      <c r="J2" s="3">
        <f t="shared" ref="J2:J58" si="0">VLOOKUP(H2,$B:$C,2,0)</f>
        <v>1019</v>
      </c>
      <c r="K2" s="3">
        <f>主线副本!U9</f>
        <v>2</v>
      </c>
      <c r="L2" s="3">
        <f>主线副本!V9</f>
        <v>2</v>
      </c>
      <c r="O2" s="3"/>
      <c r="P2" s="3"/>
      <c r="Q2" s="3"/>
      <c r="T2" t="s">
        <v>2445</v>
      </c>
    </row>
    <row r="3" ht="16.5" customHeight="1" spans="2:26">
      <c r="B3" s="27" t="s">
        <v>1598</v>
      </c>
      <c r="C3" s="3">
        <v>100</v>
      </c>
      <c r="H3" s="3" t="str">
        <f>_xlfn.CONCAT(主线副本!R10,主线副本!S10)</f>
        <v>星盘低级道具攻2</v>
      </c>
      <c r="I3" s="3"/>
      <c r="J3" s="3">
        <f t="shared" si="0"/>
        <v>1022</v>
      </c>
      <c r="K3" s="3">
        <f>主线副本!U10</f>
        <v>2</v>
      </c>
      <c r="L3" s="3">
        <f>主线副本!V10</f>
        <v>2</v>
      </c>
      <c r="O3" s="3"/>
      <c r="P3" s="3"/>
      <c r="Q3" s="3"/>
    </row>
    <row r="4" ht="16.5" customHeight="1" spans="2:26">
      <c r="B4" s="27" t="s">
        <v>1599</v>
      </c>
      <c r="C4" s="3">
        <v>101</v>
      </c>
      <c r="H4" s="3" t="str">
        <f>_xlfn.CONCAT(主线副本!R11,主线副本!S11)</f>
        <v>星盘低级道具防1</v>
      </c>
      <c r="I4" s="3"/>
      <c r="J4" s="3">
        <f t="shared" si="0"/>
        <v>1020</v>
      </c>
      <c r="K4" s="3">
        <f>主线副本!U11</f>
        <v>2</v>
      </c>
      <c r="L4" s="3">
        <f>主线副本!V11</f>
        <v>2</v>
      </c>
      <c r="O4" s="3"/>
      <c r="P4" s="3"/>
      <c r="Q4" s="3"/>
      <c r="T4" s="3" t="str">
        <f t="array" ref="T4:T168">_xlfn.TOCOL(_xlfn.HSTACK(主线副本!F6:F65,主线副本!H6:H65,主线副本!L6:L65),1)</f>
        <v>金币</v>
      </c>
      <c r="U4">
        <f t="shared" ref="U4:U67" si="1">VLOOKUP(T4,$B:$C,2,0)</f>
        <v>1</v>
      </c>
      <c r="V4" s="3">
        <f t="array" ref="V4:V168">_xlfn.TOCOL(_xlfn.HSTACK(主线副本!G6:G65,主线副本!I6:I65,主线副本!M6:M65),1)</f>
        <v>5000</v>
      </c>
    </row>
    <row r="5" ht="16.5" customHeight="1" spans="2:26">
      <c r="B5" s="27" t="s">
        <v>1600</v>
      </c>
      <c r="C5" s="3">
        <v>102</v>
      </c>
      <c r="H5" s="3" t="str">
        <f>_xlfn.CONCAT(主线副本!R12,主线副本!S12)</f>
        <v>星盘低级道具防2</v>
      </c>
      <c r="I5" s="3"/>
      <c r="J5" s="3">
        <f t="shared" si="0"/>
        <v>1023</v>
      </c>
      <c r="K5" s="3">
        <f>主线副本!U12</f>
        <v>2</v>
      </c>
      <c r="L5" s="3">
        <f>主线副本!V12</f>
        <v>2</v>
      </c>
      <c r="O5" s="3"/>
      <c r="P5" s="3"/>
      <c r="Q5" s="3"/>
      <c r="T5" t="str">
        <v>角色经验低</v>
      </c>
      <c r="U5">
        <f t="shared" si="1"/>
        <v>100</v>
      </c>
      <c r="V5">
        <v>6</v>
      </c>
    </row>
    <row r="6" ht="16.5" customHeight="1" spans="2:26">
      <c r="B6" s="3" t="s">
        <v>1601</v>
      </c>
      <c r="C6" s="3">
        <v>1001</v>
      </c>
      <c r="H6" s="3" t="str">
        <f>_xlfn.CONCAT(主线副本!R13,主线副本!S13)</f>
        <v>星盘低级道具辅1</v>
      </c>
      <c r="I6" s="3"/>
      <c r="J6" s="3">
        <f t="shared" si="0"/>
        <v>1021</v>
      </c>
      <c r="K6" s="3">
        <f>主线副本!U13</f>
        <v>2</v>
      </c>
      <c r="L6" s="3">
        <f>主线副本!V13</f>
        <v>2</v>
      </c>
      <c r="O6" s="3"/>
      <c r="P6" s="3"/>
      <c r="Q6" s="3"/>
      <c r="T6" t="str">
        <v>金币</v>
      </c>
      <c r="U6">
        <f t="shared" si="1"/>
        <v>1</v>
      </c>
      <c r="V6">
        <v>5000</v>
      </c>
    </row>
    <row r="7" ht="16.5" customHeight="1" spans="2:26">
      <c r="B7" s="3" t="s">
        <v>1602</v>
      </c>
      <c r="C7" s="3">
        <v>1002</v>
      </c>
      <c r="H7" s="3" t="str">
        <f>_xlfn.CONCAT(主线副本!R14,主线副本!S14)</f>
        <v>星盘低级道具辅2</v>
      </c>
      <c r="I7" s="3"/>
      <c r="J7" s="3">
        <f t="shared" si="0"/>
        <v>1024</v>
      </c>
      <c r="K7" s="3">
        <f>主线副本!U14</f>
        <v>2</v>
      </c>
      <c r="L7" s="3">
        <f>主线副本!V14</f>
        <v>2</v>
      </c>
      <c r="O7" s="3"/>
      <c r="P7" s="3"/>
      <c r="Q7" s="3"/>
      <c r="T7" t="str">
        <v>角色经验低</v>
      </c>
      <c r="U7">
        <f t="shared" si="1"/>
        <v>100</v>
      </c>
      <c r="V7">
        <v>6</v>
      </c>
    </row>
    <row r="8" ht="16.5" customHeight="1" spans="2:26">
      <c r="B8" s="3" t="s">
        <v>1603</v>
      </c>
      <c r="C8" s="3">
        <v>1003</v>
      </c>
      <c r="H8" s="3" t="str">
        <f>_xlfn.CONCAT(主线副本!R15,主线副本!S15)</f>
        <v>角色升阶材料低攻</v>
      </c>
      <c r="I8" s="3"/>
      <c r="J8" s="3">
        <f t="shared" si="0"/>
        <v>1001</v>
      </c>
      <c r="K8" s="3">
        <f>主线副本!U15</f>
        <v>3</v>
      </c>
      <c r="L8" s="3">
        <f>主线副本!V15</f>
        <v>3</v>
      </c>
      <c r="O8" s="3"/>
      <c r="P8" s="3"/>
      <c r="Q8" s="3"/>
      <c r="T8" t="str">
        <v>金币</v>
      </c>
      <c r="U8">
        <f t="shared" si="1"/>
        <v>1</v>
      </c>
      <c r="V8">
        <v>5000</v>
      </c>
    </row>
    <row r="9" ht="16.5" customHeight="1" spans="2:26">
      <c r="B9" s="3" t="s">
        <v>1604</v>
      </c>
      <c r="C9" s="3">
        <v>1004</v>
      </c>
      <c r="H9" s="3" t="str">
        <f>_xlfn.CONCAT(主线副本!R16,主线副本!S16)</f>
        <v>角色升阶材料低防</v>
      </c>
      <c r="I9" s="3"/>
      <c r="J9" s="3">
        <f t="shared" si="0"/>
        <v>1002</v>
      </c>
      <c r="K9" s="3">
        <f>主线副本!U16</f>
        <v>3</v>
      </c>
      <c r="L9" s="3">
        <f>主线副本!V16</f>
        <v>3</v>
      </c>
      <c r="O9" s="3"/>
      <c r="P9" s="3"/>
      <c r="Q9" s="3"/>
      <c r="T9" t="str">
        <v>角色经验低</v>
      </c>
      <c r="U9">
        <f t="shared" si="1"/>
        <v>100</v>
      </c>
      <c r="V9">
        <v>6</v>
      </c>
    </row>
    <row r="10" ht="16.5" customHeight="1" spans="2:26">
      <c r="B10" s="3" t="s">
        <v>1605</v>
      </c>
      <c r="C10" s="3">
        <v>1005</v>
      </c>
      <c r="H10" s="3" t="str">
        <f>_xlfn.CONCAT(主线副本!R17,主线副本!S17)</f>
        <v>角色升阶材料低辅</v>
      </c>
      <c r="I10" s="3"/>
      <c r="J10" s="3">
        <f t="shared" si="0"/>
        <v>1003</v>
      </c>
      <c r="K10" s="3">
        <f>主线副本!U17</f>
        <v>3</v>
      </c>
      <c r="L10" s="3">
        <f>主线副本!V17</f>
        <v>3</v>
      </c>
      <c r="O10" s="3"/>
      <c r="P10" s="3"/>
      <c r="Q10" s="3"/>
      <c r="T10" t="str">
        <v>金币</v>
      </c>
      <c r="U10">
        <f t="shared" si="1"/>
        <v>1</v>
      </c>
      <c r="V10">
        <v>5000</v>
      </c>
    </row>
    <row r="11" ht="16.5" customHeight="1" spans="2:26">
      <c r="B11" s="3" t="s">
        <v>1606</v>
      </c>
      <c r="C11" s="3">
        <v>1006</v>
      </c>
      <c r="H11" s="3" t="str">
        <f>_xlfn.CONCAT(主线副本!R18,主线副本!S18)</f>
        <v>角色升阶材料低攻</v>
      </c>
      <c r="I11" s="3"/>
      <c r="J11" s="3">
        <f t="shared" si="0"/>
        <v>1001</v>
      </c>
      <c r="K11" s="3">
        <f>主线副本!U18</f>
        <v>4</v>
      </c>
      <c r="L11" s="3">
        <f>主线副本!V18</f>
        <v>4</v>
      </c>
      <c r="O11" s="3"/>
      <c r="P11" s="3"/>
      <c r="Q11" s="3"/>
      <c r="T11" t="str">
        <v>角色经验低</v>
      </c>
      <c r="U11">
        <f t="shared" si="1"/>
        <v>100</v>
      </c>
      <c r="V11">
        <v>6</v>
      </c>
    </row>
    <row r="12" ht="16.5" customHeight="1" spans="2:26">
      <c r="B12" s="3" t="s">
        <v>1607</v>
      </c>
      <c r="C12" s="3">
        <v>1007</v>
      </c>
      <c r="H12" s="3" t="str">
        <f>_xlfn.CONCAT(主线副本!R19,主线副本!S19)</f>
        <v>角色升阶材料低防</v>
      </c>
      <c r="I12" s="3"/>
      <c r="J12" s="3">
        <f t="shared" si="0"/>
        <v>1002</v>
      </c>
      <c r="K12" s="3">
        <f>主线副本!U19</f>
        <v>4</v>
      </c>
      <c r="L12" s="3">
        <f>主线副本!V19</f>
        <v>4</v>
      </c>
      <c r="O12" s="3"/>
      <c r="P12" s="3"/>
      <c r="Q12" s="3"/>
      <c r="T12" t="str">
        <v>星盘低级道具攻1</v>
      </c>
      <c r="U12">
        <f t="shared" si="1"/>
        <v>1019</v>
      </c>
      <c r="V12">
        <v>6</v>
      </c>
    </row>
    <row r="13" ht="16.5" customHeight="1" spans="2:26">
      <c r="B13" s="3" t="s">
        <v>1608</v>
      </c>
      <c r="C13" s="3">
        <v>1008</v>
      </c>
      <c r="H13" s="3" t="str">
        <f>_xlfn.CONCAT(主线副本!R20,主线副本!S20)</f>
        <v>角色升阶材料低辅</v>
      </c>
      <c r="I13" s="3"/>
      <c r="J13" s="3">
        <f t="shared" si="0"/>
        <v>1003</v>
      </c>
      <c r="K13" s="3">
        <f>主线副本!U20</f>
        <v>4</v>
      </c>
      <c r="L13" s="3">
        <f>主线副本!V20</f>
        <v>4</v>
      </c>
      <c r="O13" s="3"/>
      <c r="P13" s="3"/>
      <c r="Q13" s="3"/>
      <c r="T13" t="str">
        <v>金币</v>
      </c>
      <c r="U13">
        <f t="shared" si="1"/>
        <v>1</v>
      </c>
      <c r="V13">
        <v>10000</v>
      </c>
    </row>
    <row r="14" ht="16.5" customHeight="1" spans="2:26">
      <c r="B14" s="3" t="s">
        <v>1609</v>
      </c>
      <c r="C14" s="3">
        <v>1009</v>
      </c>
      <c r="H14" s="3" t="str">
        <f>_xlfn.CONCAT(主线副本!R21,主线副本!S21)</f>
        <v>星盘低级道具攻1</v>
      </c>
      <c r="I14" s="3"/>
      <c r="J14" s="3">
        <f t="shared" si="0"/>
        <v>1019</v>
      </c>
      <c r="K14" s="3">
        <f>主线副本!U21</f>
        <v>2</v>
      </c>
      <c r="L14" s="3">
        <f>主线副本!V21</f>
        <v>3</v>
      </c>
      <c r="O14" t="s">
        <v>2446</v>
      </c>
      <c r="P14" s="3"/>
      <c r="Q14" s="3"/>
      <c r="T14" t="str">
        <v>角色经验低</v>
      </c>
      <c r="U14">
        <f t="shared" si="1"/>
        <v>100</v>
      </c>
      <c r="V14">
        <v>10</v>
      </c>
      <c r="X14" t="s">
        <v>2447</v>
      </c>
    </row>
    <row r="15" ht="16.5" customHeight="1" spans="2:26">
      <c r="B15" s="3" t="s">
        <v>6</v>
      </c>
      <c r="C15" s="3">
        <v>106</v>
      </c>
      <c r="H15" s="3" t="str">
        <f>_xlfn.CONCAT(主线副本!R22,主线副本!S22)</f>
        <v>星盘低级道具攻2</v>
      </c>
      <c r="I15" s="3"/>
      <c r="J15" s="3">
        <f t="shared" si="0"/>
        <v>1022</v>
      </c>
      <c r="K15" s="3">
        <f>主线副本!U22</f>
        <v>2</v>
      </c>
      <c r="L15" s="3">
        <f>主线副本!V22</f>
        <v>3</v>
      </c>
      <c r="O15" s="3"/>
      <c r="P15" s="3"/>
      <c r="Q15" s="3"/>
      <c r="T15" t="str">
        <v>星盘低级道具攻2</v>
      </c>
      <c r="U15">
        <f t="shared" si="1"/>
        <v>1022</v>
      </c>
      <c r="V15">
        <v>6</v>
      </c>
    </row>
    <row r="16" ht="16.5" customHeight="1" spans="2:26">
      <c r="B16" s="3" t="s">
        <v>1610</v>
      </c>
      <c r="C16" s="3">
        <v>13</v>
      </c>
      <c r="H16" s="3" t="str">
        <f>_xlfn.CONCAT(主线副本!R23,主线副本!S23)</f>
        <v>星盘低级道具防1</v>
      </c>
      <c r="I16" s="3"/>
      <c r="J16" s="3">
        <f t="shared" si="0"/>
        <v>1020</v>
      </c>
      <c r="K16" s="3">
        <f>主线副本!U23</f>
        <v>2</v>
      </c>
      <c r="L16" s="3">
        <f>主线副本!V23</f>
        <v>3</v>
      </c>
      <c r="O16" s="3" t="str">
        <f t="array" ref="O16">INDEX(CHOOSE(MOD(ROW()-1,3)+1,主线副本!$AC:$AC,主线副本!$AE:$AE,主线副本!$AG:$AG),INT((ROW()-1)/3)+1)</f>
        <v>钻石</v>
      </c>
      <c r="P16">
        <f t="shared" ref="P16:P79" si="2">VLOOKUP(O16,$B:$C,2,0)</f>
        <v>2</v>
      </c>
      <c r="Q16" s="3">
        <f t="array" ref="Q16">INDEX(CHOOSE(MOD(ROW()-1,3)+1,主线副本!$AD:$AD,主线副本!$AF:$AF,主线副本!$AH:$AH),INT((ROW()-1)/3)+1)</f>
        <v>50</v>
      </c>
      <c r="T16" t="str">
        <v>金币</v>
      </c>
      <c r="U16">
        <f t="shared" si="1"/>
        <v>1</v>
      </c>
      <c r="V16">
        <v>10000</v>
      </c>
      <c r="X16" t="str">
        <f t="array" ref="X16:X42">_xlfn.TOCOL(_xlfn.HSTACK(高难主线关卡!AG8:AG16,高难主线关卡!AI8:AI16,高难主线关卡!AK8:AK16),1)</f>
        <v>角色抽卡券限时</v>
      </c>
      <c r="Y16">
        <f t="shared" ref="Y16:Y42" si="3">VLOOKUP(X16,$B:$C,2,0)</f>
        <v>111</v>
      </c>
      <c r="Z16">
        <f t="array" ref="Z16:Z42">_xlfn.TOCOL(_xlfn.HSTACK(高难主线关卡!AH8:AH16,高难主线关卡!AJ8:AJ16,高难主线关卡!AL8:AL16),1)</f>
        <v>1</v>
      </c>
    </row>
    <row r="17" ht="16.5" customHeight="1" spans="2:26">
      <c r="B17" s="3" t="s">
        <v>1611</v>
      </c>
      <c r="C17" s="3">
        <v>5</v>
      </c>
      <c r="H17" s="3" t="str">
        <f>_xlfn.CONCAT(主线副本!R24,主线副本!S24)</f>
        <v>星盘低级道具防2</v>
      </c>
      <c r="I17" s="3"/>
      <c r="J17" s="3">
        <f t="shared" si="0"/>
        <v>1023</v>
      </c>
      <c r="K17" s="3">
        <f>主线副本!U24</f>
        <v>2</v>
      </c>
      <c r="L17" s="3">
        <f>主线副本!V24</f>
        <v>3</v>
      </c>
      <c r="O17" s="3" t="str">
        <f t="array" ref="O17">INDEX(CHOOSE(MOD(ROW()-1,3)+1,主线副本!$AC:$AC,主线副本!$AE:$AE,主线副本!$AG:$AG),INT((ROW()-1)/3)+1)</f>
        <v>角色经验低</v>
      </c>
      <c r="P17">
        <f t="shared" si="2"/>
        <v>100</v>
      </c>
      <c r="Q17" s="3">
        <f t="array" ref="Q17">INDEX(CHOOSE(MOD(ROW()-1,3)+1,主线副本!$AD:$AD,主线副本!$AF:$AF,主线副本!$AH:$AH),INT((ROW()-1)/3)+1)</f>
        <v>15</v>
      </c>
      <c r="T17" t="str">
        <v>角色经验中</v>
      </c>
      <c r="U17">
        <f t="shared" si="1"/>
        <v>101</v>
      </c>
      <c r="V17">
        <v>6</v>
      </c>
      <c r="X17" t="str">
        <v>映射之匙</v>
      </c>
      <c r="Y17">
        <f t="shared" si="3"/>
        <v>25</v>
      </c>
      <c r="Z17">
        <v>2</v>
      </c>
    </row>
    <row r="18" ht="17.25" customHeight="1" spans="2:26">
      <c r="B18" s="3" t="s">
        <v>1612</v>
      </c>
      <c r="C18" s="15">
        <v>1010</v>
      </c>
      <c r="H18" s="3" t="str">
        <f>_xlfn.CONCAT(主线副本!R25,主线副本!S25)</f>
        <v>星盘低级道具辅1</v>
      </c>
      <c r="I18" s="3"/>
      <c r="J18" s="3">
        <f t="shared" si="0"/>
        <v>1021</v>
      </c>
      <c r="K18" s="3">
        <f>主线副本!U25</f>
        <v>2</v>
      </c>
      <c r="L18" s="3">
        <f>主线副本!V25</f>
        <v>3</v>
      </c>
      <c r="O18" s="3" t="str">
        <f t="array" ref="O18">INDEX(CHOOSE(MOD(ROW()-1,3)+1,主线副本!$AC:$AC,主线副本!$AE:$AE,主线副本!$AG:$AG),INT((ROW()-1)/3)+1)</f>
        <v>角色升阶材料低攻</v>
      </c>
      <c r="P18">
        <f t="shared" si="2"/>
        <v>1001</v>
      </c>
      <c r="Q18" s="3">
        <f t="array" ref="Q18">INDEX(CHOOSE(MOD(ROW()-1,3)+1,主线副本!$AD:$AD,主线副本!$AF:$AF,主线副本!$AH:$AH),INT((ROW()-1)/3)+1)</f>
        <v>6</v>
      </c>
      <c r="T18" t="str">
        <v>星盘低级道具防1</v>
      </c>
      <c r="U18">
        <f t="shared" si="1"/>
        <v>1020</v>
      </c>
      <c r="V18">
        <v>6</v>
      </c>
      <c r="X18" t="str">
        <v>3级红宝石</v>
      </c>
      <c r="Y18">
        <f t="shared" si="3"/>
        <v>81103</v>
      </c>
      <c r="Z18">
        <v>1</v>
      </c>
    </row>
    <row r="19" ht="17.25" customHeight="1" spans="2:26">
      <c r="B19" s="3" t="s">
        <v>1613</v>
      </c>
      <c r="C19" s="15">
        <v>1011</v>
      </c>
      <c r="H19" s="3" t="str">
        <f>_xlfn.CONCAT(主线副本!R26,主线副本!S26)</f>
        <v>星盘低级道具辅2</v>
      </c>
      <c r="I19" s="3"/>
      <c r="J19" s="3">
        <f t="shared" si="0"/>
        <v>1024</v>
      </c>
      <c r="K19" s="3">
        <f>主线副本!U26</f>
        <v>2</v>
      </c>
      <c r="L19" s="3">
        <f>主线副本!V26</f>
        <v>3</v>
      </c>
      <c r="O19" s="3" t="str">
        <f t="array" ref="O19">INDEX(CHOOSE(MOD(ROW()-1,3)+1,主线副本!$AC:$AC,主线副本!$AE:$AE,主线副本!$AG:$AG),INT((ROW()-1)/3)+1)</f>
        <v>钻石</v>
      </c>
      <c r="P19">
        <f t="shared" si="2"/>
        <v>2</v>
      </c>
      <c r="Q19" s="3">
        <f t="array" ref="Q19">INDEX(CHOOSE(MOD(ROW()-1,3)+1,主线副本!$AD:$AD,主线副本!$AF:$AF,主线副本!$AH:$AH),INT((ROW()-1)/3)+1)</f>
        <v>50</v>
      </c>
      <c r="T19" t="str">
        <v>金币</v>
      </c>
      <c r="U19">
        <f t="shared" si="1"/>
        <v>1</v>
      </c>
      <c r="V19">
        <v>10000</v>
      </c>
      <c r="X19" t="str">
        <v>角色抽卡券限时</v>
      </c>
      <c r="Y19">
        <f t="shared" si="3"/>
        <v>111</v>
      </c>
      <c r="Z19">
        <v>1</v>
      </c>
    </row>
    <row r="20" ht="17.25" customHeight="1" spans="2:26">
      <c r="B20" s="3" t="s">
        <v>1614</v>
      </c>
      <c r="C20" s="15">
        <v>1012</v>
      </c>
      <c r="H20" s="3" t="str">
        <f>_xlfn.CONCAT(主线副本!R27,主线副本!S27)</f>
        <v>角色升阶材料低攻</v>
      </c>
      <c r="I20" s="3"/>
      <c r="J20" s="3">
        <f t="shared" si="0"/>
        <v>1001</v>
      </c>
      <c r="K20" s="3">
        <f>主线副本!U27</f>
        <v>5</v>
      </c>
      <c r="L20" s="3">
        <f>主线副本!V27</f>
        <v>5</v>
      </c>
      <c r="O20" s="3" t="str">
        <f t="array" ref="O20">INDEX(CHOOSE(MOD(ROW()-1,3)+1,主线副本!$AC:$AC,主线副本!$AE:$AE,主线副本!$AG:$AG),INT((ROW()-1)/3)+1)</f>
        <v>角色经验低</v>
      </c>
      <c r="P20">
        <f t="shared" si="2"/>
        <v>100</v>
      </c>
      <c r="Q20" s="3">
        <f t="array" ref="Q20">INDEX(CHOOSE(MOD(ROW()-1,3)+1,主线副本!$AD:$AD,主线副本!$AF:$AF,主线副本!$AH:$AH),INT((ROW()-1)/3)+1)</f>
        <v>15</v>
      </c>
      <c r="T20" t="str">
        <v>角色经验中</v>
      </c>
      <c r="U20">
        <f t="shared" si="1"/>
        <v>101</v>
      </c>
      <c r="V20">
        <v>6</v>
      </c>
      <c r="X20" t="str">
        <v>映射之匙</v>
      </c>
      <c r="Y20">
        <f t="shared" si="3"/>
        <v>25</v>
      </c>
      <c r="Z20">
        <v>3</v>
      </c>
    </row>
    <row r="21" ht="17.25" customHeight="1" spans="2:26">
      <c r="B21" s="3" t="s">
        <v>1615</v>
      </c>
      <c r="C21" s="15">
        <v>1013</v>
      </c>
      <c r="H21" s="3" t="str">
        <f>_xlfn.CONCAT(主线副本!R28,主线副本!S28)</f>
        <v>角色升阶材料低防</v>
      </c>
      <c r="I21" s="3"/>
      <c r="J21" s="3">
        <f t="shared" si="0"/>
        <v>1002</v>
      </c>
      <c r="K21" s="3">
        <f>主线副本!U28</f>
        <v>5</v>
      </c>
      <c r="L21" s="3">
        <f>主线副本!V28</f>
        <v>5</v>
      </c>
      <c r="O21" s="3" t="str">
        <f t="array" ref="O21">INDEX(CHOOSE(MOD(ROW()-1,3)+1,主线副本!$AC:$AC,主线副本!$AE:$AE,主线副本!$AG:$AG),INT((ROW()-1)/3)+1)</f>
        <v>角色升阶材料低防</v>
      </c>
      <c r="P21">
        <f t="shared" si="2"/>
        <v>1002</v>
      </c>
      <c r="Q21" s="3">
        <f t="array" ref="Q21">INDEX(CHOOSE(MOD(ROW()-1,3)+1,主线副本!$AD:$AD,主线副本!$AF:$AF,主线副本!$AH:$AH),INT((ROW()-1)/3)+1)</f>
        <v>6</v>
      </c>
      <c r="T21" t="str">
        <v>星盘低级道具防2</v>
      </c>
      <c r="U21">
        <f t="shared" si="1"/>
        <v>1023</v>
      </c>
      <c r="V21">
        <v>6</v>
      </c>
      <c r="X21" t="str">
        <v>3级蓝宝石</v>
      </c>
      <c r="Y21">
        <f t="shared" si="3"/>
        <v>81203</v>
      </c>
      <c r="Z21">
        <v>1</v>
      </c>
    </row>
    <row r="22" ht="17.25" customHeight="1" spans="2:26">
      <c r="B22" s="3" t="s">
        <v>1616</v>
      </c>
      <c r="C22" s="15">
        <v>1014</v>
      </c>
      <c r="H22" s="3" t="str">
        <f>_xlfn.CONCAT(主线副本!R29,主线副本!S29)</f>
        <v>角色升阶材料低辅</v>
      </c>
      <c r="I22" s="3"/>
      <c r="J22" s="3">
        <f t="shared" si="0"/>
        <v>1003</v>
      </c>
      <c r="K22" s="3">
        <f>主线副本!U29</f>
        <v>5</v>
      </c>
      <c r="L22" s="3">
        <f>主线副本!V29</f>
        <v>5</v>
      </c>
      <c r="O22" s="3" t="str">
        <f t="array" ref="O22">INDEX(CHOOSE(MOD(ROW()-1,3)+1,主线副本!$AC:$AC,主线副本!$AE:$AE,主线副本!$AG:$AG),INT((ROW()-1)/3)+1)</f>
        <v>钻石</v>
      </c>
      <c r="P22">
        <f t="shared" si="2"/>
        <v>2</v>
      </c>
      <c r="Q22" s="3">
        <f t="array" ref="Q22">INDEX(CHOOSE(MOD(ROW()-1,3)+1,主线副本!$AD:$AD,主线副本!$AF:$AF,主线副本!$AH:$AH),INT((ROW()-1)/3)+1)</f>
        <v>150</v>
      </c>
      <c r="T22" t="str">
        <v>金币</v>
      </c>
      <c r="U22">
        <f t="shared" si="1"/>
        <v>1</v>
      </c>
      <c r="V22">
        <v>10000</v>
      </c>
      <c r="X22" t="str">
        <v>角色抽卡券限时</v>
      </c>
      <c r="Y22">
        <f t="shared" si="3"/>
        <v>111</v>
      </c>
      <c r="Z22">
        <v>3</v>
      </c>
    </row>
    <row r="23" ht="17.25" customHeight="1" spans="2:26">
      <c r="B23" s="3" t="s">
        <v>1617</v>
      </c>
      <c r="C23" s="15">
        <v>1015</v>
      </c>
      <c r="H23" s="3" t="str">
        <f>_xlfn.CONCAT(主线副本!R30,主线副本!S30)</f>
        <v>角色升阶材料低攻</v>
      </c>
      <c r="I23" s="3"/>
      <c r="J23" s="3">
        <f t="shared" si="0"/>
        <v>1001</v>
      </c>
      <c r="K23" s="3">
        <f>主线副本!U30</f>
        <v>6</v>
      </c>
      <c r="L23" s="3">
        <f>主线副本!V30</f>
        <v>6</v>
      </c>
      <c r="O23" s="3" t="str">
        <f t="array" ref="O23">INDEX(CHOOSE(MOD(ROW()-1,3)+1,主线副本!$AC:$AC,主线副本!$AE:$AE,主线副本!$AG:$AG),INT((ROW()-1)/3)+1)</f>
        <v>角色经验低</v>
      </c>
      <c r="P23">
        <f t="shared" si="2"/>
        <v>100</v>
      </c>
      <c r="Q23" s="3">
        <f t="array" ref="Q23">INDEX(CHOOSE(MOD(ROW()-1,3)+1,主线副本!$AD:$AD,主线副本!$AF:$AF,主线副本!$AH:$AH),INT((ROW()-1)/3)+1)</f>
        <v>15</v>
      </c>
      <c r="T23" t="str">
        <v>角色经验中</v>
      </c>
      <c r="U23">
        <f t="shared" si="1"/>
        <v>101</v>
      </c>
      <c r="V23">
        <v>6</v>
      </c>
      <c r="X23" t="str">
        <v>映射之匙</v>
      </c>
      <c r="Y23">
        <f t="shared" si="3"/>
        <v>25</v>
      </c>
      <c r="Z23">
        <v>5</v>
      </c>
    </row>
    <row r="24" ht="17.25" customHeight="1" spans="2:26">
      <c r="B24" s="3" t="s">
        <v>1618</v>
      </c>
      <c r="C24" s="15">
        <v>1016</v>
      </c>
      <c r="H24" s="3" t="str">
        <f>_xlfn.CONCAT(主线副本!R31,主线副本!S31)</f>
        <v>角色升阶材料低防</v>
      </c>
      <c r="I24" s="3"/>
      <c r="J24" s="3">
        <f t="shared" si="0"/>
        <v>1002</v>
      </c>
      <c r="K24" s="3">
        <f>主线副本!U31</f>
        <v>6</v>
      </c>
      <c r="L24" s="3">
        <f>主线副本!V31</f>
        <v>6</v>
      </c>
      <c r="O24" s="3" t="str">
        <f t="array" ref="O24">INDEX(CHOOSE(MOD(ROW()-1,3)+1,主线副本!$AC:$AC,主线副本!$AE:$AE,主线副本!$AG:$AG),INT((ROW()-1)/3)+1)</f>
        <v>角色抽卡券限时</v>
      </c>
      <c r="P24">
        <f t="shared" si="2"/>
        <v>111</v>
      </c>
      <c r="Q24" s="3">
        <f t="array" ref="Q24">INDEX(CHOOSE(MOD(ROW()-1,3)+1,主线副本!$AD:$AD,主线副本!$AF:$AF,主线副本!$AH:$AH),INT((ROW()-1)/3)+1)</f>
        <v>3</v>
      </c>
      <c r="T24" t="str">
        <v>星盘低级道具辅1</v>
      </c>
      <c r="U24">
        <f t="shared" si="1"/>
        <v>1021</v>
      </c>
      <c r="V24">
        <v>6</v>
      </c>
      <c r="X24" t="str">
        <v>随机金色装备</v>
      </c>
      <c r="Y24">
        <f t="shared" si="3"/>
        <v>2503</v>
      </c>
      <c r="Z24">
        <v>1</v>
      </c>
    </row>
    <row r="25" ht="17.25" customHeight="1" spans="2:26">
      <c r="B25" s="3" t="s">
        <v>1619</v>
      </c>
      <c r="C25" s="15">
        <v>1017</v>
      </c>
      <c r="H25" s="3" t="str">
        <f>_xlfn.CONCAT(主线副本!R32,主线副本!S32)</f>
        <v>角色升阶材料低辅</v>
      </c>
      <c r="I25" s="3"/>
      <c r="J25" s="3">
        <f t="shared" si="0"/>
        <v>1003</v>
      </c>
      <c r="K25" s="3">
        <f>主线副本!U32</f>
        <v>6</v>
      </c>
      <c r="L25" s="3">
        <f>主线副本!V32</f>
        <v>6</v>
      </c>
      <c r="O25" s="3" t="str">
        <f t="array" ref="O25">INDEX(CHOOSE(MOD(ROW()-1,3)+1,主线副本!$AC:$AC,主线副本!$AE:$AE,主线副本!$AG:$AG),INT((ROW()-1)/3)+1)</f>
        <v>钻石</v>
      </c>
      <c r="P25">
        <f t="shared" si="2"/>
        <v>2</v>
      </c>
      <c r="Q25" s="3">
        <f t="array" ref="Q25">INDEX(CHOOSE(MOD(ROW()-1,3)+1,主线副本!$AD:$AD,主线副本!$AF:$AF,主线副本!$AH:$AH),INT((ROW()-1)/3)+1)</f>
        <v>50</v>
      </c>
      <c r="T25" t="str">
        <v>金币</v>
      </c>
      <c r="U25">
        <f t="shared" si="1"/>
        <v>1</v>
      </c>
      <c r="V25">
        <v>10000</v>
      </c>
      <c r="X25" t="str">
        <v>角色抽卡券限时</v>
      </c>
      <c r="Y25">
        <f t="shared" si="3"/>
        <v>111</v>
      </c>
      <c r="Z25">
        <v>1</v>
      </c>
    </row>
    <row r="26" ht="17.25" customHeight="1" spans="2:26">
      <c r="B26" s="3" t="s">
        <v>1620</v>
      </c>
      <c r="C26" s="15">
        <v>1018</v>
      </c>
      <c r="H26" s="3" t="str">
        <f>_xlfn.CONCAT(主线副本!R33,主线副本!S33)</f>
        <v>星盘中级道具攻1</v>
      </c>
      <c r="I26" s="3"/>
      <c r="J26" s="3">
        <f t="shared" si="0"/>
        <v>1025</v>
      </c>
      <c r="K26" s="3">
        <f>主线副本!U33</f>
        <v>2</v>
      </c>
      <c r="L26" s="3">
        <f>主线副本!V33</f>
        <v>2</v>
      </c>
      <c r="O26" s="3" t="str">
        <f t="array" ref="O26">INDEX(CHOOSE(MOD(ROW()-1,3)+1,主线副本!$AC:$AC,主线副本!$AE:$AE,主线副本!$AG:$AG),INT((ROW()-1)/3)+1)</f>
        <v>角色经验中</v>
      </c>
      <c r="P26">
        <f t="shared" si="2"/>
        <v>101</v>
      </c>
      <c r="Q26" s="3">
        <f t="array" ref="Q26">INDEX(CHOOSE(MOD(ROW()-1,3)+1,主线副本!$AD:$AD,主线副本!$AF:$AF,主线副本!$AH:$AH),INT((ROW()-1)/3)+1)</f>
        <v>8</v>
      </c>
      <c r="T26" t="str">
        <v>角色经验中</v>
      </c>
      <c r="U26">
        <f t="shared" si="1"/>
        <v>101</v>
      </c>
      <c r="V26">
        <v>6</v>
      </c>
      <c r="X26" t="str">
        <v>映射之匙</v>
      </c>
      <c r="Y26">
        <f t="shared" si="3"/>
        <v>25</v>
      </c>
      <c r="Z26">
        <v>2</v>
      </c>
    </row>
    <row r="27" ht="17.25" customHeight="1" spans="2:26">
      <c r="B27" s="3" t="s">
        <v>1621</v>
      </c>
      <c r="C27" s="15">
        <v>2502</v>
      </c>
      <c r="H27" s="3" t="str">
        <f>_xlfn.CONCAT(主线副本!R34,主线副本!S34)</f>
        <v>星盘中级道具攻2</v>
      </c>
      <c r="I27" s="3"/>
      <c r="J27" s="3">
        <f t="shared" si="0"/>
        <v>1028</v>
      </c>
      <c r="K27" s="3">
        <f>主线副本!U34</f>
        <v>2</v>
      </c>
      <c r="L27" s="3">
        <f>主线副本!V34</f>
        <v>2</v>
      </c>
      <c r="O27" s="3" t="str">
        <f t="array" ref="O27">INDEX(CHOOSE(MOD(ROW()-1,3)+1,主线副本!$AC:$AC,主线副本!$AE:$AE,主线副本!$AG:$AG),INT((ROW()-1)/3)+1)</f>
        <v>角色升阶材料低辅</v>
      </c>
      <c r="P27">
        <f t="shared" si="2"/>
        <v>1003</v>
      </c>
      <c r="Q27" s="3">
        <f t="array" ref="Q27">INDEX(CHOOSE(MOD(ROW()-1,3)+1,主线副本!$AD:$AD,主线副本!$AF:$AF,主线副本!$AH:$AH),INT((ROW()-1)/3)+1)</f>
        <v>6</v>
      </c>
      <c r="T27" t="str">
        <v>星盘低级道具辅2</v>
      </c>
      <c r="U27">
        <f t="shared" si="1"/>
        <v>1024</v>
      </c>
      <c r="V27">
        <v>6</v>
      </c>
      <c r="X27" t="str">
        <v>3级黄宝石</v>
      </c>
      <c r="Y27">
        <f t="shared" si="3"/>
        <v>81303</v>
      </c>
      <c r="Z27">
        <v>1</v>
      </c>
    </row>
    <row r="28" ht="17.25" customHeight="1" spans="2:26">
      <c r="B28" s="3" t="s">
        <v>1622</v>
      </c>
      <c r="C28" s="15">
        <v>2503</v>
      </c>
      <c r="H28" s="3" t="str">
        <f>_xlfn.CONCAT(主线副本!R35,主线副本!S35)</f>
        <v>星盘中级道具防1</v>
      </c>
      <c r="I28" s="3"/>
      <c r="J28" s="3">
        <f t="shared" si="0"/>
        <v>1026</v>
      </c>
      <c r="K28" s="3">
        <f>主线副本!U35</f>
        <v>2</v>
      </c>
      <c r="L28" s="3">
        <f>主线副本!V35</f>
        <v>2</v>
      </c>
      <c r="O28" s="3" t="str">
        <f t="array" ref="O28">INDEX(CHOOSE(MOD(ROW()-1,3)+1,主线副本!$AC:$AC,主线副本!$AE:$AE,主线副本!$AG:$AG),INT((ROW()-1)/3)+1)</f>
        <v>钻石</v>
      </c>
      <c r="P28">
        <f t="shared" si="2"/>
        <v>2</v>
      </c>
      <c r="Q28" s="3">
        <f t="array" ref="Q28">INDEX(CHOOSE(MOD(ROW()-1,3)+1,主线副本!$AD:$AD,主线副本!$AF:$AF,主线副本!$AH:$AH),INT((ROW()-1)/3)+1)</f>
        <v>50</v>
      </c>
      <c r="T28" t="str">
        <v>金币</v>
      </c>
      <c r="U28">
        <f t="shared" si="1"/>
        <v>1</v>
      </c>
      <c r="V28">
        <v>10000</v>
      </c>
      <c r="X28" t="str">
        <v>角色抽卡券限时</v>
      </c>
      <c r="Y28">
        <f t="shared" si="3"/>
        <v>111</v>
      </c>
      <c r="Z28">
        <v>1</v>
      </c>
    </row>
    <row r="29" ht="17.25" customHeight="1" spans="2:26">
      <c r="B29" s="3" t="s">
        <v>1623</v>
      </c>
      <c r="C29" s="15">
        <v>1019</v>
      </c>
      <c r="H29" s="3" t="str">
        <f>_xlfn.CONCAT(主线副本!R36,主线副本!S36)</f>
        <v>星盘中级道具防2</v>
      </c>
      <c r="I29" s="3"/>
      <c r="J29" s="3">
        <f t="shared" si="0"/>
        <v>1029</v>
      </c>
      <c r="K29" s="3">
        <f>主线副本!U36</f>
        <v>2</v>
      </c>
      <c r="L29" s="3">
        <f>主线副本!V36</f>
        <v>2</v>
      </c>
      <c r="O29" s="3" t="str">
        <f t="array" ref="O29">INDEX(CHOOSE(MOD(ROW()-1,3)+1,主线副本!$AC:$AC,主线副本!$AE:$AE,主线副本!$AG:$AG),INT((ROW()-1)/3)+1)</f>
        <v>角色经验中</v>
      </c>
      <c r="P29">
        <f t="shared" si="2"/>
        <v>101</v>
      </c>
      <c r="Q29" s="3">
        <f t="array" ref="Q29">INDEX(CHOOSE(MOD(ROW()-1,3)+1,主线副本!$AD:$AD,主线副本!$AF:$AF,主线副本!$AH:$AH),INT((ROW()-1)/3)+1)</f>
        <v>8</v>
      </c>
      <c r="T29" t="str">
        <v>角色经验中</v>
      </c>
      <c r="U29">
        <f t="shared" si="1"/>
        <v>101</v>
      </c>
      <c r="V29">
        <v>10</v>
      </c>
      <c r="X29" t="str">
        <v>映射之匙</v>
      </c>
      <c r="Y29">
        <f t="shared" si="3"/>
        <v>25</v>
      </c>
      <c r="Z29">
        <v>3</v>
      </c>
    </row>
    <row r="30" ht="17.25" customHeight="1" spans="2:26">
      <c r="B30" s="3" t="s">
        <v>1624</v>
      </c>
      <c r="C30" s="15">
        <v>1022</v>
      </c>
      <c r="H30" s="3" t="str">
        <f>_xlfn.CONCAT(主线副本!R37,主线副本!S37)</f>
        <v>星盘中级道具辅1</v>
      </c>
      <c r="I30" s="3"/>
      <c r="J30" s="3">
        <f t="shared" si="0"/>
        <v>1027</v>
      </c>
      <c r="K30" s="3">
        <f>主线副本!U37</f>
        <v>2</v>
      </c>
      <c r="L30" s="3">
        <f>主线副本!V37</f>
        <v>2</v>
      </c>
      <c r="O30" s="3" t="str">
        <f t="array" ref="O30">INDEX(CHOOSE(MOD(ROW()-1,3)+1,主线副本!$AC:$AC,主线副本!$AE:$AE,主线副本!$AG:$AG),INT((ROW()-1)/3)+1)</f>
        <v>角色升阶材料低攻</v>
      </c>
      <c r="P30">
        <f t="shared" si="2"/>
        <v>1001</v>
      </c>
      <c r="Q30" s="3">
        <f t="array" ref="Q30">INDEX(CHOOSE(MOD(ROW()-1,3)+1,主线副本!$AD:$AD,主线副本!$AF:$AF,主线副本!$AH:$AH),INT((ROW()-1)/3)+1)</f>
        <v>6</v>
      </c>
      <c r="T30" t="str">
        <v>金币</v>
      </c>
      <c r="U30">
        <f t="shared" si="1"/>
        <v>1</v>
      </c>
      <c r="V30">
        <v>10000</v>
      </c>
      <c r="X30" t="str">
        <v>3级绿宝石</v>
      </c>
      <c r="Y30">
        <f t="shared" si="3"/>
        <v>81403</v>
      </c>
      <c r="Z30">
        <v>1</v>
      </c>
    </row>
    <row r="31" ht="17.25" customHeight="1" spans="2:26">
      <c r="B31" s="3" t="s">
        <v>1625</v>
      </c>
      <c r="C31" s="15">
        <v>1020</v>
      </c>
      <c r="H31" s="3" t="str">
        <f>_xlfn.CONCAT(主线副本!R38,主线副本!S38)</f>
        <v>星盘中级道具辅2</v>
      </c>
      <c r="I31" s="3"/>
      <c r="J31" s="3">
        <f t="shared" si="0"/>
        <v>1030</v>
      </c>
      <c r="K31" s="3">
        <f>主线副本!U38</f>
        <v>2</v>
      </c>
      <c r="L31" s="3">
        <f>主线副本!V38</f>
        <v>2</v>
      </c>
      <c r="O31" s="3" t="str">
        <f t="array" ref="O31">INDEX(CHOOSE(MOD(ROW()-1,3)+1,主线副本!$AC:$AC,主线副本!$AE:$AE,主线副本!$AG:$AG),INT((ROW()-1)/3)+1)</f>
        <v>钻石</v>
      </c>
      <c r="P31">
        <f t="shared" si="2"/>
        <v>2</v>
      </c>
      <c r="Q31" s="3">
        <f t="array" ref="Q31">INDEX(CHOOSE(MOD(ROW()-1,3)+1,主线副本!$AD:$AD,主线副本!$AF:$AF,主线副本!$AH:$AH),INT((ROW()-1)/3)+1)</f>
        <v>50</v>
      </c>
      <c r="T31" t="str">
        <v>角色经验中</v>
      </c>
      <c r="U31">
        <f t="shared" si="1"/>
        <v>101</v>
      </c>
      <c r="V31">
        <v>6</v>
      </c>
      <c r="X31" t="str">
        <v>角色抽卡券限时</v>
      </c>
      <c r="Y31">
        <f t="shared" si="3"/>
        <v>111</v>
      </c>
      <c r="Z31">
        <v>3</v>
      </c>
    </row>
    <row r="32" ht="17.25" customHeight="1" spans="2:26">
      <c r="B32" s="3" t="s">
        <v>1626</v>
      </c>
      <c r="C32" s="15">
        <v>1023</v>
      </c>
      <c r="H32" s="3" t="str">
        <f>_xlfn.CONCAT(主线副本!R39,主线副本!S39)</f>
        <v>星盘中级道具攻1</v>
      </c>
      <c r="I32" s="3"/>
      <c r="J32" s="3">
        <f t="shared" si="0"/>
        <v>1025</v>
      </c>
      <c r="K32" s="3">
        <f>主线副本!U39</f>
        <v>2</v>
      </c>
      <c r="L32" s="3">
        <f>主线副本!V39</f>
        <v>3</v>
      </c>
      <c r="O32" s="3" t="str">
        <f t="array" ref="O32">INDEX(CHOOSE(MOD(ROW()-1,3)+1,主线副本!$AC:$AC,主线副本!$AE:$AE,主线副本!$AG:$AG),INT((ROW()-1)/3)+1)</f>
        <v>角色经验中</v>
      </c>
      <c r="P32">
        <f t="shared" si="2"/>
        <v>101</v>
      </c>
      <c r="Q32" s="3">
        <f t="array" ref="Q32">INDEX(CHOOSE(MOD(ROW()-1,3)+1,主线副本!$AD:$AD,主线副本!$AF:$AF,主线副本!$AH:$AH),INT((ROW()-1)/3)+1)</f>
        <v>8</v>
      </c>
      <c r="T32" t="str">
        <v>金币</v>
      </c>
      <c r="U32">
        <f t="shared" si="1"/>
        <v>1</v>
      </c>
      <c r="V32">
        <v>10000</v>
      </c>
      <c r="X32" t="str">
        <v>映射之匙</v>
      </c>
      <c r="Y32">
        <f t="shared" si="3"/>
        <v>25</v>
      </c>
      <c r="Z32">
        <v>5</v>
      </c>
    </row>
    <row r="33" ht="17.25" customHeight="1" spans="2:26">
      <c r="B33" s="3" t="s">
        <v>1627</v>
      </c>
      <c r="C33" s="15">
        <v>1021</v>
      </c>
      <c r="H33" s="3" t="str">
        <f>_xlfn.CONCAT(主线副本!R40,主线副本!S40)</f>
        <v>星盘中级道具攻2</v>
      </c>
      <c r="I33" s="3"/>
      <c r="J33" s="3">
        <f t="shared" si="0"/>
        <v>1028</v>
      </c>
      <c r="K33" s="3">
        <f>主线副本!U40</f>
        <v>2</v>
      </c>
      <c r="L33" s="3">
        <f>主线副本!V40</f>
        <v>3</v>
      </c>
      <c r="O33" s="3" t="str">
        <f t="array" ref="O33">INDEX(CHOOSE(MOD(ROW()-1,3)+1,主线副本!$AC:$AC,主线副本!$AE:$AE,主线副本!$AG:$AG),INT((ROW()-1)/3)+1)</f>
        <v>角色升阶材料低防</v>
      </c>
      <c r="P33">
        <f t="shared" si="2"/>
        <v>1002</v>
      </c>
      <c r="Q33" s="3">
        <f t="array" ref="Q33">INDEX(CHOOSE(MOD(ROW()-1,3)+1,主线副本!$AD:$AD,主线副本!$AF:$AF,主线副本!$AH:$AH),INT((ROW()-1)/3)+1)</f>
        <v>6</v>
      </c>
      <c r="T33" t="str">
        <v>角色经验中</v>
      </c>
      <c r="U33">
        <f t="shared" si="1"/>
        <v>101</v>
      </c>
      <c r="V33">
        <v>6</v>
      </c>
      <c r="X33" t="str">
        <v>随机金色装备</v>
      </c>
      <c r="Y33">
        <f t="shared" si="3"/>
        <v>2503</v>
      </c>
      <c r="Z33">
        <v>1</v>
      </c>
    </row>
    <row r="34" ht="17.25" customHeight="1" spans="2:26">
      <c r="B34" s="3" t="s">
        <v>1628</v>
      </c>
      <c r="C34" s="15">
        <v>1024</v>
      </c>
      <c r="H34" s="3" t="str">
        <f>_xlfn.CONCAT(主线副本!R41,主线副本!S41)</f>
        <v>星盘中级道具防1</v>
      </c>
      <c r="I34" s="3"/>
      <c r="J34" s="3">
        <f t="shared" si="0"/>
        <v>1026</v>
      </c>
      <c r="K34" s="3">
        <f>主线副本!U41</f>
        <v>2</v>
      </c>
      <c r="L34" s="3">
        <f>主线副本!V41</f>
        <v>3</v>
      </c>
      <c r="O34" s="3" t="str">
        <f t="array" ref="O34">INDEX(CHOOSE(MOD(ROW()-1,3)+1,主线副本!$AC:$AC,主线副本!$AE:$AE,主线副本!$AG:$AG),INT((ROW()-1)/3)+1)</f>
        <v>钻石</v>
      </c>
      <c r="P34">
        <f t="shared" si="2"/>
        <v>2</v>
      </c>
      <c r="Q34" s="3">
        <f t="array" ref="Q34">INDEX(CHOOSE(MOD(ROW()-1,3)+1,主线副本!$AD:$AD,主线副本!$AF:$AF,主线副本!$AH:$AH),INT((ROW()-1)/3)+1)</f>
        <v>150</v>
      </c>
      <c r="T34" t="str">
        <v>金币</v>
      </c>
      <c r="U34">
        <f t="shared" si="1"/>
        <v>1</v>
      </c>
      <c r="V34">
        <v>10000</v>
      </c>
      <c r="X34" t="str">
        <v>角色抽卡券限时</v>
      </c>
      <c r="Y34">
        <f t="shared" si="3"/>
        <v>111</v>
      </c>
      <c r="Z34">
        <v>1</v>
      </c>
    </row>
    <row r="35" ht="17.25" customHeight="1" spans="2:26">
      <c r="B35" s="3" t="s">
        <v>1629</v>
      </c>
      <c r="C35" s="15">
        <v>1025</v>
      </c>
      <c r="H35" s="3" t="str">
        <f>_xlfn.CONCAT(主线副本!R42,主线副本!S42)</f>
        <v>星盘中级道具防2</v>
      </c>
      <c r="I35" s="3"/>
      <c r="J35" s="3">
        <f t="shared" si="0"/>
        <v>1029</v>
      </c>
      <c r="K35" s="3">
        <f>主线副本!U42</f>
        <v>2</v>
      </c>
      <c r="L35" s="3">
        <f>主线副本!V42</f>
        <v>3</v>
      </c>
      <c r="O35" s="3" t="str">
        <f t="array" ref="O35">INDEX(CHOOSE(MOD(ROW()-1,3)+1,主线副本!$AC:$AC,主线副本!$AE:$AE,主线副本!$AG:$AG),INT((ROW()-1)/3)+1)</f>
        <v>角色经验中</v>
      </c>
      <c r="P35">
        <f t="shared" si="2"/>
        <v>101</v>
      </c>
      <c r="Q35" s="3">
        <f t="array" ref="Q35">INDEX(CHOOSE(MOD(ROW()-1,3)+1,主线副本!$AD:$AD,主线副本!$AF:$AF,主线副本!$AH:$AH),INT((ROW()-1)/3)+1)</f>
        <v>8</v>
      </c>
      <c r="T35" t="str">
        <v>角色经验中</v>
      </c>
      <c r="U35">
        <f t="shared" si="1"/>
        <v>101</v>
      </c>
      <c r="V35">
        <v>6</v>
      </c>
      <c r="X35" t="str">
        <v>映射之匙</v>
      </c>
      <c r="Y35">
        <f t="shared" si="3"/>
        <v>25</v>
      </c>
      <c r="Z35">
        <v>2</v>
      </c>
    </row>
    <row r="36" ht="17.25" customHeight="1" spans="2:26">
      <c r="B36" s="3" t="s">
        <v>1630</v>
      </c>
      <c r="C36" s="15">
        <v>1028</v>
      </c>
      <c r="H36" s="3" t="str">
        <f>_xlfn.CONCAT(主线副本!R43,主线副本!S43)</f>
        <v>星盘中级道具辅1</v>
      </c>
      <c r="I36" s="3"/>
      <c r="J36" s="3">
        <f t="shared" si="0"/>
        <v>1027</v>
      </c>
      <c r="K36" s="3">
        <f>主线副本!U43</f>
        <v>2</v>
      </c>
      <c r="L36" s="3">
        <f>主线副本!V43</f>
        <v>3</v>
      </c>
      <c r="O36" s="3" t="str">
        <f t="array" ref="O36">INDEX(CHOOSE(MOD(ROW()-1,3)+1,主线副本!$AC:$AC,主线副本!$AE:$AE,主线副本!$AG:$AG),INT((ROW()-1)/3)+1)</f>
        <v>角色抽卡券限时</v>
      </c>
      <c r="P36">
        <f t="shared" si="2"/>
        <v>111</v>
      </c>
      <c r="Q36" s="3">
        <f t="array" ref="Q36">INDEX(CHOOSE(MOD(ROW()-1,3)+1,主线副本!$AD:$AD,主线副本!$AF:$AF,主线副本!$AH:$AH),INT((ROW()-1)/3)+1)</f>
        <v>3</v>
      </c>
      <c r="T36" t="str">
        <v>金币</v>
      </c>
      <c r="U36">
        <f t="shared" si="1"/>
        <v>1</v>
      </c>
      <c r="V36">
        <v>10000</v>
      </c>
      <c r="X36" t="str">
        <v>3级紫宝石</v>
      </c>
      <c r="Y36">
        <f t="shared" si="3"/>
        <v>81503</v>
      </c>
      <c r="Z36">
        <v>1</v>
      </c>
    </row>
    <row r="37" ht="17.25" customHeight="1" spans="2:26">
      <c r="B37" s="3" t="s">
        <v>1631</v>
      </c>
      <c r="C37" s="15">
        <v>1026</v>
      </c>
      <c r="H37" s="3" t="str">
        <f>_xlfn.CONCAT(主线副本!R44,主线副本!S44)</f>
        <v>星盘中级道具辅2</v>
      </c>
      <c r="I37" s="3"/>
      <c r="J37" s="3">
        <f t="shared" si="0"/>
        <v>1030</v>
      </c>
      <c r="K37" s="3">
        <f>主线副本!U44</f>
        <v>2</v>
      </c>
      <c r="L37" s="3">
        <f>主线副本!V44</f>
        <v>3</v>
      </c>
      <c r="O37" s="3" t="str">
        <f t="array" ref="O37">INDEX(CHOOSE(MOD(ROW()-1,3)+1,主线副本!$AC:$AC,主线副本!$AE:$AE,主线副本!$AG:$AG),INT((ROW()-1)/3)+1)</f>
        <v>钻石</v>
      </c>
      <c r="P37">
        <f t="shared" si="2"/>
        <v>2</v>
      </c>
      <c r="Q37" s="3">
        <f t="array" ref="Q37">INDEX(CHOOSE(MOD(ROW()-1,3)+1,主线副本!$AD:$AD,主线副本!$AF:$AF,主线副本!$AH:$AH),INT((ROW()-1)/3)+1)</f>
        <v>50</v>
      </c>
      <c r="T37" t="str">
        <v>角色经验中</v>
      </c>
      <c r="U37">
        <f t="shared" si="1"/>
        <v>101</v>
      </c>
      <c r="V37">
        <v>6</v>
      </c>
      <c r="X37" t="str">
        <v>角色抽卡券限时</v>
      </c>
      <c r="Y37">
        <f t="shared" si="3"/>
        <v>111</v>
      </c>
      <c r="Z37">
        <v>1</v>
      </c>
    </row>
    <row r="38" ht="17.25" customHeight="1" spans="2:26">
      <c r="B38" s="3" t="s">
        <v>1632</v>
      </c>
      <c r="C38" s="15">
        <v>1029</v>
      </c>
      <c r="H38" s="3" t="str">
        <f>_xlfn.CONCAT(主线副本!R45,主线副本!S45)</f>
        <v>角色升阶材料中攻</v>
      </c>
      <c r="I38" s="3"/>
      <c r="J38" s="3">
        <f t="shared" si="0"/>
        <v>1004</v>
      </c>
      <c r="K38" s="3">
        <f>主线副本!U45</f>
        <v>2</v>
      </c>
      <c r="L38" s="3">
        <f>主线副本!V45</f>
        <v>2</v>
      </c>
      <c r="O38" s="3" t="str">
        <f t="array" ref="O38">INDEX(CHOOSE(MOD(ROW()-1,3)+1,主线副本!$AC:$AC,主线副本!$AE:$AE,主线副本!$AG:$AG),INT((ROW()-1)/3)+1)</f>
        <v>角色经验高</v>
      </c>
      <c r="P38">
        <f t="shared" si="2"/>
        <v>102</v>
      </c>
      <c r="Q38" s="3">
        <f t="array" ref="Q38">INDEX(CHOOSE(MOD(ROW()-1,3)+1,主线副本!$AD:$AD,主线副本!$AF:$AF,主线副本!$AH:$AH),INT((ROW()-1)/3)+1)</f>
        <v>8</v>
      </c>
      <c r="T38" t="str">
        <v>金币</v>
      </c>
      <c r="U38">
        <f t="shared" si="1"/>
        <v>1</v>
      </c>
      <c r="V38">
        <v>20000</v>
      </c>
      <c r="X38" t="str">
        <v>映射之匙</v>
      </c>
      <c r="Y38">
        <f t="shared" si="3"/>
        <v>25</v>
      </c>
      <c r="Z38">
        <v>3</v>
      </c>
    </row>
    <row r="39" ht="17.25" customHeight="1" spans="2:26">
      <c r="B39" s="3" t="s">
        <v>1633</v>
      </c>
      <c r="C39" s="15">
        <v>1027</v>
      </c>
      <c r="H39" s="3" t="str">
        <f>_xlfn.CONCAT(主线副本!R46,主线副本!S46)</f>
        <v>角色升阶材料中防</v>
      </c>
      <c r="I39" s="3"/>
      <c r="J39" s="3">
        <f t="shared" si="0"/>
        <v>1005</v>
      </c>
      <c r="K39" s="3">
        <f>主线副本!U46</f>
        <v>2</v>
      </c>
      <c r="L39" s="3">
        <f>主线副本!V46</f>
        <v>2</v>
      </c>
      <c r="O39" s="3" t="str">
        <f t="array" ref="O39">INDEX(CHOOSE(MOD(ROW()-1,3)+1,主线副本!$AC:$AC,主线副本!$AE:$AE,主线副本!$AG:$AG),INT((ROW()-1)/3)+1)</f>
        <v>角色升阶材料低辅</v>
      </c>
      <c r="P39">
        <f t="shared" si="2"/>
        <v>1003</v>
      </c>
      <c r="Q39" s="3">
        <f t="array" ref="Q39">INDEX(CHOOSE(MOD(ROW()-1,3)+1,主线副本!$AD:$AD,主线副本!$AF:$AF,主线副本!$AH:$AH),INT((ROW()-1)/3)+1)</f>
        <v>6</v>
      </c>
      <c r="T39" t="str">
        <v>角色经验中</v>
      </c>
      <c r="U39">
        <f t="shared" si="1"/>
        <v>101</v>
      </c>
      <c r="V39">
        <v>10</v>
      </c>
      <c r="X39" t="str">
        <v>3级橙宝石</v>
      </c>
      <c r="Y39">
        <f t="shared" si="3"/>
        <v>81603</v>
      </c>
      <c r="Z39">
        <v>1</v>
      </c>
    </row>
    <row r="40" ht="17.25" customHeight="1" spans="2:26">
      <c r="B40" s="3" t="s">
        <v>1634</v>
      </c>
      <c r="C40" s="15">
        <v>1030</v>
      </c>
      <c r="H40" s="3" t="str">
        <f>_xlfn.CONCAT(主线副本!R47,主线副本!S47)</f>
        <v>角色升阶材料中辅</v>
      </c>
      <c r="I40" s="3"/>
      <c r="J40" s="3">
        <f t="shared" si="0"/>
        <v>1006</v>
      </c>
      <c r="K40" s="3">
        <f>主线副本!U47</f>
        <v>2</v>
      </c>
      <c r="L40" s="3">
        <f>主线副本!V47</f>
        <v>2</v>
      </c>
      <c r="O40" s="3" t="str">
        <f t="array" ref="O40">INDEX(CHOOSE(MOD(ROW()-1,3)+1,主线副本!$AC:$AC,主线副本!$AE:$AE,主线副本!$AG:$AG),INT((ROW()-1)/3)+1)</f>
        <v>钻石</v>
      </c>
      <c r="P40">
        <f t="shared" si="2"/>
        <v>2</v>
      </c>
      <c r="Q40" s="3">
        <f t="array" ref="Q40">INDEX(CHOOSE(MOD(ROW()-1,3)+1,主线副本!$AD:$AD,主线副本!$AF:$AF,主线副本!$AH:$AH),INT((ROW()-1)/3)+1)</f>
        <v>50</v>
      </c>
      <c r="T40" t="str">
        <v>金币</v>
      </c>
      <c r="U40">
        <f t="shared" si="1"/>
        <v>1</v>
      </c>
      <c r="V40">
        <v>15000</v>
      </c>
      <c r="X40" t="str">
        <v>角色抽卡券限时</v>
      </c>
      <c r="Y40">
        <f t="shared" si="3"/>
        <v>111</v>
      </c>
      <c r="Z40">
        <v>3</v>
      </c>
    </row>
    <row r="41" ht="16.5" customHeight="1" spans="2:26">
      <c r="B41" s="3" t="s">
        <v>1635</v>
      </c>
      <c r="C41" s="3">
        <f t="shared" ref="C41:C52" si="4">C35+6</f>
        <v>1031</v>
      </c>
      <c r="H41" s="3" t="str">
        <f>_xlfn.CONCAT(主线副本!R48,主线副本!S48)</f>
        <v>角色升阶材料中攻</v>
      </c>
      <c r="I41" s="3"/>
      <c r="J41" s="3">
        <f t="shared" si="0"/>
        <v>1004</v>
      </c>
      <c r="K41" s="3">
        <f>主线副本!U48</f>
        <v>2</v>
      </c>
      <c r="L41" s="3">
        <f>主线副本!V48</f>
        <v>3</v>
      </c>
      <c r="O41" s="3" t="str">
        <f t="array" ref="O41">INDEX(CHOOSE(MOD(ROW()-1,3)+1,主线副本!$AC:$AC,主线副本!$AE:$AE,主线副本!$AG:$AG),INT((ROW()-1)/3)+1)</f>
        <v>角色经验高</v>
      </c>
      <c r="P41">
        <f t="shared" si="2"/>
        <v>102</v>
      </c>
      <c r="Q41" s="3">
        <f t="array" ref="Q41">INDEX(CHOOSE(MOD(ROW()-1,3)+1,主线副本!$AD:$AD,主线副本!$AF:$AF,主线副本!$AH:$AH),INT((ROW()-1)/3)+1)</f>
        <v>8</v>
      </c>
      <c r="T41" t="str">
        <v>角色经验中</v>
      </c>
      <c r="U41">
        <f t="shared" si="1"/>
        <v>101</v>
      </c>
      <c r="V41">
        <v>8</v>
      </c>
      <c r="X41" t="str">
        <v>映射之匙</v>
      </c>
      <c r="Y41">
        <f t="shared" si="3"/>
        <v>25</v>
      </c>
      <c r="Z41">
        <v>5</v>
      </c>
    </row>
    <row r="42" ht="16.5" customHeight="1" spans="2:26">
      <c r="B42" s="3" t="s">
        <v>1636</v>
      </c>
      <c r="C42" s="3">
        <f t="shared" si="4"/>
        <v>1034</v>
      </c>
      <c r="H42" s="3" t="str">
        <f>_xlfn.CONCAT(主线副本!R49,主线副本!S49)</f>
        <v>角色升阶材料中防</v>
      </c>
      <c r="I42" s="3"/>
      <c r="J42" s="3">
        <f t="shared" si="0"/>
        <v>1005</v>
      </c>
      <c r="K42" s="3">
        <f>主线副本!U49</f>
        <v>2</v>
      </c>
      <c r="L42" s="3">
        <f>主线副本!V49</f>
        <v>3</v>
      </c>
      <c r="O42" s="3" t="str">
        <f t="array" ref="O42">INDEX(CHOOSE(MOD(ROW()-1,3)+1,主线副本!$AC:$AC,主线副本!$AE:$AE,主线副本!$AG:$AG),INT((ROW()-1)/3)+1)</f>
        <v>角色升阶材料中攻</v>
      </c>
      <c r="P42">
        <f t="shared" si="2"/>
        <v>1004</v>
      </c>
      <c r="Q42" s="3">
        <f t="array" ref="Q42">INDEX(CHOOSE(MOD(ROW()-1,3)+1,主线副本!$AD:$AD,主线副本!$AF:$AF,主线副本!$AH:$AH),INT((ROW()-1)/3)+1)</f>
        <v>6</v>
      </c>
      <c r="T42" t="str">
        <v>星盘低级道具攻1</v>
      </c>
      <c r="U42">
        <f t="shared" si="1"/>
        <v>1019</v>
      </c>
      <c r="V42">
        <v>6</v>
      </c>
      <c r="X42" t="str">
        <v>随机金色装备</v>
      </c>
      <c r="Y42">
        <f t="shared" si="3"/>
        <v>2503</v>
      </c>
      <c r="Z42">
        <v>1</v>
      </c>
    </row>
    <row r="43" ht="16.5" customHeight="1" spans="2:26">
      <c r="B43" s="3" t="s">
        <v>1637</v>
      </c>
      <c r="C43" s="3">
        <f t="shared" si="4"/>
        <v>1032</v>
      </c>
      <c r="H43" s="3" t="str">
        <f>_xlfn.CONCAT(主线副本!R50,主线副本!S50)</f>
        <v>角色升阶材料中辅</v>
      </c>
      <c r="I43" s="3"/>
      <c r="J43" s="3">
        <f t="shared" si="0"/>
        <v>1006</v>
      </c>
      <c r="K43" s="3">
        <f>主线副本!U50</f>
        <v>2</v>
      </c>
      <c r="L43" s="3">
        <f>主线副本!V50</f>
        <v>3</v>
      </c>
      <c r="O43" s="3" t="str">
        <f t="array" ref="O43">INDEX(CHOOSE(MOD(ROW()-1,3)+1,主线副本!$AC:$AC,主线副本!$AE:$AE,主线副本!$AG:$AG),INT((ROW()-1)/3)+1)</f>
        <v>钻石</v>
      </c>
      <c r="P43">
        <f t="shared" si="2"/>
        <v>2</v>
      </c>
      <c r="Q43" s="3">
        <f t="array" ref="Q43">INDEX(CHOOSE(MOD(ROW()-1,3)+1,主线副本!$AD:$AD,主线副本!$AF:$AF,主线副本!$AH:$AH),INT((ROW()-1)/3)+1)</f>
        <v>50</v>
      </c>
      <c r="T43" t="str">
        <v>金币</v>
      </c>
      <c r="U43">
        <f t="shared" si="1"/>
        <v>1</v>
      </c>
      <c r="V43">
        <v>15000</v>
      </c>
    </row>
    <row r="44" ht="16.5" customHeight="1" spans="2:26">
      <c r="B44" s="3" t="s">
        <v>1638</v>
      </c>
      <c r="C44" s="3">
        <f t="shared" si="4"/>
        <v>1035</v>
      </c>
      <c r="H44" s="3" t="str">
        <f>_xlfn.CONCAT(主线副本!R51,主线副本!S51)</f>
        <v>星盘高级道具攻1</v>
      </c>
      <c r="I44" s="3"/>
      <c r="J44" s="3">
        <f t="shared" si="0"/>
        <v>1031</v>
      </c>
      <c r="K44" s="3">
        <f>主线副本!U51</f>
        <v>2</v>
      </c>
      <c r="L44" s="3">
        <f>主线副本!V51</f>
        <v>2</v>
      </c>
      <c r="O44" s="3" t="str">
        <f t="array" ref="O44">INDEX(CHOOSE(MOD(ROW()-1,3)+1,主线副本!$AC:$AC,主线副本!$AE:$AE,主线副本!$AG:$AG),INT((ROW()-1)/3)+1)</f>
        <v>角色经验高</v>
      </c>
      <c r="P44">
        <f t="shared" si="2"/>
        <v>102</v>
      </c>
      <c r="Q44" s="3">
        <f t="array" ref="Q44">INDEX(CHOOSE(MOD(ROW()-1,3)+1,主线副本!$AD:$AD,主线副本!$AF:$AF,主线副本!$AH:$AH),INT((ROW()-1)/3)+1)</f>
        <v>8</v>
      </c>
      <c r="T44" t="str">
        <v>角色经验中</v>
      </c>
      <c r="U44">
        <f t="shared" si="1"/>
        <v>101</v>
      </c>
      <c r="V44">
        <v>8</v>
      </c>
    </row>
    <row r="45" ht="16.5" customHeight="1" spans="2:26">
      <c r="B45" s="3" t="s">
        <v>1639</v>
      </c>
      <c r="C45" s="3">
        <f t="shared" si="4"/>
        <v>1033</v>
      </c>
      <c r="H45" s="3" t="str">
        <f>_xlfn.CONCAT(主线副本!R52,主线副本!S52)</f>
        <v>星盘高级道具攻2</v>
      </c>
      <c r="I45" s="3"/>
      <c r="J45" s="3">
        <f t="shared" si="0"/>
        <v>1034</v>
      </c>
      <c r="K45" s="3">
        <f>主线副本!U52</f>
        <v>2</v>
      </c>
      <c r="L45" s="3">
        <f>主线副本!V52</f>
        <v>2</v>
      </c>
      <c r="O45" s="3" t="str">
        <f t="array" ref="O45">INDEX(CHOOSE(MOD(ROW()-1,3)+1,主线副本!$AC:$AC,主线副本!$AE:$AE,主线副本!$AG:$AG),INT((ROW()-1)/3)+1)</f>
        <v>角色升阶材料中防</v>
      </c>
      <c r="P45">
        <f t="shared" si="2"/>
        <v>1005</v>
      </c>
      <c r="Q45" s="3">
        <f t="array" ref="Q45">INDEX(CHOOSE(MOD(ROW()-1,3)+1,主线副本!$AD:$AD,主线副本!$AF:$AF,主线副本!$AH:$AH),INT((ROW()-1)/3)+1)</f>
        <v>6</v>
      </c>
      <c r="T45" t="str">
        <v>星盘低级道具攻2</v>
      </c>
      <c r="U45">
        <f t="shared" si="1"/>
        <v>1022</v>
      </c>
      <c r="V45">
        <v>6</v>
      </c>
    </row>
    <row r="46" ht="16.5" customHeight="1" spans="2:26">
      <c r="B46" s="3" t="s">
        <v>1640</v>
      </c>
      <c r="C46" s="3">
        <f t="shared" si="4"/>
        <v>1036</v>
      </c>
      <c r="H46" s="3" t="str">
        <f>_xlfn.CONCAT(主线副本!R53,主线副本!S53)</f>
        <v>星盘高级道具防1</v>
      </c>
      <c r="I46" s="3"/>
      <c r="J46" s="3">
        <f t="shared" si="0"/>
        <v>1032</v>
      </c>
      <c r="K46" s="3">
        <f>主线副本!U53</f>
        <v>2</v>
      </c>
      <c r="L46" s="3">
        <f>主线副本!V53</f>
        <v>2</v>
      </c>
      <c r="O46" s="3" t="str">
        <f t="array" ref="O46">INDEX(CHOOSE(MOD(ROW()-1,3)+1,主线副本!$AC:$AC,主线副本!$AE:$AE,主线副本!$AG:$AG),INT((ROW()-1)/3)+1)</f>
        <v>钻石</v>
      </c>
      <c r="P46">
        <f t="shared" si="2"/>
        <v>2</v>
      </c>
      <c r="Q46" s="3">
        <f t="array" ref="Q46">INDEX(CHOOSE(MOD(ROW()-1,3)+1,主线副本!$AD:$AD,主线副本!$AF:$AF,主线副本!$AH:$AH),INT((ROW()-1)/3)+1)</f>
        <v>50</v>
      </c>
      <c r="T46" t="str">
        <v>金币</v>
      </c>
      <c r="U46">
        <f t="shared" si="1"/>
        <v>1</v>
      </c>
      <c r="V46">
        <v>15000</v>
      </c>
    </row>
    <row r="47" ht="16.5" customHeight="1" spans="2:26">
      <c r="B47" s="3" t="s">
        <v>1641</v>
      </c>
      <c r="C47" s="3">
        <f t="shared" si="4"/>
        <v>1037</v>
      </c>
      <c r="H47" s="3" t="str">
        <f>_xlfn.CONCAT(主线副本!R54,主线副本!S54)</f>
        <v>星盘高级道具防2</v>
      </c>
      <c r="I47" s="3"/>
      <c r="J47" s="3">
        <f t="shared" si="0"/>
        <v>1035</v>
      </c>
      <c r="K47" s="3">
        <f>主线副本!U54</f>
        <v>2</v>
      </c>
      <c r="L47" s="3">
        <f>主线副本!V54</f>
        <v>2</v>
      </c>
      <c r="O47" s="3" t="str">
        <f t="array" ref="O47">INDEX(CHOOSE(MOD(ROW()-1,3)+1,主线副本!$AC:$AC,主线副本!$AE:$AE,主线副本!$AG:$AG),INT((ROW()-1)/3)+1)</f>
        <v>角色经验高</v>
      </c>
      <c r="P47">
        <f t="shared" si="2"/>
        <v>102</v>
      </c>
      <c r="Q47" s="3">
        <f t="array" ref="Q47">INDEX(CHOOSE(MOD(ROW()-1,3)+1,主线副本!$AD:$AD,主线副本!$AF:$AF,主线副本!$AH:$AH),INT((ROW()-1)/3)+1)</f>
        <v>8</v>
      </c>
      <c r="T47" t="str">
        <v>角色经验中</v>
      </c>
      <c r="U47">
        <f t="shared" si="1"/>
        <v>101</v>
      </c>
      <c r="V47">
        <v>8</v>
      </c>
    </row>
    <row r="48" ht="16.5" customHeight="1" spans="2:26">
      <c r="B48" s="3" t="s">
        <v>1642</v>
      </c>
      <c r="C48" s="3">
        <f t="shared" si="4"/>
        <v>1040</v>
      </c>
      <c r="H48" s="3" t="str">
        <f>_xlfn.CONCAT(主线副本!R55,主线副本!S55)</f>
        <v>星盘高级道具辅1</v>
      </c>
      <c r="I48" s="3"/>
      <c r="J48" s="3">
        <f t="shared" si="0"/>
        <v>1033</v>
      </c>
      <c r="K48" s="3">
        <f>主线副本!U55</f>
        <v>2</v>
      </c>
      <c r="L48" s="3">
        <f>主线副本!V55</f>
        <v>2</v>
      </c>
      <c r="O48" s="3" t="str">
        <f t="array" ref="O48">INDEX(CHOOSE(MOD(ROW()-1,3)+1,主线副本!$AC:$AC,主线副本!$AE:$AE,主线副本!$AG:$AG),INT((ROW()-1)/3)+1)</f>
        <v>角色升阶材料中辅</v>
      </c>
      <c r="P48">
        <f t="shared" si="2"/>
        <v>1006</v>
      </c>
      <c r="Q48" s="3">
        <f t="array" ref="Q48">INDEX(CHOOSE(MOD(ROW()-1,3)+1,主线副本!$AD:$AD,主线副本!$AF:$AF,主线副本!$AH:$AH),INT((ROW()-1)/3)+1)</f>
        <v>6</v>
      </c>
      <c r="T48" t="str">
        <v>星盘低级道具防1</v>
      </c>
      <c r="U48">
        <f t="shared" si="1"/>
        <v>1020</v>
      </c>
      <c r="V48">
        <v>6</v>
      </c>
    </row>
    <row r="49" ht="16.5" customHeight="1" spans="2:22">
      <c r="B49" s="3" t="s">
        <v>1643</v>
      </c>
      <c r="C49" s="3">
        <f t="shared" si="4"/>
        <v>1038</v>
      </c>
      <c r="H49" s="3" t="str">
        <f>_xlfn.CONCAT(主线副本!R56,主线副本!S56)</f>
        <v>星盘高级道具辅2</v>
      </c>
      <c r="I49" s="3"/>
      <c r="J49" s="3">
        <f t="shared" si="0"/>
        <v>1036</v>
      </c>
      <c r="K49" s="3">
        <f>主线副本!U56</f>
        <v>2</v>
      </c>
      <c r="L49" s="3">
        <f>主线副本!V56</f>
        <v>2</v>
      </c>
      <c r="O49" s="3" t="str">
        <f t="array" ref="O49">INDEX(CHOOSE(MOD(ROW()-1,3)+1,主线副本!$AC:$AC,主线副本!$AE:$AE,主线副本!$AG:$AG),INT((ROW()-1)/3)+1)</f>
        <v>钻石</v>
      </c>
      <c r="P49">
        <f t="shared" si="2"/>
        <v>2</v>
      </c>
      <c r="Q49" s="3">
        <f t="array" ref="Q49">INDEX(CHOOSE(MOD(ROW()-1,3)+1,主线副本!$AD:$AD,主线副本!$AF:$AF,主线副本!$AH:$AH),INT((ROW()-1)/3)+1)</f>
        <v>150</v>
      </c>
      <c r="T49" t="str">
        <v>金币</v>
      </c>
      <c r="U49">
        <f t="shared" si="1"/>
        <v>1</v>
      </c>
      <c r="V49">
        <v>15000</v>
      </c>
    </row>
    <row r="50" ht="16.5" customHeight="1" spans="2:22">
      <c r="B50" s="3" t="s">
        <v>1644</v>
      </c>
      <c r="C50" s="3">
        <f t="shared" si="4"/>
        <v>1041</v>
      </c>
      <c r="H50" s="3" t="str">
        <f>_xlfn.CONCAT(主线副本!R60,主线副本!S60)</f>
        <v>星盘顶级道具攻1</v>
      </c>
      <c r="I50" s="3"/>
      <c r="J50" s="3">
        <f t="shared" si="0"/>
        <v>1037</v>
      </c>
      <c r="K50" s="3">
        <f>主线副本!U57</f>
        <v>1</v>
      </c>
      <c r="L50" s="3">
        <f>主线副本!V60</f>
        <v>2</v>
      </c>
      <c r="O50" s="3" t="str">
        <f t="array" ref="O50">INDEX(CHOOSE(MOD(ROW()-1,3)+1,主线副本!$AC:$AC,主线副本!$AE:$AE,主线副本!$AG:$AG),INT((ROW()-1)/3)+1)</f>
        <v>映射装备经验</v>
      </c>
      <c r="P50">
        <f t="shared" si="2"/>
        <v>13</v>
      </c>
      <c r="Q50" s="3">
        <f t="array" ref="Q50">INDEX(CHOOSE(MOD(ROW()-1,3)+1,主线副本!$AD:$AD,主线副本!$AF:$AF,主线副本!$AH:$AH),INT((ROW()-1)/3)+1)</f>
        <v>10000</v>
      </c>
      <c r="T50" t="str">
        <v>角色经验中</v>
      </c>
      <c r="U50">
        <f t="shared" si="1"/>
        <v>101</v>
      </c>
      <c r="V50">
        <v>8</v>
      </c>
    </row>
    <row r="51" ht="16.5" customHeight="1" spans="2:22">
      <c r="B51" s="3" t="s">
        <v>1645</v>
      </c>
      <c r="C51" s="3">
        <f t="shared" si="4"/>
        <v>1039</v>
      </c>
      <c r="H51" s="3" t="str">
        <f>_xlfn.CONCAT(主线副本!R61,主线副本!S61)</f>
        <v>星盘顶级道具攻2</v>
      </c>
      <c r="I51" s="3"/>
      <c r="J51" s="3">
        <f t="shared" si="0"/>
        <v>1040</v>
      </c>
      <c r="K51" s="3">
        <f>主线副本!U58</f>
        <v>1</v>
      </c>
      <c r="L51" s="3">
        <f>主线副本!V61</f>
        <v>2</v>
      </c>
      <c r="O51" s="3" t="str">
        <f t="array" ref="O51">INDEX(CHOOSE(MOD(ROW()-1,3)+1,主线副本!$AC:$AC,主线副本!$AE:$AE,主线副本!$AG:$AG),INT((ROW()-1)/3)+1)</f>
        <v>角色抽卡券限时</v>
      </c>
      <c r="P51">
        <f t="shared" si="2"/>
        <v>111</v>
      </c>
      <c r="Q51" s="3">
        <f t="array" ref="Q51">INDEX(CHOOSE(MOD(ROW()-1,3)+1,主线副本!$AD:$AD,主线副本!$AF:$AF,主线副本!$AH:$AH),INT((ROW()-1)/3)+1)</f>
        <v>3</v>
      </c>
      <c r="T51" t="str">
        <v>星盘低级道具防2</v>
      </c>
      <c r="U51">
        <f t="shared" si="1"/>
        <v>1023</v>
      </c>
      <c r="V51">
        <v>6</v>
      </c>
    </row>
    <row r="52" ht="16.5" customHeight="1" spans="2:22">
      <c r="B52" s="3" t="s">
        <v>1646</v>
      </c>
      <c r="C52" s="3">
        <f t="shared" si="4"/>
        <v>1042</v>
      </c>
      <c r="H52" s="3" t="str">
        <f>_xlfn.CONCAT(主线副本!R62,主线副本!S62)</f>
        <v>星盘顶级道具防1</v>
      </c>
      <c r="I52" s="3"/>
      <c r="J52" s="3">
        <f t="shared" si="0"/>
        <v>1038</v>
      </c>
      <c r="K52" s="3">
        <f>主线副本!U59</f>
        <v>1</v>
      </c>
      <c r="L52" s="3">
        <f>主线副本!V62</f>
        <v>2</v>
      </c>
      <c r="O52" s="3" t="str">
        <f t="array" ref="O52">INDEX(CHOOSE(MOD(ROW()-1,3)+1,主线副本!$AC:$AC,主线副本!$AE:$AE,主线副本!$AG:$AG),INT((ROW()-1)/3)+1)</f>
        <v>钻石</v>
      </c>
      <c r="P52">
        <f t="shared" si="2"/>
        <v>2</v>
      </c>
      <c r="Q52" s="3">
        <f t="array" ref="Q52">INDEX(CHOOSE(MOD(ROW()-1,3)+1,主线副本!$AD:$AD,主线副本!$AF:$AF,主线副本!$AH:$AH),INT((ROW()-1)/3)+1)</f>
        <v>50</v>
      </c>
      <c r="T52" t="str">
        <v>金币</v>
      </c>
      <c r="U52">
        <f t="shared" si="1"/>
        <v>1</v>
      </c>
      <c r="V52">
        <v>15000</v>
      </c>
    </row>
    <row r="53" ht="16.5" customHeight="1" spans="2:22">
      <c r="B53" t="s">
        <v>601</v>
      </c>
      <c r="C53">
        <v>1</v>
      </c>
      <c r="H53" s="3" t="str">
        <f>_xlfn.CONCAT(主线副本!R63,主线副本!S63)</f>
        <v>星盘顶级道具防2</v>
      </c>
      <c r="I53" s="3"/>
      <c r="J53" s="3">
        <f t="shared" si="0"/>
        <v>1041</v>
      </c>
      <c r="K53" s="3">
        <f>主线副本!U60</f>
        <v>1</v>
      </c>
      <c r="L53" s="3">
        <f>主线副本!V63</f>
        <v>2</v>
      </c>
      <c r="O53" s="3" t="str">
        <f t="array" ref="O53">INDEX(CHOOSE(MOD(ROW()-1,3)+1,主线副本!$AC:$AC,主线副本!$AE:$AE,主线副本!$AG:$AG),INT((ROW()-1)/3)+1)</f>
        <v>角色经验高</v>
      </c>
      <c r="P53">
        <f t="shared" si="2"/>
        <v>102</v>
      </c>
      <c r="Q53" s="3">
        <f t="array" ref="Q53">INDEX(CHOOSE(MOD(ROW()-1,3)+1,主线副本!$AD:$AD,主线副本!$AF:$AF,主线副本!$AH:$AH),INT((ROW()-1)/3)+1)</f>
        <v>12</v>
      </c>
      <c r="T53" t="str">
        <v>角色经验中</v>
      </c>
      <c r="U53">
        <f t="shared" si="1"/>
        <v>101</v>
      </c>
      <c r="V53">
        <v>12</v>
      </c>
    </row>
    <row r="54" ht="16.5" customHeight="1" spans="2:22">
      <c r="B54" s="3" t="s">
        <v>7</v>
      </c>
      <c r="C54" s="3">
        <v>107</v>
      </c>
      <c r="H54" s="3" t="str">
        <f>_xlfn.CONCAT(主线副本!R64,主线副本!S64)</f>
        <v>星盘顶级道具辅1</v>
      </c>
      <c r="I54" s="3"/>
      <c r="J54" s="3">
        <f t="shared" si="0"/>
        <v>1039</v>
      </c>
      <c r="K54" s="3">
        <f>主线副本!U61</f>
        <v>1</v>
      </c>
      <c r="L54" s="3">
        <f>主线副本!V64</f>
        <v>2</v>
      </c>
      <c r="O54" s="3" t="str">
        <f t="array" ref="O54">INDEX(CHOOSE(MOD(ROW()-1,3)+1,主线副本!$AC:$AC,主线副本!$AE:$AE,主线副本!$AG:$AG),INT((ROW()-1)/3)+1)</f>
        <v>角色升阶材料中攻</v>
      </c>
      <c r="P54">
        <f t="shared" si="2"/>
        <v>1004</v>
      </c>
      <c r="Q54" s="3">
        <f t="array" ref="Q54">INDEX(CHOOSE(MOD(ROW()-1,3)+1,主线副本!$AD:$AD,主线副本!$AF:$AF,主线副本!$AH:$AH),INT((ROW()-1)/3)+1)</f>
        <v>6</v>
      </c>
      <c r="T54" t="str">
        <v>星盘低级道具辅1</v>
      </c>
      <c r="U54">
        <f t="shared" si="1"/>
        <v>1021</v>
      </c>
      <c r="V54">
        <v>6</v>
      </c>
    </row>
    <row r="55" ht="16.5" customHeight="1" spans="2:22">
      <c r="B55" s="3" t="s">
        <v>8</v>
      </c>
      <c r="C55" s="3">
        <v>111</v>
      </c>
      <c r="H55" s="3" t="str">
        <f>_xlfn.CONCAT(主线副本!R65,主线副本!S65)</f>
        <v>星盘顶级道具辅2</v>
      </c>
      <c r="I55" s="3"/>
      <c r="J55" s="3">
        <f t="shared" si="0"/>
        <v>1042</v>
      </c>
      <c r="K55" s="3">
        <f>主线副本!U62</f>
        <v>1</v>
      </c>
      <c r="L55" s="3">
        <f>主线副本!V65</f>
        <v>2</v>
      </c>
      <c r="O55" s="3" t="str">
        <f t="array" ref="O55">INDEX(CHOOSE(MOD(ROW()-1,3)+1,主线副本!$AC:$AC,主线副本!$AE:$AE,主线副本!$AG:$AG),INT((ROW()-1)/3)+1)</f>
        <v>钻石</v>
      </c>
      <c r="P55">
        <f t="shared" si="2"/>
        <v>2</v>
      </c>
      <c r="Q55" s="3">
        <f t="array" ref="Q55">INDEX(CHOOSE(MOD(ROW()-1,3)+1,主线副本!$AD:$AD,主线副本!$AF:$AF,主线副本!$AH:$AH),INT((ROW()-1)/3)+1)</f>
        <v>50</v>
      </c>
      <c r="T55" t="str">
        <v>金币</v>
      </c>
      <c r="U55">
        <f t="shared" si="1"/>
        <v>1</v>
      </c>
      <c r="V55">
        <v>15000</v>
      </c>
    </row>
    <row r="56" ht="16.5" customHeight="1" spans="2:22">
      <c r="B56" t="s">
        <v>9</v>
      </c>
      <c r="C56">
        <v>112</v>
      </c>
      <c r="H56" s="3" t="str">
        <f>_xlfn.CONCAT(主线副本!R57,主线副本!S57)</f>
        <v>角色升阶材料高攻</v>
      </c>
      <c r="I56" s="3"/>
      <c r="J56" s="3">
        <f t="shared" si="0"/>
        <v>1007</v>
      </c>
      <c r="K56" s="3">
        <f>主线副本!U63</f>
        <v>1</v>
      </c>
      <c r="L56" s="3">
        <f>主线副本!V57</f>
        <v>1</v>
      </c>
      <c r="O56" s="3" t="str">
        <f t="array" ref="O56">INDEX(CHOOSE(MOD(ROW()-1,3)+1,主线副本!$AC:$AC,主线副本!$AE:$AE,主线副本!$AG:$AG),INT((ROW()-1)/3)+1)</f>
        <v>角色经验高</v>
      </c>
      <c r="P56">
        <f t="shared" si="2"/>
        <v>102</v>
      </c>
      <c r="Q56" s="3">
        <f t="array" ref="Q56">INDEX(CHOOSE(MOD(ROW()-1,3)+1,主线副本!$AD:$AD,主线副本!$AF:$AF,主线副本!$AH:$AH),INT((ROW()-1)/3)+1)</f>
        <v>12</v>
      </c>
      <c r="T56" t="str">
        <v>角色经验中</v>
      </c>
      <c r="U56">
        <f t="shared" si="1"/>
        <v>101</v>
      </c>
      <c r="V56">
        <v>8</v>
      </c>
    </row>
    <row r="57" ht="16.5" customHeight="1" spans="2:22">
      <c r="B57" s="3" t="s">
        <v>606</v>
      </c>
      <c r="C57">
        <v>105</v>
      </c>
      <c r="H57" s="3" t="str">
        <f>_xlfn.CONCAT(主线副本!R58,主线副本!S58)</f>
        <v>角色升阶材料高防</v>
      </c>
      <c r="I57" s="3"/>
      <c r="J57" s="3">
        <f t="shared" si="0"/>
        <v>1008</v>
      </c>
      <c r="K57" s="3">
        <f>主线副本!U64</f>
        <v>1</v>
      </c>
      <c r="L57" s="3">
        <f>主线副本!V58</f>
        <v>1</v>
      </c>
      <c r="O57" s="3" t="str">
        <f t="array" ref="O57">INDEX(CHOOSE(MOD(ROW()-1,3)+1,主线副本!$AC:$AC,主线副本!$AE:$AE,主线副本!$AG:$AG),INT((ROW()-1)/3)+1)</f>
        <v>角色升阶材料中防</v>
      </c>
      <c r="P57">
        <f t="shared" si="2"/>
        <v>1005</v>
      </c>
      <c r="Q57" s="3">
        <f t="array" ref="Q57">INDEX(CHOOSE(MOD(ROW()-1,3)+1,主线副本!$AD:$AD,主线副本!$AF:$AF,主线副本!$AH:$AH),INT((ROW()-1)/3)+1)</f>
        <v>6</v>
      </c>
      <c r="T57" t="str">
        <v>星盘低级道具辅2</v>
      </c>
      <c r="U57">
        <f t="shared" si="1"/>
        <v>1024</v>
      </c>
      <c r="V57">
        <v>6</v>
      </c>
    </row>
    <row r="58" ht="16.5" customHeight="1" spans="2:22">
      <c r="B58" s="15" t="s">
        <v>731</v>
      </c>
      <c r="C58">
        <v>25</v>
      </c>
      <c r="H58" s="3" t="str">
        <f>_xlfn.CONCAT(主线副本!R59,主线副本!S59)</f>
        <v>角色升阶材料高辅</v>
      </c>
      <c r="I58" s="3"/>
      <c r="J58" s="3">
        <f t="shared" si="0"/>
        <v>1009</v>
      </c>
      <c r="K58" s="3">
        <f>主线副本!U65</f>
        <v>1</v>
      </c>
      <c r="L58" s="3">
        <f>主线副本!V59</f>
        <v>1</v>
      </c>
      <c r="O58" s="3" t="str">
        <f t="array" ref="O58">INDEX(CHOOSE(MOD(ROW()-1,3)+1,主线副本!$AC:$AC,主线副本!$AE:$AE,主线副本!$AG:$AG),INT((ROW()-1)/3)+1)</f>
        <v>钻石</v>
      </c>
      <c r="P58">
        <f t="shared" si="2"/>
        <v>2</v>
      </c>
      <c r="Q58" s="3">
        <f t="array" ref="Q58">INDEX(CHOOSE(MOD(ROW()-1,3)+1,主线副本!$AD:$AD,主线副本!$AF:$AF,主线副本!$AH:$AH),INT((ROW()-1)/3)+1)</f>
        <v>50</v>
      </c>
      <c r="T58" t="str">
        <v>金币</v>
      </c>
      <c r="U58">
        <f t="shared" si="1"/>
        <v>1</v>
      </c>
      <c r="V58">
        <v>15000</v>
      </c>
    </row>
    <row r="59" ht="16.5" customHeight="1" spans="2:22">
      <c r="B59" s="114" t="s">
        <v>2448</v>
      </c>
      <c r="C59" s="15">
        <v>81103</v>
      </c>
      <c r="O59" s="3" t="str">
        <f t="array" ref="O59">INDEX(CHOOSE(MOD(ROW()-1,3)+1,主线副本!$AC:$AC,主线副本!$AE:$AE,主线副本!$AG:$AG),INT((ROW()-1)/3)+1)</f>
        <v>角色经验高</v>
      </c>
      <c r="P59">
        <f t="shared" si="2"/>
        <v>102</v>
      </c>
      <c r="Q59" s="3">
        <f t="array" ref="Q59">INDEX(CHOOSE(MOD(ROW()-1,3)+1,主线副本!$AD:$AD,主线副本!$AF:$AF,主线副本!$AH:$AH),INT((ROW()-1)/3)+1)</f>
        <v>12</v>
      </c>
      <c r="T59" t="str">
        <v>角色经验中</v>
      </c>
      <c r="U59">
        <f t="shared" si="1"/>
        <v>101</v>
      </c>
      <c r="V59">
        <v>8</v>
      </c>
    </row>
    <row r="60" ht="16.5" customHeight="1" spans="2:22">
      <c r="B60" s="114" t="s">
        <v>2449</v>
      </c>
      <c r="C60" s="15">
        <v>81203</v>
      </c>
      <c r="O60" s="3" t="str">
        <f t="array" ref="O60">INDEX(CHOOSE(MOD(ROW()-1,3)+1,主线副本!$AC:$AC,主线副本!$AE:$AE,主线副本!$AG:$AG),INT((ROW()-1)/3)+1)</f>
        <v>角色升阶材料中辅</v>
      </c>
      <c r="P60">
        <f t="shared" si="2"/>
        <v>1006</v>
      </c>
      <c r="Q60" s="3">
        <f t="array" ref="Q60">INDEX(CHOOSE(MOD(ROW()-1,3)+1,主线副本!$AD:$AD,主线副本!$AF:$AF,主线副本!$AH:$AH),INT((ROW()-1)/3)+1)</f>
        <v>9</v>
      </c>
      <c r="T60" t="str">
        <v>金币</v>
      </c>
      <c r="U60">
        <f t="shared" si="1"/>
        <v>1</v>
      </c>
      <c r="V60">
        <v>15000</v>
      </c>
    </row>
    <row r="61" ht="16.5" customHeight="1" spans="2:22">
      <c r="B61" s="114" t="s">
        <v>2450</v>
      </c>
      <c r="C61" s="15">
        <v>81303</v>
      </c>
      <c r="O61" s="3" t="str">
        <f t="array" ref="O61">INDEX(CHOOSE(MOD(ROW()-1,3)+1,主线副本!$AC:$AC,主线副本!$AE:$AE,主线副本!$AG:$AG),INT((ROW()-1)/3)+1)</f>
        <v>钻石</v>
      </c>
      <c r="P61">
        <f t="shared" si="2"/>
        <v>2</v>
      </c>
      <c r="Q61" s="3">
        <f t="array" ref="Q61">INDEX(CHOOSE(MOD(ROW()-1,3)+1,主线副本!$AD:$AD,主线副本!$AF:$AF,主线副本!$AH:$AH),INT((ROW()-1)/3)+1)</f>
        <v>50</v>
      </c>
      <c r="T61" t="str">
        <v>角色经验中</v>
      </c>
      <c r="U61">
        <f t="shared" si="1"/>
        <v>101</v>
      </c>
      <c r="V61">
        <v>8</v>
      </c>
    </row>
    <row r="62" ht="16.5" customHeight="1" spans="2:22">
      <c r="B62" s="114" t="s">
        <v>2451</v>
      </c>
      <c r="C62" s="15">
        <v>81403</v>
      </c>
      <c r="O62" s="3" t="str">
        <f t="array" ref="O62">INDEX(CHOOSE(MOD(ROW()-1,3)+1,主线副本!$AC:$AC,主线副本!$AE:$AE,主线副本!$AG:$AG),INT((ROW()-1)/3)+1)</f>
        <v>角色经验高</v>
      </c>
      <c r="P62">
        <f t="shared" si="2"/>
        <v>102</v>
      </c>
      <c r="Q62" s="3">
        <f t="array" ref="Q62">INDEX(CHOOSE(MOD(ROW()-1,3)+1,主线副本!$AD:$AD,主线副本!$AF:$AF,主线副本!$AH:$AH),INT((ROW()-1)/3)+1)</f>
        <v>12</v>
      </c>
      <c r="T62" t="str">
        <v>金币</v>
      </c>
      <c r="U62">
        <f t="shared" si="1"/>
        <v>1</v>
      </c>
      <c r="V62">
        <v>15000</v>
      </c>
    </row>
    <row r="63" ht="16.5" customHeight="1" spans="2:22">
      <c r="B63" s="114" t="s">
        <v>2452</v>
      </c>
      <c r="C63" s="15">
        <v>81503</v>
      </c>
      <c r="O63" s="3" t="str">
        <f t="array" ref="O63">INDEX(CHOOSE(MOD(ROW()-1,3)+1,主线副本!$AC:$AC,主线副本!$AE:$AE,主线副本!$AG:$AG),INT((ROW()-1)/3)+1)</f>
        <v>映射装备紫色</v>
      </c>
      <c r="P63">
        <f t="shared" si="2"/>
        <v>2502</v>
      </c>
      <c r="Q63" s="3">
        <f t="array" ref="Q63">INDEX(CHOOSE(MOD(ROW()-1,3)+1,主线副本!$AD:$AD,主线副本!$AF:$AF,主线副本!$AH:$AH),INT((ROW()-1)/3)+1)</f>
        <v>3</v>
      </c>
      <c r="T63" t="str">
        <v>角色经验中</v>
      </c>
      <c r="U63">
        <f t="shared" si="1"/>
        <v>101</v>
      </c>
      <c r="V63">
        <v>8</v>
      </c>
    </row>
    <row r="64" ht="16.5" customHeight="1" spans="2:22">
      <c r="B64" s="114" t="s">
        <v>2453</v>
      </c>
      <c r="C64" s="15">
        <v>81603</v>
      </c>
      <c r="O64" s="3" t="str">
        <f t="array" ref="O64">INDEX(CHOOSE(MOD(ROW()-1,3)+1,主线副本!$AC:$AC,主线副本!$AE:$AE,主线副本!$AG:$AG),INT((ROW()-1)/3)+1)</f>
        <v>钻石</v>
      </c>
      <c r="P64">
        <f t="shared" si="2"/>
        <v>2</v>
      </c>
      <c r="Q64" s="3">
        <f t="array" ref="Q64">INDEX(CHOOSE(MOD(ROW()-1,3)+1,主线副本!$AD:$AD,主线副本!$AF:$AF,主线副本!$AH:$AH),INT((ROW()-1)/3)+1)</f>
        <v>150</v>
      </c>
      <c r="T64" t="str">
        <v>金币</v>
      </c>
      <c r="U64">
        <f t="shared" si="1"/>
        <v>1</v>
      </c>
      <c r="V64">
        <v>15000</v>
      </c>
    </row>
    <row r="65" ht="16.5" customHeight="1" spans="2:22">
      <c r="B65" s="114" t="s">
        <v>2454</v>
      </c>
      <c r="C65" s="15">
        <v>2503</v>
      </c>
      <c r="O65" s="3" t="str">
        <f t="array" ref="O65">INDEX(CHOOSE(MOD(ROW()-1,3)+1,主线副本!$AC:$AC,主线副本!$AE:$AE,主线副本!$AG:$AG),INT((ROW()-1)/3)+1)</f>
        <v>映射装备经验</v>
      </c>
      <c r="P65">
        <f t="shared" si="2"/>
        <v>13</v>
      </c>
      <c r="Q65" s="3">
        <f t="array" ref="Q65">INDEX(CHOOSE(MOD(ROW()-1,3)+1,主线副本!$AD:$AD,主线副本!$AF:$AF,主线副本!$AH:$AH),INT((ROW()-1)/3)+1)</f>
        <v>15000</v>
      </c>
      <c r="T65" t="str">
        <v>角色经验中</v>
      </c>
      <c r="U65">
        <f t="shared" si="1"/>
        <v>101</v>
      </c>
      <c r="V65">
        <v>12</v>
      </c>
    </row>
    <row r="66" ht="16.5" customHeight="1" spans="2:22">
      <c r="B66" s="3" t="s">
        <v>2091</v>
      </c>
      <c r="C66" s="15">
        <v>2504</v>
      </c>
      <c r="O66" s="3" t="str">
        <f t="array" ref="O66">INDEX(CHOOSE(MOD(ROW()-1,3)+1,主线副本!$AC:$AC,主线副本!$AE:$AE,主线副本!$AG:$AG),INT((ROW()-1)/3)+1)</f>
        <v>角色抽卡券限时</v>
      </c>
      <c r="P66">
        <f t="shared" si="2"/>
        <v>111</v>
      </c>
      <c r="Q66" s="3">
        <f t="array" ref="Q66">INDEX(CHOOSE(MOD(ROW()-1,3)+1,主线副本!$AD:$AD,主线副本!$AF:$AF,主线副本!$AH:$AH),INT((ROW()-1)/3)+1)</f>
        <v>3</v>
      </c>
      <c r="T66" t="str">
        <v>金币</v>
      </c>
      <c r="U66">
        <f t="shared" si="1"/>
        <v>1</v>
      </c>
      <c r="V66">
        <v>15000</v>
      </c>
    </row>
    <row r="67" ht="16.5" customHeight="1" spans="2:22">
      <c r="O67" s="3" t="str">
        <f t="array" ref="O67">INDEX(CHOOSE(MOD(ROW()-1,3)+1,主线副本!$AC:$AC,主线副本!$AE:$AE,主线副本!$AG:$AG),INT((ROW()-1)/3)+1)</f>
        <v>钻石</v>
      </c>
      <c r="P67">
        <f t="shared" si="2"/>
        <v>2</v>
      </c>
      <c r="Q67" s="3">
        <f t="array" ref="Q67">INDEX(CHOOSE(MOD(ROW()-1,3)+1,主线副本!$AD:$AD,主线副本!$AF:$AF,主线副本!$AH:$AH),INT((ROW()-1)/3)+1)</f>
        <v>50</v>
      </c>
      <c r="T67" t="str">
        <v>角色经验中</v>
      </c>
      <c r="U67">
        <f t="shared" si="1"/>
        <v>101</v>
      </c>
      <c r="V67">
        <v>8</v>
      </c>
    </row>
    <row r="68" ht="16.5" customHeight="1" spans="2:22">
      <c r="O68" s="3" t="str">
        <f t="array" ref="O68">INDEX(CHOOSE(MOD(ROW()-1,3)+1,主线副本!$AC:$AC,主线副本!$AE:$AE,主线副本!$AG:$AG),INT((ROW()-1)/3)+1)</f>
        <v>角色经验高</v>
      </c>
      <c r="P68">
        <f t="shared" si="2"/>
        <v>102</v>
      </c>
      <c r="Q68" s="3">
        <f t="array" ref="Q68">INDEX(CHOOSE(MOD(ROW()-1,3)+1,主线副本!$AD:$AD,主线副本!$AF:$AF,主线副本!$AH:$AH),INT((ROW()-1)/3)+1)</f>
        <v>12</v>
      </c>
      <c r="T68" t="str">
        <v>金币</v>
      </c>
      <c r="U68">
        <f t="shared" ref="U68:U131" si="5">VLOOKUP(T68,$B:$C,2,0)</f>
        <v>1</v>
      </c>
      <c r="V68">
        <v>15000</v>
      </c>
    </row>
    <row r="69" ht="16.5" customHeight="1" spans="2:22">
      <c r="O69" s="3" t="str">
        <f t="array" ref="O69">INDEX(CHOOSE(MOD(ROW()-1,3)+1,主线副本!$AC:$AC,主线副本!$AE:$AE,主线副本!$AG:$AG),INT((ROW()-1)/3)+1)</f>
        <v>角色升阶材料中攻</v>
      </c>
      <c r="P69">
        <f t="shared" si="2"/>
        <v>1004</v>
      </c>
      <c r="Q69" s="3">
        <f t="array" ref="Q69">INDEX(CHOOSE(MOD(ROW()-1,3)+1,主线副本!$AD:$AD,主线副本!$AF:$AF,主线副本!$AH:$AH),INT((ROW()-1)/3)+1)</f>
        <v>9</v>
      </c>
      <c r="T69" t="str">
        <v>角色经验中</v>
      </c>
      <c r="U69">
        <f t="shared" si="5"/>
        <v>101</v>
      </c>
      <c r="V69">
        <v>8</v>
      </c>
    </row>
    <row r="70" ht="16.5" customHeight="1" spans="2:22">
      <c r="O70" s="3" t="str">
        <f t="array" ref="O70">INDEX(CHOOSE(MOD(ROW()-1,3)+1,主线副本!$AC:$AC,主线副本!$AE:$AE,主线副本!$AG:$AG),INT((ROW()-1)/3)+1)</f>
        <v>钻石</v>
      </c>
      <c r="P70">
        <f t="shared" si="2"/>
        <v>2</v>
      </c>
      <c r="Q70" s="3">
        <f t="array" ref="Q70">INDEX(CHOOSE(MOD(ROW()-1,3)+1,主线副本!$AD:$AD,主线副本!$AF:$AF,主线副本!$AH:$AH),INT((ROW()-1)/3)+1)</f>
        <v>50</v>
      </c>
      <c r="T70" t="str">
        <v>金币</v>
      </c>
      <c r="U70">
        <f t="shared" si="5"/>
        <v>1</v>
      </c>
      <c r="V70">
        <v>15000</v>
      </c>
    </row>
    <row r="71" ht="16.5" customHeight="1" spans="2:22">
      <c r="O71" s="3" t="str">
        <f t="array" ref="O71">INDEX(CHOOSE(MOD(ROW()-1,3)+1,主线副本!$AC:$AC,主线副本!$AE:$AE,主线副本!$AG:$AG),INT((ROW()-1)/3)+1)</f>
        <v>角色经验高</v>
      </c>
      <c r="P71">
        <f t="shared" si="2"/>
        <v>102</v>
      </c>
      <c r="Q71" s="3">
        <f t="array" ref="Q71">INDEX(CHOOSE(MOD(ROW()-1,3)+1,主线副本!$AD:$AD,主线副本!$AF:$AF,主线副本!$AH:$AH),INT((ROW()-1)/3)+1)</f>
        <v>12</v>
      </c>
      <c r="T71" t="str">
        <v>角色经验中</v>
      </c>
      <c r="U71">
        <f t="shared" si="5"/>
        <v>101</v>
      </c>
      <c r="V71">
        <v>8</v>
      </c>
    </row>
    <row r="72" ht="16.5" customHeight="1" spans="2:22">
      <c r="O72" s="3" t="str">
        <f t="array" ref="O72">INDEX(CHOOSE(MOD(ROW()-1,3)+1,主线副本!$AC:$AC,主线副本!$AE:$AE,主线副本!$AG:$AG),INT((ROW()-1)/3)+1)</f>
        <v>角色升阶材料中防</v>
      </c>
      <c r="P72">
        <f t="shared" si="2"/>
        <v>1005</v>
      </c>
      <c r="Q72" s="3">
        <f t="array" ref="Q72">INDEX(CHOOSE(MOD(ROW()-1,3)+1,主线副本!$AD:$AD,主线副本!$AF:$AF,主线副本!$AH:$AH),INT((ROW()-1)/3)+1)</f>
        <v>9</v>
      </c>
      <c r="T72" t="str">
        <v>星盘中级道具攻1</v>
      </c>
      <c r="U72">
        <f t="shared" si="5"/>
        <v>1025</v>
      </c>
      <c r="V72">
        <v>4</v>
      </c>
    </row>
    <row r="73" ht="16.5" customHeight="1" spans="2:22">
      <c r="O73" s="3" t="str">
        <f t="array" ref="O73">INDEX(CHOOSE(MOD(ROW()-1,3)+1,主线副本!$AC:$AC,主线副本!$AE:$AE,主线副本!$AG:$AG),INT((ROW()-1)/3)+1)</f>
        <v>钻石</v>
      </c>
      <c r="P73">
        <f t="shared" si="2"/>
        <v>2</v>
      </c>
      <c r="Q73" s="3">
        <f t="array" ref="Q73">INDEX(CHOOSE(MOD(ROW()-1,3)+1,主线副本!$AD:$AD,主线副本!$AF:$AF,主线副本!$AH:$AH),INT((ROW()-1)/3)+1)</f>
        <v>50</v>
      </c>
      <c r="T73" t="str">
        <v>金币</v>
      </c>
      <c r="U73">
        <f t="shared" si="5"/>
        <v>1</v>
      </c>
      <c r="V73">
        <v>15000</v>
      </c>
    </row>
    <row r="74" ht="16.5" customHeight="1" spans="2:22">
      <c r="O74" s="3" t="str">
        <f t="array" ref="O74">INDEX(CHOOSE(MOD(ROW()-1,3)+1,主线副本!$AC:$AC,主线副本!$AE:$AE,主线副本!$AG:$AG),INT((ROW()-1)/3)+1)</f>
        <v>角色经验高</v>
      </c>
      <c r="P74">
        <f t="shared" si="2"/>
        <v>102</v>
      </c>
      <c r="Q74" s="3">
        <f t="array" ref="Q74">INDEX(CHOOSE(MOD(ROW()-1,3)+1,主线副本!$AD:$AD,主线副本!$AF:$AF,主线副本!$AH:$AH),INT((ROW()-1)/3)+1)</f>
        <v>12</v>
      </c>
      <c r="T74" t="str">
        <v>角色经验中</v>
      </c>
      <c r="U74">
        <f t="shared" si="5"/>
        <v>101</v>
      </c>
      <c r="V74">
        <v>8</v>
      </c>
    </row>
    <row r="75" ht="16.5" customHeight="1" spans="2:22">
      <c r="O75" s="3" t="str">
        <f t="array" ref="O75">INDEX(CHOOSE(MOD(ROW()-1,3)+1,主线副本!$AC:$AC,主线副本!$AE:$AE,主线副本!$AG:$AG),INT((ROW()-1)/3)+1)</f>
        <v>角色升阶材料中辅</v>
      </c>
      <c r="P75">
        <f t="shared" si="2"/>
        <v>1006</v>
      </c>
      <c r="Q75" s="3">
        <f t="array" ref="Q75">INDEX(CHOOSE(MOD(ROW()-1,3)+1,主线副本!$AD:$AD,主线副本!$AF:$AF,主线副本!$AH:$AH),INT((ROW()-1)/3)+1)</f>
        <v>9</v>
      </c>
      <c r="T75" t="str">
        <v>星盘中级道具攻2</v>
      </c>
      <c r="U75">
        <f t="shared" si="5"/>
        <v>1028</v>
      </c>
      <c r="V75">
        <v>4</v>
      </c>
    </row>
    <row r="76" ht="16.5" customHeight="1" spans="2:22">
      <c r="O76" s="3" t="str">
        <f t="array" ref="O76">INDEX(CHOOSE(MOD(ROW()-1,3)+1,主线副本!$AC:$AC,主线副本!$AE:$AE,主线副本!$AG:$AG),INT((ROW()-1)/3)+1)</f>
        <v>钻石</v>
      </c>
      <c r="P76">
        <f t="shared" si="2"/>
        <v>2</v>
      </c>
      <c r="Q76" s="3">
        <f t="array" ref="Q76">INDEX(CHOOSE(MOD(ROW()-1,3)+1,主线副本!$AD:$AD,主线副本!$AF:$AF,主线副本!$AH:$AH),INT((ROW()-1)/3)+1)</f>
        <v>50</v>
      </c>
      <c r="T76" t="str">
        <v>金币</v>
      </c>
      <c r="U76">
        <f t="shared" si="5"/>
        <v>1</v>
      </c>
      <c r="V76">
        <v>30000</v>
      </c>
    </row>
    <row r="77" ht="16.5" customHeight="1" spans="2:22">
      <c r="O77" s="3" t="str">
        <f t="array" ref="O77">INDEX(CHOOSE(MOD(ROW()-1,3)+1,主线副本!$AC:$AC,主线副本!$AE:$AE,主线副本!$AG:$AG),INT((ROW()-1)/3)+1)</f>
        <v>角色经验高</v>
      </c>
      <c r="P77">
        <f t="shared" si="2"/>
        <v>102</v>
      </c>
      <c r="Q77" s="3">
        <f t="array" ref="Q77">INDEX(CHOOSE(MOD(ROW()-1,3)+1,主线副本!$AD:$AD,主线副本!$AF:$AF,主线副本!$AH:$AH),INT((ROW()-1)/3)+1)</f>
        <v>12</v>
      </c>
      <c r="T77" t="str">
        <v>角色经验中</v>
      </c>
      <c r="U77">
        <f t="shared" si="5"/>
        <v>101</v>
      </c>
      <c r="V77">
        <v>12</v>
      </c>
    </row>
    <row r="78" ht="16.5" customHeight="1" spans="2:22">
      <c r="O78" s="3" t="str">
        <f t="array" ref="O78">INDEX(CHOOSE(MOD(ROW()-1,3)+1,主线副本!$AC:$AC,主线副本!$AE:$AE,主线副本!$AG:$AG),INT((ROW()-1)/3)+1)</f>
        <v>映射装备金色</v>
      </c>
      <c r="P78">
        <f t="shared" si="2"/>
        <v>2503</v>
      </c>
      <c r="Q78" s="3">
        <f t="array" ref="Q78">INDEX(CHOOSE(MOD(ROW()-1,3)+1,主线副本!$AD:$AD,主线副本!$AF:$AF,主线副本!$AH:$AH),INT((ROW()-1)/3)+1)</f>
        <v>1</v>
      </c>
      <c r="T78" t="str">
        <v>星盘中级道具防1</v>
      </c>
      <c r="U78">
        <f t="shared" si="5"/>
        <v>1026</v>
      </c>
      <c r="V78">
        <v>4</v>
      </c>
    </row>
    <row r="79" ht="16.5" customHeight="1" spans="2:22">
      <c r="O79" s="3" t="str">
        <f t="array" ref="O79">INDEX(CHOOSE(MOD(ROW()-1,3)+1,主线副本!$AC:$AC,主线副本!$AE:$AE,主线副本!$AG:$AG),INT((ROW()-1)/3)+1)</f>
        <v>钻石</v>
      </c>
      <c r="P79">
        <f t="shared" si="2"/>
        <v>2</v>
      </c>
      <c r="Q79" s="3">
        <f t="array" ref="Q79">INDEX(CHOOSE(MOD(ROW()-1,3)+1,主线副本!$AD:$AD,主线副本!$AF:$AF,主线副本!$AH:$AH),INT((ROW()-1)/3)+1)</f>
        <v>150</v>
      </c>
      <c r="T79" t="str">
        <v>金币</v>
      </c>
      <c r="U79">
        <f t="shared" si="5"/>
        <v>1</v>
      </c>
      <c r="V79">
        <v>20000</v>
      </c>
    </row>
    <row r="80" ht="16.5" customHeight="1" spans="2:22">
      <c r="O80" s="3" t="str">
        <f t="array" ref="O80">INDEX(CHOOSE(MOD(ROW()-1,3)+1,主线副本!$AC:$AC,主线副本!$AE:$AE,主线副本!$AG:$AG),INT((ROW()-1)/3)+1)</f>
        <v>映射装备经验</v>
      </c>
      <c r="P80">
        <f>VLOOKUP(O80,$B:$C,2,0)</f>
        <v>13</v>
      </c>
      <c r="Q80" s="3">
        <f t="array" ref="Q80">INDEX(CHOOSE(MOD(ROW()-1,3)+1,主线副本!$AD:$AD,主线副本!$AF:$AF,主线副本!$AH:$AH),INT((ROW()-1)/3)+1)</f>
        <v>20000</v>
      </c>
      <c r="T80" t="str">
        <v>角色经验中</v>
      </c>
      <c r="U80">
        <f t="shared" si="5"/>
        <v>101</v>
      </c>
      <c r="V80">
        <v>12</v>
      </c>
    </row>
    <row r="81" ht="16.5" customHeight="1" spans="15:22">
      <c r="O81" s="3" t="str">
        <f t="array" ref="O81">INDEX(CHOOSE(MOD(ROW()-1,3)+1,主线副本!$AC:$AC,主线副本!$AE:$AE,主线副本!$AG:$AG),INT((ROW()-1)/3)+1)</f>
        <v>角色抽卡券限时</v>
      </c>
      <c r="P81">
        <f>VLOOKUP(O81,$B:$C,2,0)</f>
        <v>111</v>
      </c>
      <c r="Q81" s="3">
        <f t="array" ref="Q81">INDEX(CHOOSE(MOD(ROW()-1,3)+1,主线副本!$AD:$AD,主线副本!$AF:$AF,主线副本!$AH:$AH),INT((ROW()-1)/3)+1)</f>
        <v>3</v>
      </c>
      <c r="T81" t="str">
        <v>星盘中级道具防2</v>
      </c>
      <c r="U81">
        <f t="shared" si="5"/>
        <v>1029</v>
      </c>
      <c r="V81">
        <v>4</v>
      </c>
    </row>
    <row r="82" ht="16.5" customHeight="1" spans="15:22">
      <c r="T82" t="str">
        <v>金币</v>
      </c>
      <c r="U82">
        <f t="shared" si="5"/>
        <v>1</v>
      </c>
      <c r="V82">
        <v>20000</v>
      </c>
    </row>
    <row r="83" ht="16.5" customHeight="1" spans="15:22">
      <c r="T83" t="str">
        <v>角色经验中</v>
      </c>
      <c r="U83">
        <f t="shared" si="5"/>
        <v>101</v>
      </c>
      <c r="V83">
        <v>12</v>
      </c>
    </row>
    <row r="84" ht="16.5" customHeight="1" spans="15:22">
      <c r="T84" t="str">
        <v>星盘中级道具辅1</v>
      </c>
      <c r="U84">
        <f t="shared" si="5"/>
        <v>1027</v>
      </c>
      <c r="V84">
        <v>4</v>
      </c>
    </row>
    <row r="85" ht="16.5" customHeight="1" spans="15:22">
      <c r="T85" t="str">
        <v>金币</v>
      </c>
      <c r="U85">
        <f t="shared" si="5"/>
        <v>1</v>
      </c>
      <c r="V85">
        <v>20000</v>
      </c>
    </row>
    <row r="86" ht="16.5" customHeight="1" spans="15:22">
      <c r="T86" t="str">
        <v>角色经验中</v>
      </c>
      <c r="U86">
        <f t="shared" si="5"/>
        <v>101</v>
      </c>
      <c r="V86">
        <v>12</v>
      </c>
    </row>
    <row r="87" ht="16.5" customHeight="1" spans="15:22">
      <c r="T87" t="str">
        <v>星盘中级道具辅2</v>
      </c>
      <c r="U87">
        <f t="shared" si="5"/>
        <v>1030</v>
      </c>
      <c r="V87">
        <v>4</v>
      </c>
    </row>
    <row r="88" ht="16.5" customHeight="1" spans="15:22">
      <c r="T88" t="str">
        <v>金币</v>
      </c>
      <c r="U88">
        <f t="shared" si="5"/>
        <v>1</v>
      </c>
      <c r="V88">
        <v>20000</v>
      </c>
    </row>
    <row r="89" ht="16.5" customHeight="1" spans="15:22">
      <c r="T89" t="str">
        <v>角色经验中</v>
      </c>
      <c r="U89">
        <f t="shared" si="5"/>
        <v>101</v>
      </c>
      <c r="V89">
        <v>12</v>
      </c>
    </row>
    <row r="90" ht="16.5" customHeight="1" spans="15:22">
      <c r="T90" t="str">
        <v>星盘中级道具攻1</v>
      </c>
      <c r="U90">
        <f t="shared" si="5"/>
        <v>1025</v>
      </c>
      <c r="V90">
        <v>4</v>
      </c>
    </row>
    <row r="91" ht="16.5" customHeight="1" spans="15:22">
      <c r="O91"/>
      <c r="T91" t="str">
        <v>金币</v>
      </c>
      <c r="U91">
        <f t="shared" si="5"/>
        <v>1</v>
      </c>
      <c r="V91">
        <v>20000</v>
      </c>
    </row>
    <row r="92" ht="16.5" customHeight="1" spans="15:22">
      <c r="O92"/>
      <c r="T92" t="str">
        <v>角色经验中</v>
      </c>
      <c r="U92">
        <f t="shared" si="5"/>
        <v>101</v>
      </c>
      <c r="V92">
        <v>20</v>
      </c>
    </row>
    <row r="93" ht="16.5" customHeight="1" spans="15:22">
      <c r="O93"/>
      <c r="T93" t="str">
        <v>星盘中级道具攻2</v>
      </c>
      <c r="U93">
        <f t="shared" si="5"/>
        <v>1028</v>
      </c>
      <c r="V93">
        <v>4</v>
      </c>
    </row>
    <row r="94" ht="16.5" customHeight="1" spans="15:22">
      <c r="O94"/>
      <c r="T94" t="str">
        <v>金币</v>
      </c>
      <c r="U94">
        <f t="shared" si="5"/>
        <v>1</v>
      </c>
      <c r="V94">
        <v>20000</v>
      </c>
    </row>
    <row r="95" ht="16.5" customHeight="1" spans="15:22">
      <c r="O95"/>
      <c r="T95" t="str">
        <v>角色经验中</v>
      </c>
      <c r="U95">
        <f t="shared" si="5"/>
        <v>101</v>
      </c>
      <c r="V95">
        <v>12</v>
      </c>
    </row>
    <row r="96" ht="16.5" customHeight="1" spans="15:22">
      <c r="O96"/>
      <c r="T96" t="str">
        <v>星盘中级道具防1</v>
      </c>
      <c r="U96">
        <f t="shared" si="5"/>
        <v>1026</v>
      </c>
      <c r="V96">
        <v>4</v>
      </c>
    </row>
    <row r="97" ht="16.5" customHeight="1" spans="15:22">
      <c r="O97"/>
      <c r="T97" t="str">
        <v>金币</v>
      </c>
      <c r="U97">
        <f t="shared" si="5"/>
        <v>1</v>
      </c>
      <c r="V97">
        <v>20000</v>
      </c>
    </row>
    <row r="98" ht="16.5" customHeight="1" spans="15:22">
      <c r="O98" s="3"/>
      <c r="T98" t="str">
        <v>角色经验中</v>
      </c>
      <c r="U98">
        <f t="shared" si="5"/>
        <v>101</v>
      </c>
      <c r="V98">
        <v>12</v>
      </c>
    </row>
    <row r="99" ht="16.5" customHeight="1" spans="15:22">
      <c r="O99" s="3"/>
      <c r="T99" t="str">
        <v>星盘中级道具防2</v>
      </c>
      <c r="U99">
        <f t="shared" si="5"/>
        <v>1029</v>
      </c>
      <c r="V99">
        <v>4</v>
      </c>
    </row>
    <row r="100" ht="16.5" customHeight="1" spans="15:22">
      <c r="O100" s="3"/>
      <c r="T100" t="str">
        <v>金币</v>
      </c>
      <c r="U100">
        <f t="shared" si="5"/>
        <v>1</v>
      </c>
      <c r="V100">
        <v>20000</v>
      </c>
    </row>
    <row r="101" ht="16.5" customHeight="1" spans="15:22">
      <c r="O101" s="3"/>
      <c r="T101" t="str">
        <v>角色经验中</v>
      </c>
      <c r="U101">
        <f t="shared" si="5"/>
        <v>101</v>
      </c>
      <c r="V101">
        <v>12</v>
      </c>
    </row>
    <row r="102" ht="16.5" customHeight="1" spans="15:22">
      <c r="O102" s="3"/>
      <c r="T102" t="str">
        <v>星盘中级道具辅1</v>
      </c>
      <c r="U102">
        <f t="shared" si="5"/>
        <v>1027</v>
      </c>
      <c r="V102">
        <v>4</v>
      </c>
    </row>
    <row r="103" ht="16.5" customHeight="1" spans="15:22">
      <c r="O103" s="3"/>
      <c r="T103" t="str">
        <v>金币</v>
      </c>
      <c r="U103">
        <f t="shared" si="5"/>
        <v>1</v>
      </c>
      <c r="V103">
        <v>20000</v>
      </c>
    </row>
    <row r="104" ht="16.5" customHeight="1" spans="15:22">
      <c r="O104" s="3"/>
      <c r="T104" t="str">
        <v>角色经验中</v>
      </c>
      <c r="U104">
        <f t="shared" si="5"/>
        <v>101</v>
      </c>
      <c r="V104">
        <v>12</v>
      </c>
    </row>
    <row r="105" ht="16.5" customHeight="1" spans="15:22">
      <c r="O105" s="3"/>
      <c r="T105" t="str">
        <v>星盘中级道具辅2</v>
      </c>
      <c r="U105">
        <f t="shared" si="5"/>
        <v>1030</v>
      </c>
      <c r="V105">
        <v>4</v>
      </c>
    </row>
    <row r="106" ht="16.5" customHeight="1" spans="15:22">
      <c r="O106" s="3"/>
      <c r="T106" t="str">
        <v>金币</v>
      </c>
      <c r="U106">
        <f t="shared" si="5"/>
        <v>1</v>
      </c>
      <c r="V106">
        <v>20000</v>
      </c>
    </row>
    <row r="107" ht="16.5" customHeight="1" spans="15:22">
      <c r="O107" s="3"/>
      <c r="T107" t="str">
        <v>角色经验中</v>
      </c>
      <c r="U107">
        <f t="shared" si="5"/>
        <v>101</v>
      </c>
      <c r="V107">
        <v>20</v>
      </c>
    </row>
    <row r="108" ht="16.5" customHeight="1" spans="15:22">
      <c r="O108" s="3"/>
      <c r="T108" t="str">
        <v>角色升阶材料中攻</v>
      </c>
      <c r="U108">
        <f t="shared" si="5"/>
        <v>1004</v>
      </c>
      <c r="V108">
        <v>3</v>
      </c>
    </row>
    <row r="109" ht="16.5" customHeight="1" spans="15:22">
      <c r="O109" s="3"/>
      <c r="T109" t="str">
        <v>金币</v>
      </c>
      <c r="U109">
        <f t="shared" si="5"/>
        <v>1</v>
      </c>
      <c r="V109">
        <v>20000</v>
      </c>
    </row>
    <row r="110" spans="15:22">
      <c r="T110" t="str">
        <v>角色经验中</v>
      </c>
      <c r="U110">
        <f t="shared" si="5"/>
        <v>101</v>
      </c>
      <c r="V110">
        <v>12</v>
      </c>
    </row>
    <row r="111" spans="15:22">
      <c r="T111" t="str">
        <v>角色升阶材料中防</v>
      </c>
      <c r="U111">
        <f t="shared" si="5"/>
        <v>1005</v>
      </c>
      <c r="V111">
        <v>3</v>
      </c>
    </row>
    <row r="112" spans="15:22">
      <c r="T112" t="str">
        <v>金币</v>
      </c>
      <c r="U112">
        <f t="shared" si="5"/>
        <v>1</v>
      </c>
      <c r="V112">
        <v>20000</v>
      </c>
    </row>
    <row r="113" spans="20:22">
      <c r="T113" t="str">
        <v>角色经验中</v>
      </c>
      <c r="U113">
        <f t="shared" si="5"/>
        <v>101</v>
      </c>
      <c r="V113">
        <v>12</v>
      </c>
    </row>
    <row r="114" spans="20:22">
      <c r="T114" t="str">
        <v>角色升阶材料中辅</v>
      </c>
      <c r="U114">
        <f t="shared" si="5"/>
        <v>1006</v>
      </c>
      <c r="V114">
        <v>3</v>
      </c>
    </row>
    <row r="115" spans="20:22">
      <c r="T115" t="str">
        <v>金币</v>
      </c>
      <c r="U115">
        <f t="shared" si="5"/>
        <v>1</v>
      </c>
      <c r="V115">
        <v>20000</v>
      </c>
    </row>
    <row r="116" spans="20:22">
      <c r="T116" t="str">
        <v>角色经验中</v>
      </c>
      <c r="U116">
        <f t="shared" si="5"/>
        <v>101</v>
      </c>
      <c r="V116">
        <v>12</v>
      </c>
    </row>
    <row r="117" spans="20:22">
      <c r="T117" t="str">
        <v>角色升阶材料中攻</v>
      </c>
      <c r="U117">
        <f t="shared" si="5"/>
        <v>1004</v>
      </c>
      <c r="V117">
        <v>3</v>
      </c>
    </row>
    <row r="118" spans="20:22">
      <c r="T118" t="str">
        <v>金币</v>
      </c>
      <c r="U118">
        <f t="shared" si="5"/>
        <v>1</v>
      </c>
      <c r="V118">
        <v>20000</v>
      </c>
    </row>
    <row r="119" spans="20:22">
      <c r="T119" t="str">
        <v>角色经验中</v>
      </c>
      <c r="U119">
        <f t="shared" si="5"/>
        <v>101</v>
      </c>
      <c r="V119">
        <v>12</v>
      </c>
    </row>
    <row r="120" spans="20:22">
      <c r="T120" t="str">
        <v>角色升阶材料中防</v>
      </c>
      <c r="U120">
        <f t="shared" si="5"/>
        <v>1005</v>
      </c>
      <c r="V120">
        <v>3</v>
      </c>
    </row>
    <row r="121" spans="20:22">
      <c r="T121" t="str">
        <v>金币</v>
      </c>
      <c r="U121">
        <f t="shared" si="5"/>
        <v>1</v>
      </c>
      <c r="V121">
        <v>40000</v>
      </c>
    </row>
    <row r="122" spans="20:22">
      <c r="T122" t="str">
        <v>角色经验中</v>
      </c>
      <c r="U122">
        <f t="shared" si="5"/>
        <v>101</v>
      </c>
      <c r="V122">
        <v>20</v>
      </c>
    </row>
    <row r="123" spans="20:22">
      <c r="T123" t="str">
        <v>角色升阶材料中辅</v>
      </c>
      <c r="U123">
        <f t="shared" si="5"/>
        <v>1006</v>
      </c>
      <c r="V123">
        <v>3</v>
      </c>
    </row>
    <row r="124" spans="20:22">
      <c r="T124" t="str">
        <v>金币</v>
      </c>
      <c r="U124">
        <f t="shared" si="5"/>
        <v>1</v>
      </c>
      <c r="V124">
        <v>25000</v>
      </c>
    </row>
    <row r="125" spans="20:22">
      <c r="T125" t="str">
        <v>角色经验中</v>
      </c>
      <c r="U125">
        <f t="shared" si="5"/>
        <v>101</v>
      </c>
      <c r="V125">
        <v>16</v>
      </c>
    </row>
    <row r="126" spans="20:22">
      <c r="T126" t="str">
        <v>星盘高级道具攻1</v>
      </c>
      <c r="U126">
        <f t="shared" si="5"/>
        <v>1031</v>
      </c>
      <c r="V126">
        <v>3</v>
      </c>
    </row>
    <row r="127" spans="20:22">
      <c r="T127" t="str">
        <v>金币</v>
      </c>
      <c r="U127">
        <f t="shared" si="5"/>
        <v>1</v>
      </c>
      <c r="V127">
        <v>25000</v>
      </c>
    </row>
    <row r="128" spans="20:22">
      <c r="T128" t="str">
        <v>角色经验中</v>
      </c>
      <c r="U128">
        <f t="shared" si="5"/>
        <v>101</v>
      </c>
      <c r="V128">
        <v>16</v>
      </c>
    </row>
    <row r="129" spans="20:22">
      <c r="T129" t="str">
        <v>星盘高级道具攻2</v>
      </c>
      <c r="U129">
        <f t="shared" si="5"/>
        <v>1034</v>
      </c>
      <c r="V129">
        <v>3</v>
      </c>
    </row>
    <row r="130" spans="20:22">
      <c r="T130" t="str">
        <v>金币</v>
      </c>
      <c r="U130">
        <f t="shared" si="5"/>
        <v>1</v>
      </c>
      <c r="V130">
        <v>25000</v>
      </c>
    </row>
    <row r="131" spans="20:22">
      <c r="T131" t="str">
        <v>角色经验中</v>
      </c>
      <c r="U131">
        <f t="shared" si="5"/>
        <v>101</v>
      </c>
      <c r="V131">
        <v>16</v>
      </c>
    </row>
    <row r="132" spans="20:22">
      <c r="T132" t="str">
        <v>星盘高级道具防1</v>
      </c>
      <c r="U132">
        <f t="shared" ref="U132:U168" si="6">VLOOKUP(T132,$B:$C,2,0)</f>
        <v>1032</v>
      </c>
      <c r="V132">
        <v>3</v>
      </c>
    </row>
    <row r="133" spans="20:22">
      <c r="T133" t="str">
        <v>金币</v>
      </c>
      <c r="U133">
        <f t="shared" si="6"/>
        <v>1</v>
      </c>
      <c r="V133">
        <v>25000</v>
      </c>
    </row>
    <row r="134" spans="20:22">
      <c r="T134" t="str">
        <v>角色经验中</v>
      </c>
      <c r="U134">
        <f t="shared" si="6"/>
        <v>101</v>
      </c>
      <c r="V134">
        <v>16</v>
      </c>
    </row>
    <row r="135" spans="20:22">
      <c r="T135" t="str">
        <v>星盘高级道具防2</v>
      </c>
      <c r="U135">
        <f t="shared" si="6"/>
        <v>1035</v>
      </c>
      <c r="V135">
        <v>3</v>
      </c>
    </row>
    <row r="136" spans="20:22">
      <c r="T136" t="str">
        <v>金币</v>
      </c>
      <c r="U136">
        <f t="shared" si="6"/>
        <v>1</v>
      </c>
      <c r="V136">
        <v>25000</v>
      </c>
    </row>
    <row r="137" spans="20:22">
      <c r="T137" t="str">
        <v>角色经验中</v>
      </c>
      <c r="U137">
        <f t="shared" si="6"/>
        <v>101</v>
      </c>
      <c r="V137">
        <v>24</v>
      </c>
    </row>
    <row r="138" spans="20:22">
      <c r="T138" t="str">
        <v>星盘高级道具辅1</v>
      </c>
      <c r="U138">
        <f t="shared" si="6"/>
        <v>1033</v>
      </c>
      <c r="V138">
        <v>3</v>
      </c>
    </row>
    <row r="139" spans="20:22">
      <c r="T139" t="str">
        <v>金币</v>
      </c>
      <c r="U139">
        <f t="shared" si="6"/>
        <v>1</v>
      </c>
      <c r="V139">
        <v>25000</v>
      </c>
    </row>
    <row r="140" spans="20:22">
      <c r="T140" t="str">
        <v>角色经验中</v>
      </c>
      <c r="U140">
        <f t="shared" si="6"/>
        <v>101</v>
      </c>
      <c r="V140">
        <v>16</v>
      </c>
    </row>
    <row r="141" spans="20:22">
      <c r="T141" t="str">
        <v>星盘高级道具辅2</v>
      </c>
      <c r="U141">
        <f t="shared" si="6"/>
        <v>1036</v>
      </c>
      <c r="V141">
        <v>3</v>
      </c>
    </row>
    <row r="142" spans="20:22">
      <c r="T142" t="str">
        <v>金币</v>
      </c>
      <c r="U142">
        <f t="shared" si="6"/>
        <v>1</v>
      </c>
      <c r="V142">
        <v>25000</v>
      </c>
    </row>
    <row r="143" spans="20:22">
      <c r="T143" t="str">
        <v>角色经验中</v>
      </c>
      <c r="U143">
        <f t="shared" si="6"/>
        <v>101</v>
      </c>
      <c r="V143">
        <v>16</v>
      </c>
    </row>
    <row r="144" spans="20:22">
      <c r="T144" t="str">
        <v>角色升阶材料高攻</v>
      </c>
      <c r="U144">
        <f t="shared" si="6"/>
        <v>1007</v>
      </c>
      <c r="V144">
        <v>3</v>
      </c>
    </row>
    <row r="145" spans="20:22">
      <c r="T145" t="str">
        <v>金币</v>
      </c>
      <c r="U145">
        <f t="shared" si="6"/>
        <v>1</v>
      </c>
      <c r="V145">
        <v>25000</v>
      </c>
    </row>
    <row r="146" spans="20:22">
      <c r="T146" t="str">
        <v>角色经验中</v>
      </c>
      <c r="U146">
        <f t="shared" si="6"/>
        <v>101</v>
      </c>
      <c r="V146">
        <v>16</v>
      </c>
    </row>
    <row r="147" spans="20:22">
      <c r="T147" t="str">
        <v>角色升阶材料高防</v>
      </c>
      <c r="U147">
        <f t="shared" si="6"/>
        <v>1008</v>
      </c>
      <c r="V147">
        <v>3</v>
      </c>
    </row>
    <row r="148" spans="20:22">
      <c r="T148" t="str">
        <v>金币</v>
      </c>
      <c r="U148">
        <f t="shared" si="6"/>
        <v>1</v>
      </c>
      <c r="V148">
        <v>25000</v>
      </c>
    </row>
    <row r="149" spans="20:22">
      <c r="T149" t="str">
        <v>角色经验中</v>
      </c>
      <c r="U149">
        <f t="shared" si="6"/>
        <v>101</v>
      </c>
      <c r="V149">
        <v>16</v>
      </c>
    </row>
    <row r="150" spans="20:22">
      <c r="T150" t="str">
        <v>角色升阶材料高辅</v>
      </c>
      <c r="U150">
        <f t="shared" si="6"/>
        <v>1009</v>
      </c>
      <c r="V150">
        <v>3</v>
      </c>
    </row>
    <row r="151" spans="20:22">
      <c r="T151" t="str">
        <v>金币</v>
      </c>
      <c r="U151">
        <f t="shared" si="6"/>
        <v>1</v>
      </c>
      <c r="V151">
        <v>25000</v>
      </c>
    </row>
    <row r="152" spans="20:22">
      <c r="T152" t="str">
        <v>角色经验中</v>
      </c>
      <c r="U152">
        <f t="shared" si="6"/>
        <v>101</v>
      </c>
      <c r="V152">
        <v>24</v>
      </c>
    </row>
    <row r="153" spans="20:22">
      <c r="T153" t="str">
        <v>星盘顶级道具攻1</v>
      </c>
      <c r="U153">
        <f t="shared" si="6"/>
        <v>1037</v>
      </c>
      <c r="V153">
        <v>3</v>
      </c>
    </row>
    <row r="154" spans="20:22">
      <c r="T154" t="str">
        <v>金币</v>
      </c>
      <c r="U154">
        <f t="shared" si="6"/>
        <v>1</v>
      </c>
      <c r="V154">
        <v>25000</v>
      </c>
    </row>
    <row r="155" spans="20:22">
      <c r="T155" t="str">
        <v>角色经验中</v>
      </c>
      <c r="U155">
        <f t="shared" si="6"/>
        <v>101</v>
      </c>
      <c r="V155">
        <v>16</v>
      </c>
    </row>
    <row r="156" spans="20:22">
      <c r="T156" t="str">
        <v>星盘顶级道具攻2</v>
      </c>
      <c r="U156">
        <f t="shared" si="6"/>
        <v>1040</v>
      </c>
      <c r="V156">
        <v>3</v>
      </c>
    </row>
    <row r="157" spans="20:22">
      <c r="T157" t="str">
        <v>金币</v>
      </c>
      <c r="U157">
        <f t="shared" si="6"/>
        <v>1</v>
      </c>
      <c r="V157">
        <v>25000</v>
      </c>
    </row>
    <row r="158" spans="20:22">
      <c r="T158" t="str">
        <v>角色经验中</v>
      </c>
      <c r="U158">
        <f t="shared" si="6"/>
        <v>101</v>
      </c>
      <c r="V158">
        <v>16</v>
      </c>
    </row>
    <row r="159" spans="20:22">
      <c r="T159" t="str">
        <v>星盘顶级道具防1</v>
      </c>
      <c r="U159">
        <f t="shared" si="6"/>
        <v>1038</v>
      </c>
      <c r="V159">
        <v>3</v>
      </c>
    </row>
    <row r="160" spans="20:22">
      <c r="T160" t="str">
        <v>金币</v>
      </c>
      <c r="U160">
        <f t="shared" si="6"/>
        <v>1</v>
      </c>
      <c r="V160">
        <v>25000</v>
      </c>
    </row>
    <row r="161" spans="19:22">
      <c r="T161" t="str">
        <v>角色经验中</v>
      </c>
      <c r="U161">
        <f t="shared" si="6"/>
        <v>101</v>
      </c>
      <c r="V161">
        <v>16</v>
      </c>
    </row>
    <row r="162" spans="19:22">
      <c r="T162" t="str">
        <v>星盘顶级道具防2</v>
      </c>
      <c r="U162">
        <f t="shared" si="6"/>
        <v>1041</v>
      </c>
      <c r="V162">
        <v>3</v>
      </c>
    </row>
    <row r="163" spans="19:22">
      <c r="T163" t="str">
        <v>金币</v>
      </c>
      <c r="U163">
        <f t="shared" si="6"/>
        <v>1</v>
      </c>
      <c r="V163">
        <v>25000</v>
      </c>
    </row>
    <row r="164" spans="19:22">
      <c r="T164" t="str">
        <v>角色经验中</v>
      </c>
      <c r="U164">
        <f t="shared" si="6"/>
        <v>101</v>
      </c>
      <c r="V164">
        <v>16</v>
      </c>
    </row>
    <row r="165" spans="19:22">
      <c r="T165" t="str">
        <v>星盘顶级道具辅1</v>
      </c>
      <c r="U165">
        <f t="shared" si="6"/>
        <v>1039</v>
      </c>
      <c r="V165">
        <v>3</v>
      </c>
    </row>
    <row r="166" spans="19:22">
      <c r="T166" t="str">
        <v>金币</v>
      </c>
      <c r="U166">
        <f t="shared" si="6"/>
        <v>1</v>
      </c>
      <c r="V166">
        <v>50000</v>
      </c>
    </row>
    <row r="167" spans="19:22">
      <c r="T167" t="str">
        <v>角色经验中</v>
      </c>
      <c r="U167">
        <f t="shared" si="6"/>
        <v>101</v>
      </c>
      <c r="V167">
        <v>24</v>
      </c>
    </row>
    <row r="168" spans="19:22">
      <c r="T168" t="str">
        <v>星盘顶级道具辅2</v>
      </c>
      <c r="U168">
        <f t="shared" si="6"/>
        <v>1042</v>
      </c>
      <c r="V168">
        <v>3</v>
      </c>
    </row>
    <row r="169" spans="19:22">
      <c r="S169"/>
    </row>
    <row r="170" spans="19:22">
      <c r="S170"/>
    </row>
    <row r="171" spans="19:22">
      <c r="S171"/>
    </row>
    <row r="172" spans="19:22">
      <c r="S172"/>
    </row>
    <row r="173" spans="19:22">
      <c r="S173"/>
    </row>
    <row r="174" spans="19:22">
      <c r="S174"/>
    </row>
    <row r="175" spans="19:22">
      <c r="S175"/>
    </row>
    <row r="176" spans="19:22">
      <c r="S176"/>
    </row>
    <row r="177" spans="19:19">
      <c r="S177"/>
    </row>
    <row r="178" spans="19:19">
      <c r="S178"/>
    </row>
    <row r="179" spans="19:19">
      <c r="S179"/>
    </row>
    <row r="180" spans="19:19">
      <c r="S180"/>
    </row>
    <row r="181" spans="19:19">
      <c r="S181"/>
    </row>
    <row r="182" spans="19:19">
      <c r="S182"/>
    </row>
    <row r="183" spans="19:19">
      <c r="S183"/>
    </row>
    <row r="184" spans="19:19">
      <c r="S184"/>
    </row>
    <row r="185" spans="19:19">
      <c r="S185"/>
    </row>
    <row r="186" spans="19:19">
      <c r="S186"/>
    </row>
    <row r="187" spans="19:19">
      <c r="S187"/>
    </row>
    <row r="188" spans="19:19">
      <c r="S188"/>
    </row>
    <row r="189" spans="19:19">
      <c r="S189"/>
    </row>
    <row r="190" spans="19:19">
      <c r="S190"/>
    </row>
    <row r="191" spans="19:19">
      <c r="S191"/>
    </row>
    <row r="192" spans="19:19">
      <c r="S192"/>
    </row>
    <row r="193" spans="19:19">
      <c r="S193"/>
    </row>
    <row r="194" spans="19:19">
      <c r="S194"/>
    </row>
    <row r="195" spans="19:19">
      <c r="S195"/>
    </row>
    <row r="196" spans="19:19">
      <c r="S196"/>
    </row>
    <row r="197" spans="19:19">
      <c r="S197"/>
    </row>
    <row r="198" spans="19:19">
      <c r="S198"/>
    </row>
    <row r="199" spans="19:19">
      <c r="S199"/>
    </row>
    <row r="200" spans="19:19">
      <c r="S200"/>
    </row>
    <row r="201" spans="19:19">
      <c r="S201"/>
    </row>
    <row r="202" spans="19:19">
      <c r="S202"/>
    </row>
    <row r="203" spans="19:19">
      <c r="S203"/>
    </row>
    <row r="204" spans="19:19">
      <c r="S204"/>
    </row>
    <row r="205" spans="19:19">
      <c r="S205"/>
    </row>
    <row r="206" spans="19:19">
      <c r="S206"/>
    </row>
    <row r="207" spans="19:19">
      <c r="S207"/>
    </row>
    <row r="208" spans="19:19">
      <c r="S208"/>
    </row>
    <row r="209" spans="19:19">
      <c r="S209"/>
    </row>
    <row r="210" spans="19:19">
      <c r="S210"/>
    </row>
    <row r="211" spans="19:19">
      <c r="S211"/>
    </row>
    <row r="212" spans="19:19">
      <c r="S212"/>
    </row>
    <row r="213" spans="19:19">
      <c r="S213"/>
    </row>
    <row r="214" spans="19:19">
      <c r="S214"/>
    </row>
    <row r="215" spans="19:19">
      <c r="S215"/>
    </row>
    <row r="216" spans="19:19">
      <c r="S216"/>
    </row>
    <row r="217" spans="19:19">
      <c r="S217"/>
    </row>
    <row r="218" spans="19:19">
      <c r="S218"/>
    </row>
    <row r="219" spans="19:19">
      <c r="S219"/>
    </row>
    <row r="220" spans="19:19">
      <c r="S220"/>
    </row>
    <row r="221" spans="19:19">
      <c r="S221"/>
    </row>
    <row r="222" spans="19:19">
      <c r="S222"/>
    </row>
    <row r="223" spans="19:19">
      <c r="S223"/>
    </row>
    <row r="224" spans="19:19">
      <c r="S224"/>
    </row>
    <row r="225" spans="19:19">
      <c r="S225"/>
    </row>
    <row r="226" spans="19:19">
      <c r="S226"/>
    </row>
    <row r="227" spans="19:19">
      <c r="S227"/>
    </row>
    <row r="228" spans="19:19">
      <c r="S228"/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2:AN22"/>
  <sheetViews>
    <sheetView showGridLines="0" topLeftCell="A3" workbookViewId="0">
      <selection activeCell="N3" sqref="N3"/>
    </sheetView>
  </sheetViews>
  <sheetFormatPr defaultColWidth="9" defaultRowHeight="13.5"/>
  <cols>
    <col min="1" max="2" width="8" style="14" customWidth="1"/>
    <col min="3" max="3" width="14" style="14" customWidth="1"/>
    <col min="4" max="4" width="18" style="14" customWidth="1"/>
    <col min="5" max="5" width="12" style="14" customWidth="1"/>
    <col min="6" max="6" width="10" style="14" customWidth="1"/>
    <col min="7" max="7" width="16" style="14" customWidth="1"/>
    <col min="8" max="14" width="10" style="14" customWidth="1"/>
    <col min="15" max="15" width="18" style="14" customWidth="1"/>
    <col min="16" max="21" width="12" style="14" customWidth="1"/>
    <col min="22" max="23" width="14" style="14" customWidth="1"/>
    <col min="24" max="24" width="18" style="14" customWidth="1"/>
    <col min="25" max="27" width="16" style="14" customWidth="1"/>
    <col min="28" max="29" width="18" style="14" customWidth="1"/>
    <col min="30" max="30" width="9" style="14" customWidth="1"/>
    <col min="31" max="31" width="10" style="14" customWidth="1"/>
    <col min="32" max="32" width="8" style="14" customWidth="1"/>
    <col min="33" max="33" width="18" style="14" customWidth="1"/>
    <col min="34" max="34" width="9" style="14" customWidth="1"/>
    <col min="35" max="35" width="18" style="14" customWidth="1"/>
    <col min="36" max="36" width="9" style="14" customWidth="1"/>
    <col min="37" max="37" width="14" style="14" customWidth="1"/>
    <col min="38" max="38" width="9" style="14" customWidth="1"/>
    <col min="39" max="39" width="18" style="14" customWidth="1"/>
    <col min="40" max="40" width="36" style="14" customWidth="1"/>
    <col min="41" max="16384" width="9" style="14" customWidth="1"/>
  </cols>
  <sheetData>
    <row r="2" ht="33" customHeight="1" spans="1:40">
      <c r="B2" s="102" t="s">
        <v>2455</v>
      </c>
      <c r="C2" s="102"/>
      <c r="D2" s="103">
        <v>5</v>
      </c>
      <c r="AE2" s="104" t="s">
        <v>2456</v>
      </c>
      <c r="AF2" s="105"/>
      <c r="AG2" s="105"/>
      <c r="AH2" s="105"/>
      <c r="AI2" s="105"/>
      <c r="AJ2" s="105"/>
      <c r="AK2" s="105"/>
      <c r="AL2" s="105"/>
      <c r="AM2" s="105"/>
      <c r="AN2" s="105"/>
    </row>
    <row r="3" ht="148.5" customHeight="1" spans="1:40">
      <c r="B3" s="102" t="s">
        <v>2457</v>
      </c>
      <c r="D3" s="103">
        <v>3</v>
      </c>
      <c r="AE3" s="104" t="s">
        <v>2458</v>
      </c>
      <c r="AF3" s="105" t="s">
        <v>2459</v>
      </c>
      <c r="AG3" s="105"/>
      <c r="AH3" s="105"/>
      <c r="AI3" s="105"/>
      <c r="AJ3" s="105"/>
      <c r="AK3" s="105"/>
      <c r="AL3" s="105"/>
      <c r="AM3" s="105"/>
      <c r="AN3" s="105"/>
    </row>
    <row r="4" spans="1:40">
      <c r="B4" s="102" t="s">
        <v>2460</v>
      </c>
      <c r="D4" s="103">
        <v>30</v>
      </c>
      <c r="AE4" s="105"/>
      <c r="AF4" s="105"/>
      <c r="AG4" s="105"/>
      <c r="AH4" s="105"/>
      <c r="AI4" s="105"/>
      <c r="AJ4" s="105"/>
      <c r="AK4" s="105"/>
      <c r="AL4" s="105"/>
      <c r="AM4" s="105"/>
      <c r="AN4" s="105"/>
    </row>
    <row r="5" spans="1:40">
      <c r="AE5" s="105"/>
      <c r="AF5" s="105"/>
      <c r="AG5" s="105"/>
      <c r="AH5" s="105"/>
      <c r="AI5" s="105"/>
      <c r="AJ5" s="105"/>
      <c r="AK5" s="105"/>
      <c r="AL5" s="105"/>
      <c r="AM5" s="105"/>
      <c r="AN5" s="105"/>
    </row>
    <row r="6" spans="1:40">
      <c r="AE6" s="105"/>
      <c r="AF6" s="105"/>
      <c r="AG6" s="105"/>
      <c r="AH6" s="105"/>
      <c r="AI6" s="105"/>
      <c r="AJ6" s="105"/>
      <c r="AK6" s="105"/>
      <c r="AL6" s="105"/>
      <c r="AM6" s="105"/>
      <c r="AN6" s="105"/>
    </row>
    <row r="7" ht="15" customHeight="1" spans="1:40">
      <c r="A7" s="92" t="s">
        <v>2388</v>
      </c>
      <c r="B7" s="92" t="s">
        <v>2389</v>
      </c>
      <c r="C7" s="92" t="s">
        <v>2461</v>
      </c>
      <c r="D7" s="92" t="s">
        <v>2462</v>
      </c>
      <c r="E7" s="92" t="s">
        <v>2463</v>
      </c>
      <c r="F7" s="92" t="s">
        <v>2464</v>
      </c>
      <c r="G7" s="92" t="s">
        <v>2465</v>
      </c>
      <c r="H7" s="92" t="s">
        <v>2390</v>
      </c>
      <c r="I7" s="92" t="s">
        <v>602</v>
      </c>
      <c r="J7" s="92" t="s">
        <v>2466</v>
      </c>
      <c r="K7" s="92" t="s">
        <v>2467</v>
      </c>
      <c r="L7" s="92" t="s">
        <v>2468</v>
      </c>
      <c r="M7" s="92" t="s">
        <v>2469</v>
      </c>
      <c r="N7" s="92" t="s">
        <v>2470</v>
      </c>
      <c r="O7" s="92" t="s">
        <v>2471</v>
      </c>
      <c r="P7" s="92" t="s">
        <v>2472</v>
      </c>
      <c r="Q7" s="92" t="s">
        <v>2473</v>
      </c>
      <c r="R7" s="92" t="s">
        <v>2474</v>
      </c>
      <c r="S7" s="92" t="s">
        <v>2475</v>
      </c>
      <c r="T7" s="92" t="s">
        <v>2476</v>
      </c>
      <c r="U7" s="92" t="s">
        <v>2477</v>
      </c>
      <c r="V7" s="92" t="s">
        <v>2478</v>
      </c>
      <c r="W7" s="92" t="s">
        <v>2479</v>
      </c>
      <c r="X7" s="92" t="s">
        <v>2480</v>
      </c>
      <c r="Y7" s="92" t="s">
        <v>2481</v>
      </c>
      <c r="Z7" s="92" t="s">
        <v>2482</v>
      </c>
      <c r="AA7" s="92" t="s">
        <v>2483</v>
      </c>
      <c r="AB7" s="92" t="s">
        <v>2484</v>
      </c>
      <c r="AC7" s="92" t="s">
        <v>574</v>
      </c>
      <c r="AE7" s="106" t="s">
        <v>2388</v>
      </c>
      <c r="AF7" s="107" t="s">
        <v>1154</v>
      </c>
      <c r="AG7" s="106" t="s">
        <v>1740</v>
      </c>
      <c r="AH7" s="106" t="s">
        <v>1123</v>
      </c>
      <c r="AI7" s="106" t="s">
        <v>1444</v>
      </c>
      <c r="AJ7" s="106" t="s">
        <v>1125</v>
      </c>
      <c r="AK7" s="106" t="s">
        <v>2405</v>
      </c>
      <c r="AL7" s="106" t="s">
        <v>1127</v>
      </c>
      <c r="AM7" s="105"/>
      <c r="AN7" s="105"/>
    </row>
    <row r="8" ht="30" customHeight="1" spans="1:40">
      <c r="A8" s="98">
        <v>2</v>
      </c>
      <c r="B8" s="98">
        <v>1</v>
      </c>
      <c r="C8" s="98">
        <v>200201</v>
      </c>
      <c r="D8" s="98" t="s">
        <v>2485</v>
      </c>
      <c r="E8" s="98" t="s">
        <v>2486</v>
      </c>
      <c r="F8" s="98" t="s">
        <v>1144</v>
      </c>
      <c r="G8" s="98" t="s">
        <v>1132</v>
      </c>
      <c r="H8" s="98">
        <v>20</v>
      </c>
      <c r="I8" s="98">
        <v>200</v>
      </c>
      <c r="J8" s="108">
        <v>4</v>
      </c>
      <c r="K8" s="108">
        <v>0.5</v>
      </c>
      <c r="L8" s="108">
        <v>0.5</v>
      </c>
      <c r="M8" s="108">
        <v>0</v>
      </c>
      <c r="N8" s="108">
        <v>0</v>
      </c>
      <c r="O8" s="99" t="s">
        <v>2487</v>
      </c>
      <c r="P8" s="99">
        <v>81101</v>
      </c>
      <c r="Q8" s="99">
        <v>81102</v>
      </c>
      <c r="R8" s="99">
        <v>81103</v>
      </c>
      <c r="S8" s="99">
        <v>81104</v>
      </c>
      <c r="T8" s="109">
        <v>2</v>
      </c>
      <c r="U8" s="109">
        <v>2</v>
      </c>
      <c r="V8" s="110">
        <f t="shared" ref="V8:V22" si="0">J8*(K8+L8*3+M8*9+N8*27)</f>
        <v>8</v>
      </c>
      <c r="W8" s="110">
        <f t="shared" ref="W8:W22" si="1">U8*POWER(3,T8-1)</f>
        <v>6</v>
      </c>
      <c r="X8" s="110">
        <f t="shared" ref="X8:X22" si="2">V8*10</f>
        <v>80</v>
      </c>
      <c r="Y8" s="110">
        <f t="shared" ref="Y8:Y22" si="3">X8*5</f>
        <v>400</v>
      </c>
      <c r="Z8" s="110">
        <f t="shared" ref="Z8:Z22" si="4">H8*4</f>
        <v>80</v>
      </c>
      <c r="AA8" s="111">
        <f t="shared" ref="AA8:AA22" si="5">X8/Z8-1</f>
        <v>0</v>
      </c>
      <c r="AB8" s="110">
        <f t="shared" ref="AB8:AB22" si="6">W8*IF(F8="稀有",30,10)</f>
        <v>60</v>
      </c>
      <c r="AC8" s="110">
        <v>50</v>
      </c>
      <c r="AE8" s="112">
        <v>2</v>
      </c>
      <c r="AF8" s="113">
        <v>5</v>
      </c>
      <c r="AG8" s="114" t="s">
        <v>8</v>
      </c>
      <c r="AH8" s="114">
        <v>1</v>
      </c>
      <c r="AI8" s="114" t="s">
        <v>731</v>
      </c>
      <c r="AJ8" s="114">
        <v>2</v>
      </c>
      <c r="AK8" s="114" t="s">
        <v>2448</v>
      </c>
      <c r="AL8" s="114">
        <v>1</v>
      </c>
      <c r="AM8" s="105"/>
      <c r="AN8" s="105"/>
    </row>
    <row r="9" ht="30" customHeight="1" spans="1:40">
      <c r="A9" s="98">
        <v>2</v>
      </c>
      <c r="B9" s="98">
        <v>2</v>
      </c>
      <c r="C9" s="98">
        <v>200202</v>
      </c>
      <c r="D9" s="98" t="s">
        <v>2488</v>
      </c>
      <c r="E9" s="98" t="s">
        <v>2489</v>
      </c>
      <c r="F9" s="98" t="s">
        <v>1144</v>
      </c>
      <c r="G9" s="98" t="s">
        <v>1132</v>
      </c>
      <c r="H9" s="98">
        <v>20</v>
      </c>
      <c r="I9" s="98">
        <v>200</v>
      </c>
      <c r="J9" s="108">
        <v>4</v>
      </c>
      <c r="K9" s="108">
        <v>0.5</v>
      </c>
      <c r="L9" s="108">
        <v>0.5</v>
      </c>
      <c r="M9" s="108">
        <v>0</v>
      </c>
      <c r="N9" s="108">
        <v>0</v>
      </c>
      <c r="O9" s="99" t="s">
        <v>2487</v>
      </c>
      <c r="P9" s="99">
        <v>81201</v>
      </c>
      <c r="Q9" s="99">
        <v>81202</v>
      </c>
      <c r="R9" s="99">
        <v>81203</v>
      </c>
      <c r="S9" s="99">
        <v>81204</v>
      </c>
      <c r="T9" s="109">
        <v>2</v>
      </c>
      <c r="U9" s="109">
        <v>2</v>
      </c>
      <c r="V9" s="110">
        <f t="shared" si="0"/>
        <v>8</v>
      </c>
      <c r="W9" s="110">
        <f t="shared" si="1"/>
        <v>6</v>
      </c>
      <c r="X9" s="110">
        <f t="shared" si="2"/>
        <v>80</v>
      </c>
      <c r="Y9" s="110">
        <f t="shared" si="3"/>
        <v>400</v>
      </c>
      <c r="Z9" s="110">
        <f t="shared" si="4"/>
        <v>80</v>
      </c>
      <c r="AA9" s="111">
        <f t="shared" si="5"/>
        <v>0</v>
      </c>
      <c r="AB9" s="110">
        <f t="shared" si="6"/>
        <v>60</v>
      </c>
      <c r="AC9" s="110">
        <v>50</v>
      </c>
      <c r="AE9" s="112">
        <v>2</v>
      </c>
      <c r="AF9" s="113">
        <v>10</v>
      </c>
      <c r="AG9" s="114" t="s">
        <v>8</v>
      </c>
      <c r="AH9" s="114">
        <v>1</v>
      </c>
      <c r="AI9" s="114" t="s">
        <v>731</v>
      </c>
      <c r="AJ9" s="114">
        <v>3</v>
      </c>
      <c r="AK9" s="114" t="s">
        <v>2449</v>
      </c>
      <c r="AL9" s="114">
        <v>1</v>
      </c>
      <c r="AM9" s="105"/>
      <c r="AN9" s="105"/>
    </row>
    <row r="10" ht="30" customHeight="1" spans="1:40">
      <c r="A10" s="98">
        <v>2</v>
      </c>
      <c r="B10" s="98">
        <v>3</v>
      </c>
      <c r="C10" s="98">
        <v>200203</v>
      </c>
      <c r="D10" s="98" t="s">
        <v>2490</v>
      </c>
      <c r="E10" s="98" t="s">
        <v>2491</v>
      </c>
      <c r="F10" s="98" t="s">
        <v>1144</v>
      </c>
      <c r="G10" s="98" t="s">
        <v>1133</v>
      </c>
      <c r="H10" s="98">
        <v>20</v>
      </c>
      <c r="I10" s="98">
        <v>200</v>
      </c>
      <c r="J10" s="108">
        <v>4</v>
      </c>
      <c r="K10" s="108">
        <v>0.5</v>
      </c>
      <c r="L10" s="108">
        <v>0.5</v>
      </c>
      <c r="M10" s="108">
        <v>0</v>
      </c>
      <c r="N10" s="108">
        <v>0</v>
      </c>
      <c r="O10" s="99" t="s">
        <v>2487</v>
      </c>
      <c r="P10" s="99">
        <v>81301</v>
      </c>
      <c r="Q10" s="99">
        <v>81302</v>
      </c>
      <c r="R10" s="99">
        <v>81303</v>
      </c>
      <c r="S10" s="99">
        <v>81304</v>
      </c>
      <c r="T10" s="109">
        <v>2</v>
      </c>
      <c r="U10" s="109">
        <v>2</v>
      </c>
      <c r="V10" s="110">
        <f t="shared" si="0"/>
        <v>8</v>
      </c>
      <c r="W10" s="110">
        <f t="shared" si="1"/>
        <v>6</v>
      </c>
      <c r="X10" s="110">
        <f t="shared" si="2"/>
        <v>80</v>
      </c>
      <c r="Y10" s="110">
        <f t="shared" si="3"/>
        <v>400</v>
      </c>
      <c r="Z10" s="110">
        <f t="shared" si="4"/>
        <v>80</v>
      </c>
      <c r="AA10" s="111">
        <f t="shared" si="5"/>
        <v>0</v>
      </c>
      <c r="AB10" s="110">
        <f t="shared" si="6"/>
        <v>60</v>
      </c>
      <c r="AC10" s="110">
        <v>50</v>
      </c>
      <c r="AE10" s="112">
        <v>2</v>
      </c>
      <c r="AF10" s="113">
        <v>15</v>
      </c>
      <c r="AG10" s="114" t="s">
        <v>8</v>
      </c>
      <c r="AH10" s="114">
        <v>3</v>
      </c>
      <c r="AI10" s="114" t="s">
        <v>731</v>
      </c>
      <c r="AJ10" s="114">
        <v>5</v>
      </c>
      <c r="AK10" s="114" t="s">
        <v>2454</v>
      </c>
      <c r="AL10" s="114">
        <v>1</v>
      </c>
      <c r="AM10" s="105"/>
      <c r="AN10" s="105"/>
    </row>
    <row r="11" ht="30" customHeight="1" spans="1:40">
      <c r="A11" s="98">
        <v>2</v>
      </c>
      <c r="B11" s="98">
        <v>4</v>
      </c>
      <c r="C11" s="98">
        <v>200204</v>
      </c>
      <c r="D11" s="98" t="s">
        <v>2492</v>
      </c>
      <c r="E11" s="98" t="s">
        <v>2493</v>
      </c>
      <c r="F11" s="98" t="s">
        <v>1144</v>
      </c>
      <c r="G11" s="98" t="s">
        <v>2494</v>
      </c>
      <c r="H11" s="98">
        <v>20</v>
      </c>
      <c r="I11" s="98">
        <v>200</v>
      </c>
      <c r="J11" s="108">
        <v>4</v>
      </c>
      <c r="K11" s="108">
        <v>0.5</v>
      </c>
      <c r="L11" s="108">
        <v>0.5</v>
      </c>
      <c r="M11" s="108">
        <v>0</v>
      </c>
      <c r="N11" s="108">
        <v>0</v>
      </c>
      <c r="O11" s="99" t="s">
        <v>2487</v>
      </c>
      <c r="P11" s="99">
        <v>81401</v>
      </c>
      <c r="Q11" s="99">
        <v>81402</v>
      </c>
      <c r="R11" s="99">
        <v>81403</v>
      </c>
      <c r="S11" s="99">
        <v>81404</v>
      </c>
      <c r="T11" s="109">
        <v>2</v>
      </c>
      <c r="U11" s="109">
        <v>2</v>
      </c>
      <c r="V11" s="110">
        <f t="shared" si="0"/>
        <v>8</v>
      </c>
      <c r="W11" s="110">
        <f t="shared" si="1"/>
        <v>6</v>
      </c>
      <c r="X11" s="110">
        <f t="shared" si="2"/>
        <v>80</v>
      </c>
      <c r="Y11" s="110">
        <f t="shared" si="3"/>
        <v>400</v>
      </c>
      <c r="Z11" s="110">
        <f t="shared" si="4"/>
        <v>80</v>
      </c>
      <c r="AA11" s="111">
        <f t="shared" si="5"/>
        <v>0</v>
      </c>
      <c r="AB11" s="110">
        <f t="shared" si="6"/>
        <v>60</v>
      </c>
      <c r="AC11" s="110">
        <v>50</v>
      </c>
      <c r="AE11" s="112">
        <v>3</v>
      </c>
      <c r="AF11" s="113">
        <v>5</v>
      </c>
      <c r="AG11" s="114" t="s">
        <v>8</v>
      </c>
      <c r="AH11" s="114">
        <v>1</v>
      </c>
      <c r="AI11" s="114" t="s">
        <v>731</v>
      </c>
      <c r="AJ11" s="114">
        <v>2</v>
      </c>
      <c r="AK11" s="114" t="s">
        <v>2450</v>
      </c>
      <c r="AL11" s="114">
        <v>1</v>
      </c>
      <c r="AM11" s="105"/>
      <c r="AN11" s="105"/>
    </row>
    <row r="12" ht="30" customHeight="1" spans="1:40">
      <c r="A12" s="98">
        <v>2</v>
      </c>
      <c r="B12" s="98">
        <v>5</v>
      </c>
      <c r="C12" s="98">
        <v>200205</v>
      </c>
      <c r="D12" s="98" t="s">
        <v>2495</v>
      </c>
      <c r="E12" s="98" t="s">
        <v>2496</v>
      </c>
      <c r="F12" s="98" t="s">
        <v>1144</v>
      </c>
      <c r="G12" s="98" t="s">
        <v>2497</v>
      </c>
      <c r="H12" s="98">
        <v>20</v>
      </c>
      <c r="I12" s="98">
        <v>200</v>
      </c>
      <c r="J12" s="108">
        <v>4</v>
      </c>
      <c r="K12" s="108">
        <v>0.5</v>
      </c>
      <c r="L12" s="108">
        <v>0.5</v>
      </c>
      <c r="M12" s="108">
        <v>0</v>
      </c>
      <c r="N12" s="108">
        <v>0</v>
      </c>
      <c r="O12" s="99" t="s">
        <v>2487</v>
      </c>
      <c r="P12" s="99">
        <v>81501</v>
      </c>
      <c r="Q12" s="99">
        <v>81502</v>
      </c>
      <c r="R12" s="99">
        <v>81503</v>
      </c>
      <c r="S12" s="99">
        <v>81504</v>
      </c>
      <c r="T12" s="109">
        <v>2</v>
      </c>
      <c r="U12" s="109">
        <v>3</v>
      </c>
      <c r="V12" s="110">
        <f t="shared" si="0"/>
        <v>8</v>
      </c>
      <c r="W12" s="110">
        <f t="shared" si="1"/>
        <v>9</v>
      </c>
      <c r="X12" s="110">
        <f t="shared" si="2"/>
        <v>80</v>
      </c>
      <c r="Y12" s="110">
        <f t="shared" si="3"/>
        <v>400</v>
      </c>
      <c r="Z12" s="110">
        <f t="shared" si="4"/>
        <v>80</v>
      </c>
      <c r="AA12" s="111">
        <f t="shared" si="5"/>
        <v>0</v>
      </c>
      <c r="AB12" s="110">
        <f t="shared" si="6"/>
        <v>90</v>
      </c>
      <c r="AC12" s="110">
        <v>50</v>
      </c>
      <c r="AE12" s="112">
        <v>3</v>
      </c>
      <c r="AF12" s="113">
        <v>10</v>
      </c>
      <c r="AG12" s="114" t="s">
        <v>8</v>
      </c>
      <c r="AH12" s="114">
        <v>1</v>
      </c>
      <c r="AI12" s="114" t="s">
        <v>731</v>
      </c>
      <c r="AJ12" s="114">
        <v>3</v>
      </c>
      <c r="AK12" s="114" t="s">
        <v>2451</v>
      </c>
      <c r="AL12" s="114">
        <v>1</v>
      </c>
      <c r="AM12" s="105"/>
      <c r="AN12" s="105"/>
    </row>
    <row r="13" ht="30" customHeight="1" spans="1:40">
      <c r="A13" s="98">
        <v>3</v>
      </c>
      <c r="B13" s="98">
        <v>1</v>
      </c>
      <c r="C13" s="98">
        <v>200301</v>
      </c>
      <c r="D13" s="98" t="s">
        <v>2498</v>
      </c>
      <c r="E13" s="98" t="s">
        <v>2499</v>
      </c>
      <c r="F13" s="98" t="s">
        <v>1144</v>
      </c>
      <c r="G13" s="98" t="s">
        <v>2500</v>
      </c>
      <c r="H13" s="98">
        <v>20</v>
      </c>
      <c r="I13" s="98">
        <v>200</v>
      </c>
      <c r="J13" s="108">
        <v>4</v>
      </c>
      <c r="K13" s="108">
        <v>0.5</v>
      </c>
      <c r="L13" s="108">
        <v>0.5</v>
      </c>
      <c r="M13" s="108">
        <v>0</v>
      </c>
      <c r="N13" s="108">
        <v>0</v>
      </c>
      <c r="O13" s="99" t="s">
        <v>2487</v>
      </c>
      <c r="P13" s="99">
        <v>81601</v>
      </c>
      <c r="Q13" s="99">
        <v>81602</v>
      </c>
      <c r="R13" s="99">
        <v>81603</v>
      </c>
      <c r="S13" s="99">
        <v>81604</v>
      </c>
      <c r="T13" s="109">
        <v>2</v>
      </c>
      <c r="U13" s="109">
        <v>3</v>
      </c>
      <c r="V13" s="110">
        <f t="shared" si="0"/>
        <v>8</v>
      </c>
      <c r="W13" s="110">
        <f t="shared" si="1"/>
        <v>9</v>
      </c>
      <c r="X13" s="110">
        <f t="shared" si="2"/>
        <v>80</v>
      </c>
      <c r="Y13" s="110">
        <f t="shared" si="3"/>
        <v>400</v>
      </c>
      <c r="Z13" s="110">
        <f t="shared" si="4"/>
        <v>80</v>
      </c>
      <c r="AA13" s="111">
        <f t="shared" si="5"/>
        <v>0</v>
      </c>
      <c r="AB13" s="110">
        <f t="shared" si="6"/>
        <v>90</v>
      </c>
      <c r="AC13" s="110">
        <v>50</v>
      </c>
      <c r="AE13" s="112">
        <v>3</v>
      </c>
      <c r="AF13" s="113">
        <v>15</v>
      </c>
      <c r="AG13" s="114" t="s">
        <v>8</v>
      </c>
      <c r="AH13" s="114">
        <v>3</v>
      </c>
      <c r="AI13" s="114" t="s">
        <v>731</v>
      </c>
      <c r="AJ13" s="114">
        <v>5</v>
      </c>
      <c r="AK13" s="114" t="s">
        <v>2454</v>
      </c>
      <c r="AL13" s="114">
        <v>1</v>
      </c>
      <c r="AM13" s="105"/>
      <c r="AN13" s="105"/>
    </row>
    <row r="14" ht="30" customHeight="1" spans="1:40">
      <c r="A14" s="98">
        <v>3</v>
      </c>
      <c r="B14" s="98">
        <v>2</v>
      </c>
      <c r="C14" s="98">
        <v>200302</v>
      </c>
      <c r="D14" s="98" t="s">
        <v>2501</v>
      </c>
      <c r="E14" s="98" t="s">
        <v>2486</v>
      </c>
      <c r="F14" s="98" t="s">
        <v>1144</v>
      </c>
      <c r="G14" s="98" t="s">
        <v>1132</v>
      </c>
      <c r="H14" s="98">
        <v>20</v>
      </c>
      <c r="I14" s="98">
        <v>200</v>
      </c>
      <c r="J14" s="108">
        <v>4</v>
      </c>
      <c r="K14" s="108">
        <v>0.4</v>
      </c>
      <c r="L14" s="108">
        <v>0.6</v>
      </c>
      <c r="M14" s="108">
        <v>0</v>
      </c>
      <c r="N14" s="108">
        <v>0</v>
      </c>
      <c r="O14" s="99" t="s">
        <v>2502</v>
      </c>
      <c r="P14" s="99">
        <v>81101</v>
      </c>
      <c r="Q14" s="99">
        <v>81102</v>
      </c>
      <c r="R14" s="99">
        <v>81103</v>
      </c>
      <c r="S14" s="99">
        <v>81104</v>
      </c>
      <c r="T14" s="109">
        <v>2</v>
      </c>
      <c r="U14" s="109">
        <v>3</v>
      </c>
      <c r="V14" s="110">
        <f t="shared" si="0"/>
        <v>8.8</v>
      </c>
      <c r="W14" s="110">
        <f t="shared" si="1"/>
        <v>9</v>
      </c>
      <c r="X14" s="110">
        <f t="shared" si="2"/>
        <v>88</v>
      </c>
      <c r="Y14" s="110">
        <f t="shared" si="3"/>
        <v>440</v>
      </c>
      <c r="Z14" s="110">
        <f t="shared" si="4"/>
        <v>80</v>
      </c>
      <c r="AA14" s="111">
        <f t="shared" si="5"/>
        <v>0.0999999999999999</v>
      </c>
      <c r="AB14" s="110">
        <f t="shared" si="6"/>
        <v>90</v>
      </c>
      <c r="AC14" s="110">
        <v>50</v>
      </c>
      <c r="AE14" s="112">
        <v>4</v>
      </c>
      <c r="AF14" s="113">
        <v>5</v>
      </c>
      <c r="AG14" s="114" t="s">
        <v>8</v>
      </c>
      <c r="AH14" s="114">
        <v>1</v>
      </c>
      <c r="AI14" s="114" t="s">
        <v>731</v>
      </c>
      <c r="AJ14" s="114">
        <v>2</v>
      </c>
      <c r="AK14" s="114" t="s">
        <v>2452</v>
      </c>
      <c r="AL14" s="114">
        <v>1</v>
      </c>
      <c r="AM14" s="105"/>
      <c r="AN14" s="105"/>
    </row>
    <row r="15" ht="30" customHeight="1" spans="1:40">
      <c r="A15" s="98">
        <v>3</v>
      </c>
      <c r="B15" s="98">
        <v>3</v>
      </c>
      <c r="C15" s="98">
        <v>200303</v>
      </c>
      <c r="D15" s="98" t="s">
        <v>2503</v>
      </c>
      <c r="E15" s="98" t="s">
        <v>2489</v>
      </c>
      <c r="F15" s="98" t="s">
        <v>1144</v>
      </c>
      <c r="G15" s="98" t="s">
        <v>1132</v>
      </c>
      <c r="H15" s="98">
        <v>20</v>
      </c>
      <c r="I15" s="98">
        <v>200</v>
      </c>
      <c r="J15" s="108">
        <v>4</v>
      </c>
      <c r="K15" s="108">
        <v>0.4</v>
      </c>
      <c r="L15" s="108">
        <v>0.6</v>
      </c>
      <c r="M15" s="108">
        <v>0</v>
      </c>
      <c r="N15" s="108">
        <v>0</v>
      </c>
      <c r="O15" s="99" t="s">
        <v>2502</v>
      </c>
      <c r="P15" s="99">
        <v>81201</v>
      </c>
      <c r="Q15" s="99">
        <v>81202</v>
      </c>
      <c r="R15" s="99">
        <v>81203</v>
      </c>
      <c r="S15" s="99">
        <v>81204</v>
      </c>
      <c r="T15" s="109">
        <v>2</v>
      </c>
      <c r="U15" s="109">
        <v>3</v>
      </c>
      <c r="V15" s="110">
        <f t="shared" si="0"/>
        <v>8.8</v>
      </c>
      <c r="W15" s="110">
        <f t="shared" si="1"/>
        <v>9</v>
      </c>
      <c r="X15" s="110">
        <f t="shared" si="2"/>
        <v>88</v>
      </c>
      <c r="Y15" s="110">
        <f t="shared" si="3"/>
        <v>440</v>
      </c>
      <c r="Z15" s="110">
        <f t="shared" si="4"/>
        <v>80</v>
      </c>
      <c r="AA15" s="111">
        <f t="shared" si="5"/>
        <v>0.0999999999999999</v>
      </c>
      <c r="AB15" s="110">
        <f t="shared" si="6"/>
        <v>90</v>
      </c>
      <c r="AC15" s="110">
        <v>50</v>
      </c>
      <c r="AE15" s="112">
        <v>4</v>
      </c>
      <c r="AF15" s="113">
        <v>10</v>
      </c>
      <c r="AG15" s="114" t="s">
        <v>8</v>
      </c>
      <c r="AH15" s="114">
        <v>1</v>
      </c>
      <c r="AI15" s="114" t="s">
        <v>731</v>
      </c>
      <c r="AJ15" s="114">
        <v>3</v>
      </c>
      <c r="AK15" s="114" t="s">
        <v>2453</v>
      </c>
      <c r="AL15" s="114">
        <v>1</v>
      </c>
      <c r="AM15" s="105"/>
      <c r="AN15" s="105"/>
    </row>
    <row r="16" ht="30" customHeight="1" spans="1:40">
      <c r="A16" s="98">
        <v>3</v>
      </c>
      <c r="B16" s="98">
        <v>4</v>
      </c>
      <c r="C16" s="98">
        <v>200304</v>
      </c>
      <c r="D16" s="98" t="s">
        <v>2504</v>
      </c>
      <c r="E16" s="98" t="s">
        <v>2493</v>
      </c>
      <c r="F16" s="98" t="s">
        <v>1144</v>
      </c>
      <c r="G16" s="98" t="s">
        <v>2494</v>
      </c>
      <c r="H16" s="98">
        <v>20</v>
      </c>
      <c r="I16" s="98">
        <v>200</v>
      </c>
      <c r="J16" s="108">
        <v>4</v>
      </c>
      <c r="K16" s="108">
        <v>0.4</v>
      </c>
      <c r="L16" s="108">
        <v>0.6</v>
      </c>
      <c r="M16" s="108">
        <v>0</v>
      </c>
      <c r="N16" s="108">
        <v>0</v>
      </c>
      <c r="O16" s="99" t="s">
        <v>2502</v>
      </c>
      <c r="P16" s="99">
        <v>81401</v>
      </c>
      <c r="Q16" s="99">
        <v>81402</v>
      </c>
      <c r="R16" s="99">
        <v>81403</v>
      </c>
      <c r="S16" s="99">
        <v>81404</v>
      </c>
      <c r="T16" s="109">
        <v>2</v>
      </c>
      <c r="U16" s="109">
        <v>3</v>
      </c>
      <c r="V16" s="110">
        <f t="shared" si="0"/>
        <v>8.8</v>
      </c>
      <c r="W16" s="110">
        <f t="shared" si="1"/>
        <v>9</v>
      </c>
      <c r="X16" s="110">
        <f t="shared" si="2"/>
        <v>88</v>
      </c>
      <c r="Y16" s="110">
        <f t="shared" si="3"/>
        <v>440</v>
      </c>
      <c r="Z16" s="110">
        <f t="shared" si="4"/>
        <v>80</v>
      </c>
      <c r="AA16" s="111">
        <f t="shared" si="5"/>
        <v>0.0999999999999999</v>
      </c>
      <c r="AB16" s="110">
        <f t="shared" si="6"/>
        <v>90</v>
      </c>
      <c r="AC16" s="110">
        <v>50</v>
      </c>
      <c r="AE16" s="112">
        <v>4</v>
      </c>
      <c r="AF16" s="113">
        <v>15</v>
      </c>
      <c r="AG16" s="114" t="s">
        <v>8</v>
      </c>
      <c r="AH16" s="114">
        <v>3</v>
      </c>
      <c r="AI16" s="114" t="s">
        <v>731</v>
      </c>
      <c r="AJ16" s="114">
        <v>5</v>
      </c>
      <c r="AK16" s="114" t="s">
        <v>2454</v>
      </c>
      <c r="AL16" s="114">
        <v>1</v>
      </c>
      <c r="AM16" s="105"/>
      <c r="AN16" s="105"/>
    </row>
    <row r="17" ht="33" customHeight="1" spans="1:39">
      <c r="A17" s="98">
        <v>3</v>
      </c>
      <c r="B17" s="98">
        <v>5</v>
      </c>
      <c r="C17" s="98">
        <v>200305</v>
      </c>
      <c r="D17" s="98" t="s">
        <v>2505</v>
      </c>
      <c r="E17" s="115" t="s">
        <v>2506</v>
      </c>
      <c r="F17" s="98" t="s">
        <v>1145</v>
      </c>
      <c r="G17" s="98" t="s">
        <v>2507</v>
      </c>
      <c r="H17" s="98">
        <v>20</v>
      </c>
      <c r="I17" s="98">
        <v>200</v>
      </c>
      <c r="J17" s="108">
        <v>4</v>
      </c>
      <c r="K17" s="108">
        <v>0.65</v>
      </c>
      <c r="L17" s="108">
        <v>0.35</v>
      </c>
      <c r="M17" s="108">
        <v>0</v>
      </c>
      <c r="N17" s="108">
        <v>0</v>
      </c>
      <c r="O17" s="99" t="s">
        <v>2508</v>
      </c>
      <c r="P17" s="99">
        <v>81701</v>
      </c>
      <c r="Q17" s="99">
        <v>81702</v>
      </c>
      <c r="R17" s="99">
        <v>81703</v>
      </c>
      <c r="S17" s="99">
        <v>81704</v>
      </c>
      <c r="T17" s="109">
        <v>2</v>
      </c>
      <c r="U17" s="109">
        <v>2</v>
      </c>
      <c r="V17" s="110">
        <f t="shared" si="0"/>
        <v>6.8</v>
      </c>
      <c r="W17" s="110">
        <f t="shared" si="1"/>
        <v>6</v>
      </c>
      <c r="X17" s="110">
        <f t="shared" si="2"/>
        <v>68</v>
      </c>
      <c r="Y17" s="110">
        <f t="shared" si="3"/>
        <v>340</v>
      </c>
      <c r="Z17" s="110">
        <f t="shared" si="4"/>
        <v>80</v>
      </c>
      <c r="AA17" s="111">
        <f t="shared" si="5"/>
        <v>-0.15</v>
      </c>
      <c r="AB17" s="110">
        <f t="shared" si="6"/>
        <v>180</v>
      </c>
      <c r="AC17" s="110">
        <v>50</v>
      </c>
      <c r="AM17" s="105"/>
    </row>
    <row r="18" ht="16.5" customHeight="1" spans="1:39">
      <c r="A18" s="98">
        <v>4</v>
      </c>
      <c r="B18" s="98">
        <v>1</v>
      </c>
      <c r="C18" s="98">
        <v>200401</v>
      </c>
      <c r="D18" s="98" t="s">
        <v>2509</v>
      </c>
      <c r="E18" s="98" t="s">
        <v>2491</v>
      </c>
      <c r="F18" s="98" t="s">
        <v>1144</v>
      </c>
      <c r="G18" s="98" t="s">
        <v>1133</v>
      </c>
      <c r="H18" s="98">
        <v>20</v>
      </c>
      <c r="I18" s="98">
        <v>200</v>
      </c>
      <c r="J18" s="108">
        <v>4</v>
      </c>
      <c r="K18" s="108">
        <v>0.3</v>
      </c>
      <c r="L18" s="108">
        <v>0.7</v>
      </c>
      <c r="M18" s="108">
        <v>0</v>
      </c>
      <c r="N18" s="108">
        <v>0</v>
      </c>
      <c r="O18" s="99" t="s">
        <v>2510</v>
      </c>
      <c r="P18" s="99">
        <v>81301</v>
      </c>
      <c r="Q18" s="99">
        <v>81302</v>
      </c>
      <c r="R18" s="99">
        <v>81303</v>
      </c>
      <c r="S18" s="99">
        <v>81304</v>
      </c>
      <c r="T18" s="109">
        <v>3</v>
      </c>
      <c r="U18" s="109">
        <v>2</v>
      </c>
      <c r="V18" s="110">
        <f t="shared" si="0"/>
        <v>9.6</v>
      </c>
      <c r="W18" s="110">
        <f t="shared" si="1"/>
        <v>18</v>
      </c>
      <c r="X18" s="110">
        <f t="shared" si="2"/>
        <v>96</v>
      </c>
      <c r="Y18" s="110">
        <f t="shared" si="3"/>
        <v>480</v>
      </c>
      <c r="Z18" s="110">
        <f t="shared" si="4"/>
        <v>80</v>
      </c>
      <c r="AA18" s="111">
        <f t="shared" si="5"/>
        <v>0.2</v>
      </c>
      <c r="AB18" s="110">
        <f t="shared" si="6"/>
        <v>180</v>
      </c>
      <c r="AC18" s="110">
        <v>50</v>
      </c>
    </row>
    <row r="19" ht="16.5" customHeight="1" spans="1:39">
      <c r="A19" s="98">
        <v>4</v>
      </c>
      <c r="B19" s="98">
        <v>2</v>
      </c>
      <c r="C19" s="98">
        <v>200402</v>
      </c>
      <c r="D19" s="98" t="s">
        <v>2511</v>
      </c>
      <c r="E19" s="98" t="s">
        <v>2496</v>
      </c>
      <c r="F19" s="98" t="s">
        <v>1144</v>
      </c>
      <c r="G19" s="98" t="s">
        <v>2497</v>
      </c>
      <c r="H19" s="98">
        <v>20</v>
      </c>
      <c r="I19" s="98">
        <v>200</v>
      </c>
      <c r="J19" s="108">
        <v>4</v>
      </c>
      <c r="K19" s="108">
        <v>0.3</v>
      </c>
      <c r="L19" s="108">
        <v>0.7</v>
      </c>
      <c r="M19" s="108">
        <v>0</v>
      </c>
      <c r="N19" s="108">
        <v>0</v>
      </c>
      <c r="O19" s="99" t="s">
        <v>2510</v>
      </c>
      <c r="P19" s="99">
        <v>81501</v>
      </c>
      <c r="Q19" s="99">
        <v>81502</v>
      </c>
      <c r="R19" s="99">
        <v>81503</v>
      </c>
      <c r="S19" s="99">
        <v>81504</v>
      </c>
      <c r="T19" s="109">
        <v>3</v>
      </c>
      <c r="U19" s="109">
        <v>2</v>
      </c>
      <c r="V19" s="110">
        <f t="shared" si="0"/>
        <v>9.6</v>
      </c>
      <c r="W19" s="110">
        <f t="shared" si="1"/>
        <v>18</v>
      </c>
      <c r="X19" s="110">
        <f t="shared" si="2"/>
        <v>96</v>
      </c>
      <c r="Y19" s="110">
        <f t="shared" si="3"/>
        <v>480</v>
      </c>
      <c r="Z19" s="110">
        <f t="shared" si="4"/>
        <v>80</v>
      </c>
      <c r="AA19" s="111">
        <f t="shared" si="5"/>
        <v>0.2</v>
      </c>
      <c r="AB19" s="110">
        <f t="shared" si="6"/>
        <v>180</v>
      </c>
      <c r="AC19" s="110">
        <v>50</v>
      </c>
    </row>
    <row r="20" ht="16.5" customHeight="1" spans="1:39">
      <c r="A20" s="98">
        <v>4</v>
      </c>
      <c r="B20" s="98">
        <v>3</v>
      </c>
      <c r="C20" s="98">
        <v>200403</v>
      </c>
      <c r="D20" s="98" t="s">
        <v>2512</v>
      </c>
      <c r="E20" s="98" t="s">
        <v>2499</v>
      </c>
      <c r="F20" s="98" t="s">
        <v>1144</v>
      </c>
      <c r="G20" s="98" t="s">
        <v>2500</v>
      </c>
      <c r="H20" s="98">
        <v>20</v>
      </c>
      <c r="I20" s="98">
        <v>200</v>
      </c>
      <c r="J20" s="108">
        <v>4</v>
      </c>
      <c r="K20" s="108">
        <v>0.3</v>
      </c>
      <c r="L20" s="108">
        <v>0.7</v>
      </c>
      <c r="M20" s="108">
        <v>0</v>
      </c>
      <c r="N20" s="108">
        <v>0</v>
      </c>
      <c r="O20" s="99" t="s">
        <v>2510</v>
      </c>
      <c r="P20" s="99">
        <v>81601</v>
      </c>
      <c r="Q20" s="99">
        <v>81602</v>
      </c>
      <c r="R20" s="99">
        <v>81603</v>
      </c>
      <c r="S20" s="99">
        <v>81604</v>
      </c>
      <c r="T20" s="109">
        <v>3</v>
      </c>
      <c r="U20" s="109">
        <v>2</v>
      </c>
      <c r="V20" s="110">
        <f t="shared" si="0"/>
        <v>9.6</v>
      </c>
      <c r="W20" s="110">
        <f t="shared" si="1"/>
        <v>18</v>
      </c>
      <c r="X20" s="110">
        <f t="shared" si="2"/>
        <v>96</v>
      </c>
      <c r="Y20" s="110">
        <f t="shared" si="3"/>
        <v>480</v>
      </c>
      <c r="Z20" s="110">
        <f t="shared" si="4"/>
        <v>80</v>
      </c>
      <c r="AA20" s="111">
        <f t="shared" si="5"/>
        <v>0.2</v>
      </c>
      <c r="AB20" s="110">
        <f t="shared" si="6"/>
        <v>180</v>
      </c>
      <c r="AC20" s="110">
        <v>50</v>
      </c>
    </row>
    <row r="21" ht="16.5" customHeight="1" spans="1:39">
      <c r="A21" s="98">
        <v>4</v>
      </c>
      <c r="B21" s="98">
        <v>4</v>
      </c>
      <c r="C21" s="98">
        <v>200404</v>
      </c>
      <c r="D21" s="98" t="s">
        <v>2513</v>
      </c>
      <c r="E21" s="98" t="s">
        <v>2486</v>
      </c>
      <c r="F21" s="98" t="s">
        <v>1144</v>
      </c>
      <c r="G21" s="98" t="s">
        <v>1132</v>
      </c>
      <c r="H21" s="98">
        <v>20</v>
      </c>
      <c r="I21" s="98">
        <v>200</v>
      </c>
      <c r="J21" s="108">
        <v>4</v>
      </c>
      <c r="K21" s="108">
        <v>0.3</v>
      </c>
      <c r="L21" s="108">
        <v>0.7</v>
      </c>
      <c r="M21" s="108">
        <v>0</v>
      </c>
      <c r="N21" s="108">
        <v>0</v>
      </c>
      <c r="O21" s="99" t="s">
        <v>2510</v>
      </c>
      <c r="P21" s="99">
        <v>81101</v>
      </c>
      <c r="Q21" s="99">
        <v>81102</v>
      </c>
      <c r="R21" s="99">
        <v>81103</v>
      </c>
      <c r="S21" s="99">
        <v>81104</v>
      </c>
      <c r="T21" s="109">
        <v>3</v>
      </c>
      <c r="U21" s="109">
        <v>3</v>
      </c>
      <c r="V21" s="110">
        <f t="shared" si="0"/>
        <v>9.6</v>
      </c>
      <c r="W21" s="110">
        <f t="shared" si="1"/>
        <v>27</v>
      </c>
      <c r="X21" s="110">
        <f t="shared" si="2"/>
        <v>96</v>
      </c>
      <c r="Y21" s="110">
        <f t="shared" si="3"/>
        <v>480</v>
      </c>
      <c r="Z21" s="110">
        <f t="shared" si="4"/>
        <v>80</v>
      </c>
      <c r="AA21" s="111">
        <f t="shared" si="5"/>
        <v>0.2</v>
      </c>
      <c r="AB21" s="110">
        <f t="shared" si="6"/>
        <v>270</v>
      </c>
      <c r="AC21" s="110">
        <v>50</v>
      </c>
    </row>
    <row r="22" ht="33" customHeight="1" spans="1:39">
      <c r="A22" s="98">
        <v>4</v>
      </c>
      <c r="B22" s="98">
        <v>5</v>
      </c>
      <c r="C22" s="98">
        <v>200405</v>
      </c>
      <c r="D22" s="98" t="s">
        <v>2514</v>
      </c>
      <c r="E22" s="115" t="s">
        <v>2515</v>
      </c>
      <c r="F22" s="98" t="s">
        <v>1145</v>
      </c>
      <c r="G22" s="98" t="s">
        <v>2516</v>
      </c>
      <c r="H22" s="98">
        <v>20</v>
      </c>
      <c r="I22" s="98">
        <v>200</v>
      </c>
      <c r="J22" s="108">
        <v>4</v>
      </c>
      <c r="K22" s="108">
        <v>0.65</v>
      </c>
      <c r="L22" s="108">
        <v>0.35</v>
      </c>
      <c r="M22" s="108">
        <v>0</v>
      </c>
      <c r="N22" s="108">
        <v>0</v>
      </c>
      <c r="O22" s="99" t="s">
        <v>2508</v>
      </c>
      <c r="P22" s="99">
        <v>81801</v>
      </c>
      <c r="Q22" s="99">
        <v>81802</v>
      </c>
      <c r="R22" s="99">
        <v>81803</v>
      </c>
      <c r="S22" s="99">
        <v>81804</v>
      </c>
      <c r="T22" s="109">
        <v>2</v>
      </c>
      <c r="U22" s="109">
        <v>2</v>
      </c>
      <c r="V22" s="110">
        <f t="shared" si="0"/>
        <v>6.8</v>
      </c>
      <c r="W22" s="110">
        <f t="shared" si="1"/>
        <v>6</v>
      </c>
      <c r="X22" s="110">
        <f t="shared" si="2"/>
        <v>68</v>
      </c>
      <c r="Y22" s="110">
        <f t="shared" si="3"/>
        <v>340</v>
      </c>
      <c r="Z22" s="110">
        <f t="shared" si="4"/>
        <v>80</v>
      </c>
      <c r="AA22" s="111">
        <f t="shared" si="5"/>
        <v>-0.15</v>
      </c>
      <c r="AB22" s="110">
        <f t="shared" si="6"/>
        <v>180</v>
      </c>
      <c r="AC22" s="110">
        <v>50</v>
      </c>
    </row>
  </sheetData>
  <autoFilter xmlns:etc="http://www.wps.cn/officeDocument/2017/etCustomData" ref="A7:AB22" etc:filterBottomFollowUsedRange="0">
    <extLst/>
  </autoFilter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4"/>
  <sheetViews>
    <sheetView workbookViewId="0">
      <selection activeCell="B5" sqref="B5:P94"/>
    </sheetView>
  </sheetViews>
  <sheetFormatPr defaultColWidth="9" defaultRowHeight="13.5"/>
  <cols>
    <col min="1" max="1" width="6" style="14" customWidth="1"/>
    <col min="2" max="3" width="14" style="14" customWidth="1"/>
    <col min="4" max="5" width="26" style="14" customWidth="1"/>
    <col min="6" max="6" width="12" style="14" customWidth="1"/>
    <col min="7" max="7" width="16" style="14" customWidth="1"/>
    <col min="8" max="9" width="12" style="14" customWidth="1"/>
    <col min="10" max="10" width="6" style="14" customWidth="1"/>
    <col min="11" max="11" width="14" style="14" customWidth="1"/>
    <col min="12" max="13" width="16" style="14" customWidth="1"/>
    <col min="14" max="14" width="12" style="14" customWidth="1"/>
    <col min="15" max="15" width="14" style="14" customWidth="1"/>
    <col min="16" max="16" width="12" style="14" customWidth="1"/>
    <col min="17" max="17" width="6" style="14" customWidth="1"/>
    <col min="18" max="18" width="9" style="14" customWidth="1"/>
    <col min="19" max="20" width="8" style="14" customWidth="1"/>
    <col min="21" max="21" width="12" style="14" customWidth="1"/>
    <col min="22" max="24" width="16" style="14" customWidth="1"/>
    <col min="25" max="25" width="14" style="14" customWidth="1"/>
    <col min="26" max="26" width="18" style="14" customWidth="1"/>
    <col min="27" max="27" width="28" style="14" customWidth="1"/>
    <col min="28" max="16384" width="9" style="14" customWidth="1"/>
  </cols>
  <sheetData>
    <row r="1" ht="15" customHeight="1" spans="1:27">
      <c r="A1" s="92" t="s">
        <v>2517</v>
      </c>
      <c r="B1" s="92" t="s">
        <v>2518</v>
      </c>
      <c r="C1" s="92" t="s">
        <v>2519</v>
      </c>
      <c r="D1" s="92"/>
      <c r="E1" s="92" t="s">
        <v>2520</v>
      </c>
      <c r="F1" s="92" t="s">
        <v>2521</v>
      </c>
      <c r="G1" s="92" t="s">
        <v>2522</v>
      </c>
      <c r="H1" s="92" t="s">
        <v>2523</v>
      </c>
      <c r="I1" s="92" t="s">
        <v>2524</v>
      </c>
      <c r="J1" s="92" t="s">
        <v>1950</v>
      </c>
      <c r="K1" s="92" t="s">
        <v>2525</v>
      </c>
      <c r="L1" s="92" t="s">
        <v>2526</v>
      </c>
      <c r="M1" s="92" t="s">
        <v>2527</v>
      </c>
      <c r="N1" s="92" t="s">
        <v>2528</v>
      </c>
      <c r="O1" s="92" t="s">
        <v>2529</v>
      </c>
      <c r="P1" s="92" t="s">
        <v>2530</v>
      </c>
      <c r="Q1" s="92"/>
      <c r="S1" s="93" t="s">
        <v>2531</v>
      </c>
      <c r="T1" s="94"/>
      <c r="U1" s="94"/>
      <c r="V1" s="94"/>
      <c r="W1" s="94"/>
      <c r="X1" s="94"/>
      <c r="Y1" s="94"/>
      <c r="Z1" s="94"/>
      <c r="AA1" s="95"/>
    </row>
    <row r="2" ht="15" customHeight="1" spans="1:27">
      <c r="A2" s="92" t="s">
        <v>2532</v>
      </c>
      <c r="B2" s="92" t="s">
        <v>2533</v>
      </c>
      <c r="C2" s="92" t="s">
        <v>2534</v>
      </c>
      <c r="D2" s="92"/>
      <c r="E2" s="92" t="s">
        <v>2535</v>
      </c>
      <c r="F2" s="92" t="s">
        <v>2534</v>
      </c>
      <c r="G2" s="92" t="s">
        <v>2536</v>
      </c>
      <c r="H2" s="92" t="s">
        <v>2534</v>
      </c>
      <c r="I2" s="92" t="s">
        <v>2534</v>
      </c>
      <c r="J2" s="92"/>
      <c r="K2" s="92" t="s">
        <v>2534</v>
      </c>
      <c r="L2" s="92" t="s">
        <v>2534</v>
      </c>
      <c r="M2" s="92" t="s">
        <v>2534</v>
      </c>
      <c r="N2" s="92" t="s">
        <v>2534</v>
      </c>
      <c r="O2" s="92" t="s">
        <v>2537</v>
      </c>
      <c r="P2" s="92" t="s">
        <v>2538</v>
      </c>
      <c r="Q2" s="92"/>
      <c r="S2" s="96" t="s">
        <v>2388</v>
      </c>
      <c r="T2" s="96" t="s">
        <v>2389</v>
      </c>
      <c r="U2" s="96" t="s">
        <v>2461</v>
      </c>
      <c r="V2" s="96" t="s">
        <v>2539</v>
      </c>
      <c r="W2" s="96" t="s">
        <v>2540</v>
      </c>
      <c r="X2" s="96" t="s">
        <v>2541</v>
      </c>
      <c r="Y2" s="96" t="s">
        <v>574</v>
      </c>
      <c r="Z2" s="96" t="s">
        <v>2542</v>
      </c>
      <c r="AA2" s="96" t="s">
        <v>2543</v>
      </c>
    </row>
    <row r="3" ht="15" customHeight="1" spans="1:27">
      <c r="A3" s="92" t="s">
        <v>2544</v>
      </c>
      <c r="B3" s="92"/>
      <c r="C3" s="92"/>
      <c r="D3" s="92"/>
      <c r="E3" s="92"/>
      <c r="F3" s="92"/>
      <c r="G3" s="92"/>
      <c r="H3" s="92" t="s">
        <v>2545</v>
      </c>
      <c r="I3" s="92" t="s">
        <v>2545</v>
      </c>
      <c r="J3" s="92"/>
      <c r="K3" s="92"/>
      <c r="L3" s="92"/>
      <c r="M3" s="92"/>
      <c r="N3" s="92"/>
      <c r="O3" s="92"/>
      <c r="P3" s="92"/>
      <c r="Q3" s="92"/>
      <c r="S3" s="97">
        <f>高难主线关卡!A8</f>
        <v>2</v>
      </c>
      <c r="T3" s="97">
        <f>高难主线关卡!B8</f>
        <v>1</v>
      </c>
      <c r="U3" s="97">
        <f>高难主线关卡!C8</f>
        <v>200201</v>
      </c>
      <c r="V3" s="97">
        <f>26000000+高难主线关卡!A8*100+高难主线关卡!B8</f>
        <v>26000201</v>
      </c>
      <c r="W3" s="97">
        <f>26100000+高难主线关卡!A8*100+高难主线关卡!B8</f>
        <v>26100201</v>
      </c>
      <c r="X3" s="97">
        <f>26200000+高难主线关卡!A8*100+高难主线关卡!B8</f>
        <v>26200201</v>
      </c>
      <c r="Y3" s="97">
        <f>高难主线关卡!AC8</f>
        <v>50</v>
      </c>
      <c r="Z3" s="97" t="str">
        <f>高难主线关卡!E8&amp;" "&amp;高难主线关卡!T8&amp;"级x"&amp;高难主线关卡!U8</f>
        <v>红宝石 2级x2</v>
      </c>
      <c r="AA3" s="97" t="str">
        <f>高难主线关卡!E8&amp;" 数量"&amp;高难主线关卡!J8&amp;"；"&amp;高难主线关卡!O8</f>
        <v>红宝石 数量4；L1:500;L2:500</v>
      </c>
    </row>
    <row r="4" ht="15" customHeight="1" spans="1:27">
      <c r="A4" s="92" t="s">
        <v>1950</v>
      </c>
      <c r="B4" s="92" t="s">
        <v>2546</v>
      </c>
      <c r="C4" s="92" t="s">
        <v>2547</v>
      </c>
      <c r="D4" s="92" t="s">
        <v>2548</v>
      </c>
      <c r="E4" s="92" t="s">
        <v>2549</v>
      </c>
      <c r="F4" s="92" t="s">
        <v>2550</v>
      </c>
      <c r="G4" s="92" t="s">
        <v>2551</v>
      </c>
      <c r="H4" s="92" t="s">
        <v>2552</v>
      </c>
      <c r="I4" s="92" t="s">
        <v>2553</v>
      </c>
      <c r="J4" s="92"/>
      <c r="K4" s="92" t="s">
        <v>2547</v>
      </c>
      <c r="L4" s="92" t="s">
        <v>2554</v>
      </c>
      <c r="M4" s="92" t="s">
        <v>2555</v>
      </c>
      <c r="N4" s="92" t="s">
        <v>2556</v>
      </c>
      <c r="O4" s="92" t="s">
        <v>2557</v>
      </c>
      <c r="P4" s="92" t="s">
        <v>2558</v>
      </c>
      <c r="Q4" s="92"/>
      <c r="S4" s="97">
        <f>高难主线关卡!A9</f>
        <v>2</v>
      </c>
      <c r="T4" s="97">
        <f>高难主线关卡!B9</f>
        <v>2</v>
      </c>
      <c r="U4" s="97">
        <f>高难主线关卡!C9</f>
        <v>200202</v>
      </c>
      <c r="V4" s="97">
        <f>26000000+高难主线关卡!A9*100+高难主线关卡!B9</f>
        <v>26000202</v>
      </c>
      <c r="W4" s="97">
        <f>26100000+高难主线关卡!A9*100+高难主线关卡!B9</f>
        <v>26100202</v>
      </c>
      <c r="X4" s="97">
        <f>26200000+高难主线关卡!A9*100+高难主线关卡!B9</f>
        <v>26200202</v>
      </c>
      <c r="Y4" s="97">
        <f>高难主线关卡!AC9</f>
        <v>50</v>
      </c>
      <c r="Z4" s="97" t="str">
        <f>高难主线关卡!E9&amp;" "&amp;高难主线关卡!T9&amp;"级x"&amp;高难主线关卡!U9</f>
        <v>蓝宝石 2级x2</v>
      </c>
      <c r="AA4" s="97" t="str">
        <f>高难主线关卡!E9&amp;" 数量"&amp;高难主线关卡!J9&amp;"；"&amp;高难主线关卡!O9</f>
        <v>蓝宝石 数量4；L1:500;L2:500</v>
      </c>
    </row>
    <row r="5" ht="16.5" customHeight="1" spans="1:27">
      <c r="A5" s="98" t="s">
        <v>265</v>
      </c>
      <c r="B5" s="98">
        <f t="shared" ref="B5:B68" si="0">ROW()+300000-4</f>
        <v>300001</v>
      </c>
      <c r="C5" s="98">
        <f>26000000+高难主线关卡!$A$8*100+高难主线关卡!$B$8</f>
        <v>26000201</v>
      </c>
      <c r="D5" s="99" t="str">
        <f>"高难主线"&amp;高难主线关卡!$A$8&amp;"-"&amp;高难主线关卡!$B$8&amp;"首通钻石奖励"</f>
        <v>高难主线2-1首通钻石奖励</v>
      </c>
      <c r="E5" s="99" t="str">
        <f>"高难主线"&amp;高难主线关卡!$A$8&amp;"-"&amp;高难主线关卡!$B$8&amp;"首通钻石奖励"</f>
        <v>高难主线2-1首通钻石奖励</v>
      </c>
      <c r="F5" s="98">
        <v>0</v>
      </c>
      <c r="G5" s="98" t="s">
        <v>2559</v>
      </c>
      <c r="H5" s="98">
        <v>1</v>
      </c>
      <c r="I5" s="98">
        <v>1</v>
      </c>
      <c r="J5" s="98" t="s">
        <v>265</v>
      </c>
      <c r="K5" s="98">
        <v>2</v>
      </c>
      <c r="L5" s="98">
        <f>高难主线关卡!$AC$8</f>
        <v>50</v>
      </c>
      <c r="M5" s="98">
        <f>高难主线关卡!$AC$8</f>
        <v>50</v>
      </c>
      <c r="N5" s="98">
        <v>10000</v>
      </c>
      <c r="O5" s="98">
        <v>2</v>
      </c>
      <c r="P5" s="98" t="b">
        <f>高难主线关卡!$AC$8&gt;0</f>
        <v>1</v>
      </c>
      <c r="Q5" s="98" t="s">
        <v>265</v>
      </c>
      <c r="S5" s="97">
        <f>高难主线关卡!A10</f>
        <v>2</v>
      </c>
      <c r="T5" s="97">
        <f>高难主线关卡!B10</f>
        <v>3</v>
      </c>
      <c r="U5" s="97">
        <f>高难主线关卡!C10</f>
        <v>200203</v>
      </c>
      <c r="V5" s="97">
        <f>26000000+高难主线关卡!A10*100+高难主线关卡!B10</f>
        <v>26000203</v>
      </c>
      <c r="W5" s="97">
        <f>26100000+高难主线关卡!A10*100+高难主线关卡!B10</f>
        <v>26100203</v>
      </c>
      <c r="X5" s="97">
        <f>26200000+高难主线关卡!A10*100+高难主线关卡!B10</f>
        <v>26200203</v>
      </c>
      <c r="Y5" s="97">
        <f>高难主线关卡!AC10</f>
        <v>50</v>
      </c>
      <c r="Z5" s="97" t="str">
        <f>高难主线关卡!E10&amp;" "&amp;高难主线关卡!T10&amp;"级x"&amp;高难主线关卡!U10</f>
        <v>黄宝石 2级x2</v>
      </c>
      <c r="AA5" s="97" t="str">
        <f>高难主线关卡!E10&amp;" 数量"&amp;高难主线关卡!J10&amp;"；"&amp;高难主线关卡!O10</f>
        <v>黄宝石 数量4；L1:500;L2:500</v>
      </c>
    </row>
    <row r="6" ht="16.5" customHeight="1" spans="1:27">
      <c r="A6" s="98" t="s">
        <v>265</v>
      </c>
      <c r="B6" s="98">
        <f t="shared" si="0"/>
        <v>300002</v>
      </c>
      <c r="C6" s="98">
        <f>26100000+高难主线关卡!$A$8*100+高难主线关卡!$B$8</f>
        <v>26100201</v>
      </c>
      <c r="D6" s="99" t="str">
        <f>"高难主线"&amp;高难主线关卡!$A$8&amp;"-"&amp;高难主线关卡!$B$8&amp;"首通宝石奖励"</f>
        <v>高难主线2-1首通宝石奖励</v>
      </c>
      <c r="E6" s="99" t="str">
        <f>"高难主线"&amp;高难主线关卡!$A$8&amp;"-"&amp;高难主线关卡!$B$8&amp;"首通宝石奖励"</f>
        <v>高难主线2-1首通宝石奖励</v>
      </c>
      <c r="F6" s="98">
        <v>0</v>
      </c>
      <c r="G6" s="98" t="s">
        <v>2559</v>
      </c>
      <c r="H6" s="98">
        <v>1</v>
      </c>
      <c r="I6" s="98">
        <v>1</v>
      </c>
      <c r="J6" s="98" t="s">
        <v>265</v>
      </c>
      <c r="K6" s="98">
        <f ca="1">INDEX(高难主线关卡!$P$8:高难主线关卡!$S$8,1,高难主线关卡!$T$8)</f>
        <v>81102</v>
      </c>
      <c r="L6" s="98">
        <f>高难主线关卡!$U$8</f>
        <v>2</v>
      </c>
      <c r="M6" s="98">
        <f>高难主线关卡!$U$8</f>
        <v>2</v>
      </c>
      <c r="N6" s="98">
        <v>10000</v>
      </c>
      <c r="O6" s="98">
        <f ca="1">INDEX(高难主线关卡!$P$8:高难主线关卡!$S$8,1,高难主线关卡!$T$8)</f>
        <v>81102</v>
      </c>
      <c r="P6" s="98" t="b">
        <f>高难主线关卡!$U$8&gt;0</f>
        <v>1</v>
      </c>
      <c r="Q6" s="98" t="s">
        <v>265</v>
      </c>
      <c r="S6" s="97">
        <f>高难主线关卡!A11</f>
        <v>2</v>
      </c>
      <c r="T6" s="97">
        <f>高难主线关卡!B11</f>
        <v>4</v>
      </c>
      <c r="U6" s="97">
        <f>高难主线关卡!C11</f>
        <v>200204</v>
      </c>
      <c r="V6" s="97">
        <f>26000000+高难主线关卡!A11*100+高难主线关卡!B11</f>
        <v>26000204</v>
      </c>
      <c r="W6" s="97">
        <f>26100000+高难主线关卡!A11*100+高难主线关卡!B11</f>
        <v>26100204</v>
      </c>
      <c r="X6" s="97">
        <f>26200000+高难主线关卡!A11*100+高难主线关卡!B11</f>
        <v>26200204</v>
      </c>
      <c r="Y6" s="97">
        <f>高难主线关卡!AC11</f>
        <v>50</v>
      </c>
      <c r="Z6" s="97" t="str">
        <f>高难主线关卡!E11&amp;" "&amp;高难主线关卡!T11&amp;"级x"&amp;高难主线关卡!U11</f>
        <v>绿宝石 2级x2</v>
      </c>
      <c r="AA6" s="97" t="str">
        <f>高难主线关卡!E11&amp;" 数量"&amp;高难主线关卡!J11&amp;"；"&amp;高难主线关卡!O11</f>
        <v>绿宝石 数量4；L1:500;L2:500</v>
      </c>
    </row>
    <row r="7" ht="16.5" customHeight="1" spans="1:27">
      <c r="A7" s="98" t="s">
        <v>265</v>
      </c>
      <c r="B7" s="98">
        <f t="shared" si="0"/>
        <v>300003</v>
      </c>
      <c r="C7" s="98">
        <f>26200000+高难主线关卡!$A$8*100+高难主线关卡!$B$8</f>
        <v>26200201</v>
      </c>
      <c r="D7" s="99" t="str">
        <f>"高难主线"&amp;高难主线关卡!$A$8&amp;"-"&amp;高难主线关卡!$B$8&amp;"常规宝石L1奖励"</f>
        <v>高难主线2-1常规宝石L1奖励</v>
      </c>
      <c r="E7" s="99" t="str">
        <f>"高难主线"&amp;高难主线关卡!$A$8&amp;"-"&amp;高难主线关卡!$B$8&amp;"常规宝石奖励"</f>
        <v>高难主线2-1常规宝石奖励</v>
      </c>
      <c r="F7" s="98">
        <v>0</v>
      </c>
      <c r="G7" s="98" t="s">
        <v>2560</v>
      </c>
      <c r="H7" s="98">
        <f>高难主线关卡!$J$8</f>
        <v>4</v>
      </c>
      <c r="I7" s="98">
        <f>高难主线关卡!$J$8</f>
        <v>4</v>
      </c>
      <c r="J7" s="98" t="s">
        <v>265</v>
      </c>
      <c r="K7" s="98">
        <f>高难主线关卡!$P$8</f>
        <v>81101</v>
      </c>
      <c r="L7" s="98">
        <v>1</v>
      </c>
      <c r="M7" s="98">
        <v>1</v>
      </c>
      <c r="N7" s="98">
        <f>ROUND(高难主线关卡!$K$8*10000,0)</f>
        <v>5000</v>
      </c>
      <c r="O7" s="98">
        <f>高难主线关卡!$P$8</f>
        <v>81101</v>
      </c>
      <c r="P7" s="98" t="b">
        <f>高难主线关卡!$K$8&gt;0</f>
        <v>1</v>
      </c>
      <c r="Q7" s="98" t="s">
        <v>265</v>
      </c>
      <c r="S7" s="97">
        <f>高难主线关卡!A12</f>
        <v>2</v>
      </c>
      <c r="T7" s="97">
        <f>高难主线关卡!B12</f>
        <v>5</v>
      </c>
      <c r="U7" s="97">
        <f>高难主线关卡!C12</f>
        <v>200205</v>
      </c>
      <c r="V7" s="97">
        <f>26000000+高难主线关卡!A12*100+高难主线关卡!B12</f>
        <v>26000205</v>
      </c>
      <c r="W7" s="97">
        <f>26100000+高难主线关卡!A12*100+高难主线关卡!B12</f>
        <v>26100205</v>
      </c>
      <c r="X7" s="97">
        <f>26200000+高难主线关卡!A12*100+高难主线关卡!B12</f>
        <v>26200205</v>
      </c>
      <c r="Y7" s="97">
        <f>高难主线关卡!AC12</f>
        <v>50</v>
      </c>
      <c r="Z7" s="97" t="str">
        <f>高难主线关卡!E12&amp;" "&amp;高难主线关卡!T12&amp;"级x"&amp;高难主线关卡!U12</f>
        <v>紫宝石 2级x3</v>
      </c>
      <c r="AA7" s="97" t="str">
        <f>高难主线关卡!E12&amp;" 数量"&amp;高难主线关卡!J12&amp;"；"&amp;高难主线关卡!O12</f>
        <v>紫宝石 数量4；L1:500;L2:500</v>
      </c>
    </row>
    <row r="8" ht="16.5" customHeight="1" spans="1:27">
      <c r="A8" s="98" t="s">
        <v>265</v>
      </c>
      <c r="B8" s="98">
        <f t="shared" si="0"/>
        <v>300004</v>
      </c>
      <c r="C8" s="98">
        <f>26200000+高难主线关卡!$A$8*100+高难主线关卡!$B$8</f>
        <v>26200201</v>
      </c>
      <c r="D8" s="99" t="str">
        <f>"高难主线"&amp;高难主线关卡!$A$8&amp;"-"&amp;高难主线关卡!$B$8&amp;"常规宝石L2奖励"</f>
        <v>高难主线2-1常规宝石L2奖励</v>
      </c>
      <c r="E8" s="99" t="str">
        <f>"高难主线"&amp;高难主线关卡!$A$8&amp;"-"&amp;高难主线关卡!$B$8&amp;"常规宝石奖励"</f>
        <v>高难主线2-1常规宝石奖励</v>
      </c>
      <c r="F8" s="98">
        <v>0</v>
      </c>
      <c r="G8" s="98" t="s">
        <v>2560</v>
      </c>
      <c r="H8" s="98">
        <f>高难主线关卡!$J$8</f>
        <v>4</v>
      </c>
      <c r="I8" s="98">
        <f>高难主线关卡!$J$8</f>
        <v>4</v>
      </c>
      <c r="J8" s="98" t="s">
        <v>265</v>
      </c>
      <c r="K8" s="98">
        <f>高难主线关卡!$Q$8</f>
        <v>81102</v>
      </c>
      <c r="L8" s="98">
        <v>1</v>
      </c>
      <c r="M8" s="98">
        <v>1</v>
      </c>
      <c r="N8" s="98">
        <f>ROUND(高难主线关卡!$L$8*10000,0)</f>
        <v>5000</v>
      </c>
      <c r="O8" s="98">
        <f>高难主线关卡!$Q$8</f>
        <v>81102</v>
      </c>
      <c r="P8" s="98" t="b">
        <f>高难主线关卡!$L$8&gt;0</f>
        <v>1</v>
      </c>
      <c r="Q8" s="98" t="s">
        <v>265</v>
      </c>
      <c r="S8" s="97">
        <f>高难主线关卡!A13</f>
        <v>3</v>
      </c>
      <c r="T8" s="97">
        <f>高难主线关卡!B13</f>
        <v>1</v>
      </c>
      <c r="U8" s="97">
        <f>高难主线关卡!C13</f>
        <v>200301</v>
      </c>
      <c r="V8" s="97">
        <f>26000000+高难主线关卡!A13*100+高难主线关卡!B13</f>
        <v>26000301</v>
      </c>
      <c r="W8" s="97">
        <f>26100000+高难主线关卡!A13*100+高难主线关卡!B13</f>
        <v>26100301</v>
      </c>
      <c r="X8" s="97">
        <f>26200000+高难主线关卡!A13*100+高难主线关卡!B13</f>
        <v>26200301</v>
      </c>
      <c r="Y8" s="97">
        <f>高难主线关卡!AC13</f>
        <v>50</v>
      </c>
      <c r="Z8" s="97" t="str">
        <f>高难主线关卡!E13&amp;" "&amp;高难主线关卡!T13&amp;"级x"&amp;高难主线关卡!U13</f>
        <v>橙宝石 2级x3</v>
      </c>
      <c r="AA8" s="97" t="str">
        <f>高难主线关卡!E13&amp;" 数量"&amp;高难主线关卡!J13&amp;"；"&amp;高难主线关卡!O13</f>
        <v>橙宝石 数量4；L1:500;L2:500</v>
      </c>
    </row>
    <row r="9" ht="16.5" customHeight="1" spans="1:27">
      <c r="A9" s="98" t="s">
        <v>265</v>
      </c>
      <c r="B9" s="98">
        <f t="shared" si="0"/>
        <v>300005</v>
      </c>
      <c r="C9" s="98">
        <f>26200000+高难主线关卡!$A$8*100+高难主线关卡!$B$8</f>
        <v>26200201</v>
      </c>
      <c r="D9" s="99" t="str">
        <f>"高难主线"&amp;高难主线关卡!$A$8&amp;"-"&amp;高难主线关卡!$B$8&amp;"常规宝石L3奖励"</f>
        <v>高难主线2-1常规宝石L3奖励</v>
      </c>
      <c r="E9" s="99" t="str">
        <f>"高难主线"&amp;高难主线关卡!$A$8&amp;"-"&amp;高难主线关卡!$B$8&amp;"常规宝石奖励"</f>
        <v>高难主线2-1常规宝石奖励</v>
      </c>
      <c r="F9" s="98">
        <v>0</v>
      </c>
      <c r="G9" s="98" t="s">
        <v>2560</v>
      </c>
      <c r="H9" s="98">
        <f>高难主线关卡!$J$8</f>
        <v>4</v>
      </c>
      <c r="I9" s="98">
        <f>高难主线关卡!$J$8</f>
        <v>4</v>
      </c>
      <c r="J9" s="98" t="s">
        <v>265</v>
      </c>
      <c r="K9" s="98">
        <f>高难主线关卡!$R$8</f>
        <v>81103</v>
      </c>
      <c r="L9" s="98">
        <v>1</v>
      </c>
      <c r="M9" s="98">
        <v>1</v>
      </c>
      <c r="N9" s="98">
        <f>ROUND(高难主线关卡!$M$8*10000,0)</f>
        <v>0</v>
      </c>
      <c r="O9" s="98">
        <f>高难主线关卡!$R$8</f>
        <v>81103</v>
      </c>
      <c r="P9" s="98" t="b">
        <f>高难主线关卡!$M$8&gt;0</f>
        <v>0</v>
      </c>
      <c r="Q9" s="98" t="s">
        <v>265</v>
      </c>
      <c r="S9" s="97">
        <f>高难主线关卡!A14</f>
        <v>3</v>
      </c>
      <c r="T9" s="97">
        <f>高难主线关卡!B14</f>
        <v>2</v>
      </c>
      <c r="U9" s="97">
        <f>高难主线关卡!C14</f>
        <v>200302</v>
      </c>
      <c r="V9" s="97">
        <f>26000000+高难主线关卡!A14*100+高难主线关卡!B14</f>
        <v>26000302</v>
      </c>
      <c r="W9" s="97">
        <f>26100000+高难主线关卡!A14*100+高难主线关卡!B14</f>
        <v>26100302</v>
      </c>
      <c r="X9" s="97">
        <f>26200000+高难主线关卡!A14*100+高难主线关卡!B14</f>
        <v>26200302</v>
      </c>
      <c r="Y9" s="97">
        <f>高难主线关卡!AC14</f>
        <v>50</v>
      </c>
      <c r="Z9" s="97" t="str">
        <f>高难主线关卡!E14&amp;" "&amp;高难主线关卡!T14&amp;"级x"&amp;高难主线关卡!U14</f>
        <v>红宝石 2级x3</v>
      </c>
      <c r="AA9" s="97" t="str">
        <f>高难主线关卡!E14&amp;" 数量"&amp;高难主线关卡!J14&amp;"；"&amp;高难主线关卡!O14</f>
        <v>红宝石 数量4；L1:400;L2:600</v>
      </c>
    </row>
    <row r="10" ht="16.5" customHeight="1" spans="1:27">
      <c r="A10" s="98" t="s">
        <v>265</v>
      </c>
      <c r="B10" s="98">
        <f t="shared" si="0"/>
        <v>300006</v>
      </c>
      <c r="C10" s="98">
        <f>26200000+高难主线关卡!$A$8*100+高难主线关卡!$B$8</f>
        <v>26200201</v>
      </c>
      <c r="D10" s="99" t="str">
        <f>"高难主线"&amp;高难主线关卡!$A$8&amp;"-"&amp;高难主线关卡!$B$8&amp;"常规宝石L4奖励"</f>
        <v>高难主线2-1常规宝石L4奖励</v>
      </c>
      <c r="E10" s="99" t="str">
        <f>"高难主线"&amp;高难主线关卡!$A$8&amp;"-"&amp;高难主线关卡!$B$8&amp;"常规宝石奖励"</f>
        <v>高难主线2-1常规宝石奖励</v>
      </c>
      <c r="F10" s="98">
        <v>0</v>
      </c>
      <c r="G10" s="98" t="s">
        <v>2560</v>
      </c>
      <c r="H10" s="98">
        <f>高难主线关卡!$J$8</f>
        <v>4</v>
      </c>
      <c r="I10" s="98">
        <f>高难主线关卡!$J$8</f>
        <v>4</v>
      </c>
      <c r="J10" s="98" t="s">
        <v>265</v>
      </c>
      <c r="K10" s="98">
        <f>高难主线关卡!$S$8</f>
        <v>81104</v>
      </c>
      <c r="L10" s="98">
        <v>1</v>
      </c>
      <c r="M10" s="98">
        <v>1</v>
      </c>
      <c r="N10" s="98">
        <f>ROUND(高难主线关卡!$N$8*10000,0)</f>
        <v>0</v>
      </c>
      <c r="O10" s="98">
        <f>高难主线关卡!$S$8</f>
        <v>81104</v>
      </c>
      <c r="P10" s="98" t="b">
        <f>高难主线关卡!$N$8&gt;0</f>
        <v>0</v>
      </c>
      <c r="Q10" s="98" t="s">
        <v>265</v>
      </c>
      <c r="S10" s="97">
        <f>高难主线关卡!A15</f>
        <v>3</v>
      </c>
      <c r="T10" s="97">
        <f>高难主线关卡!B15</f>
        <v>3</v>
      </c>
      <c r="U10" s="97">
        <f>高难主线关卡!C15</f>
        <v>200303</v>
      </c>
      <c r="V10" s="97">
        <f>26000000+高难主线关卡!A15*100+高难主线关卡!B15</f>
        <v>26000303</v>
      </c>
      <c r="W10" s="97">
        <f>26100000+高难主线关卡!A15*100+高难主线关卡!B15</f>
        <v>26100303</v>
      </c>
      <c r="X10" s="97">
        <f>26200000+高难主线关卡!A15*100+高难主线关卡!B15</f>
        <v>26200303</v>
      </c>
      <c r="Y10" s="97">
        <f>高难主线关卡!AC15</f>
        <v>50</v>
      </c>
      <c r="Z10" s="97" t="str">
        <f>高难主线关卡!E15&amp;" "&amp;高难主线关卡!T15&amp;"级x"&amp;高难主线关卡!U15</f>
        <v>蓝宝石 2级x3</v>
      </c>
      <c r="AA10" s="97" t="str">
        <f>高难主线关卡!E15&amp;" 数量"&amp;高难主线关卡!J15&amp;"；"&amp;高难主线关卡!O15</f>
        <v>蓝宝石 数量4；L1:400;L2:600</v>
      </c>
    </row>
    <row r="11" ht="16.5" customHeight="1" spans="1:27">
      <c r="A11" s="98" t="s">
        <v>265</v>
      </c>
      <c r="B11" s="98">
        <f t="shared" si="0"/>
        <v>300007</v>
      </c>
      <c r="C11" s="98">
        <f>26000000+高难主线关卡!$A$9*100+高难主线关卡!$B$9</f>
        <v>26000202</v>
      </c>
      <c r="D11" s="99" t="str">
        <f>"高难主线"&amp;高难主线关卡!$A$9&amp;"-"&amp;高难主线关卡!$B$9&amp;"首通钻石奖励"</f>
        <v>高难主线2-2首通钻石奖励</v>
      </c>
      <c r="E11" s="99" t="str">
        <f>"高难主线"&amp;高难主线关卡!$A$9&amp;"-"&amp;高难主线关卡!$B$9&amp;"首通钻石奖励"</f>
        <v>高难主线2-2首通钻石奖励</v>
      </c>
      <c r="F11" s="98">
        <v>0</v>
      </c>
      <c r="G11" s="98" t="s">
        <v>2559</v>
      </c>
      <c r="H11" s="98">
        <v>1</v>
      </c>
      <c r="I11" s="98">
        <v>1</v>
      </c>
      <c r="J11" s="98" t="s">
        <v>265</v>
      </c>
      <c r="K11" s="98">
        <v>2</v>
      </c>
      <c r="L11" s="98">
        <f>高难主线关卡!$AC$9</f>
        <v>50</v>
      </c>
      <c r="M11" s="98">
        <f>高难主线关卡!$AC$9</f>
        <v>50</v>
      </c>
      <c r="N11" s="98">
        <v>10000</v>
      </c>
      <c r="O11" s="98">
        <v>2</v>
      </c>
      <c r="P11" s="98" t="b">
        <f>高难主线关卡!$AC$9&gt;0</f>
        <v>1</v>
      </c>
      <c r="Q11" s="98" t="s">
        <v>265</v>
      </c>
      <c r="S11" s="97">
        <f>高难主线关卡!A16</f>
        <v>3</v>
      </c>
      <c r="T11" s="97">
        <f>高难主线关卡!B16</f>
        <v>4</v>
      </c>
      <c r="U11" s="97">
        <f>高难主线关卡!C16</f>
        <v>200304</v>
      </c>
      <c r="V11" s="97">
        <f>26000000+高难主线关卡!A16*100+高难主线关卡!B16</f>
        <v>26000304</v>
      </c>
      <c r="W11" s="97">
        <f>26100000+高难主线关卡!A16*100+高难主线关卡!B16</f>
        <v>26100304</v>
      </c>
      <c r="X11" s="97">
        <f>26200000+高难主线关卡!A16*100+高难主线关卡!B16</f>
        <v>26200304</v>
      </c>
      <c r="Y11" s="97">
        <f>高难主线关卡!AC16</f>
        <v>50</v>
      </c>
      <c r="Z11" s="97" t="str">
        <f>高难主线关卡!E16&amp;" "&amp;高难主线关卡!T16&amp;"级x"&amp;高难主线关卡!U16</f>
        <v>绿宝石 2级x3</v>
      </c>
      <c r="AA11" s="97" t="str">
        <f>高难主线关卡!E16&amp;" 数量"&amp;高难主线关卡!J16&amp;"；"&amp;高难主线关卡!O16</f>
        <v>绿宝石 数量4；L1:400;L2:600</v>
      </c>
    </row>
    <row r="12" ht="16.5" customHeight="1" spans="1:27">
      <c r="A12" s="98" t="s">
        <v>265</v>
      </c>
      <c r="B12" s="98">
        <f t="shared" si="0"/>
        <v>300008</v>
      </c>
      <c r="C12" s="98">
        <f>26100000+高难主线关卡!$A$9*100+高难主线关卡!$B$9</f>
        <v>26100202</v>
      </c>
      <c r="D12" s="99" t="str">
        <f>"高难主线"&amp;高难主线关卡!$A$9&amp;"-"&amp;高难主线关卡!$B$9&amp;"首通宝石奖励"</f>
        <v>高难主线2-2首通宝石奖励</v>
      </c>
      <c r="E12" s="99" t="str">
        <f>"高难主线"&amp;高难主线关卡!$A$9&amp;"-"&amp;高难主线关卡!$B$9&amp;"首通宝石奖励"</f>
        <v>高难主线2-2首通宝石奖励</v>
      </c>
      <c r="F12" s="98">
        <v>0</v>
      </c>
      <c r="G12" s="98" t="s">
        <v>2559</v>
      </c>
      <c r="H12" s="98">
        <v>1</v>
      </c>
      <c r="I12" s="98">
        <v>1</v>
      </c>
      <c r="J12" s="98" t="s">
        <v>265</v>
      </c>
      <c r="K12" s="98">
        <f ca="1">INDEX(高难主线关卡!$P$9:高难主线关卡!$S$9,1,高难主线关卡!$T$9)</f>
        <v>81202</v>
      </c>
      <c r="L12" s="98">
        <f>高难主线关卡!$U$9</f>
        <v>2</v>
      </c>
      <c r="M12" s="98">
        <f>高难主线关卡!$U$9</f>
        <v>2</v>
      </c>
      <c r="N12" s="98">
        <v>10000</v>
      </c>
      <c r="O12" s="98">
        <f ca="1">INDEX(高难主线关卡!$P$9:高难主线关卡!$S$9,1,高难主线关卡!$T$9)</f>
        <v>81202</v>
      </c>
      <c r="P12" s="98" t="b">
        <f>高难主线关卡!$U$9&gt;0</f>
        <v>1</v>
      </c>
      <c r="Q12" s="98" t="s">
        <v>265</v>
      </c>
      <c r="S12" s="97">
        <f>高难主线关卡!A17</f>
        <v>3</v>
      </c>
      <c r="T12" s="97">
        <f>高难主线关卡!B17</f>
        <v>5</v>
      </c>
      <c r="U12" s="97">
        <f>高难主线关卡!C17</f>
        <v>200305</v>
      </c>
      <c r="V12" s="97">
        <f>26000000+高难主线关卡!A17*100+高难主线关卡!B17</f>
        <v>26000305</v>
      </c>
      <c r="W12" s="97">
        <f>26100000+高难主线关卡!A17*100+高难主线关卡!B17</f>
        <v>26100305</v>
      </c>
      <c r="X12" s="97">
        <f>26200000+高难主线关卡!A17*100+高难主线关卡!B17</f>
        <v>26200305</v>
      </c>
      <c r="Y12" s="97">
        <f>高难主线关卡!AC17</f>
        <v>50</v>
      </c>
      <c r="Z12" s="97" t="str">
        <f>高难主线关卡!E17&amp;" "&amp;高难主线关卡!T17&amp;"级x"&amp;高难主线关卡!U17</f>
        <v>青宝石 2级x2</v>
      </c>
      <c r="AA12" s="97" t="str">
        <f>高难主线关卡!E17&amp;" 数量"&amp;高难主线关卡!J17&amp;"；"&amp;高难主线关卡!O17</f>
        <v>青宝石 数量4；L1:433;L2:567</v>
      </c>
    </row>
    <row r="13" ht="16.5" customHeight="1" spans="1:27">
      <c r="A13" s="98" t="s">
        <v>265</v>
      </c>
      <c r="B13" s="98">
        <f t="shared" si="0"/>
        <v>300009</v>
      </c>
      <c r="C13" s="98">
        <f>26200000+高难主线关卡!$A$9*100+高难主线关卡!$B$9</f>
        <v>26200202</v>
      </c>
      <c r="D13" s="99" t="str">
        <f>"高难主线"&amp;高难主线关卡!$A$9&amp;"-"&amp;高难主线关卡!$B$9&amp;"常规宝石L1奖励"</f>
        <v>高难主线2-2常规宝石L1奖励</v>
      </c>
      <c r="E13" s="99" t="str">
        <f>"高难主线"&amp;高难主线关卡!$A$9&amp;"-"&amp;高难主线关卡!$B$9&amp;"常规宝石奖励"</f>
        <v>高难主线2-2常规宝石奖励</v>
      </c>
      <c r="F13" s="98">
        <v>0</v>
      </c>
      <c r="G13" s="98" t="s">
        <v>2560</v>
      </c>
      <c r="H13" s="98">
        <f>高难主线关卡!$J$9</f>
        <v>4</v>
      </c>
      <c r="I13" s="98">
        <f>高难主线关卡!$J$9</f>
        <v>4</v>
      </c>
      <c r="J13" s="98" t="s">
        <v>265</v>
      </c>
      <c r="K13" s="98">
        <f>高难主线关卡!$P$9</f>
        <v>81201</v>
      </c>
      <c r="L13" s="98">
        <v>1</v>
      </c>
      <c r="M13" s="98">
        <v>1</v>
      </c>
      <c r="N13" s="98">
        <f>ROUND(高难主线关卡!$K$9*10000,0)</f>
        <v>5000</v>
      </c>
      <c r="O13" s="98">
        <f>高难主线关卡!$P$9</f>
        <v>81201</v>
      </c>
      <c r="P13" s="98" t="b">
        <f>高难主线关卡!$K$9&gt;0</f>
        <v>1</v>
      </c>
      <c r="Q13" s="98" t="s">
        <v>265</v>
      </c>
      <c r="S13" s="97">
        <f>高难主线关卡!A18</f>
        <v>4</v>
      </c>
      <c r="T13" s="97">
        <f>高难主线关卡!B18</f>
        <v>1</v>
      </c>
      <c r="U13" s="97">
        <f>高难主线关卡!C18</f>
        <v>200401</v>
      </c>
      <c r="V13" s="97">
        <f>26000000+高难主线关卡!A18*100+高难主线关卡!B18</f>
        <v>26000401</v>
      </c>
      <c r="W13" s="97">
        <f>26100000+高难主线关卡!A18*100+高难主线关卡!B18</f>
        <v>26100401</v>
      </c>
      <c r="X13" s="97">
        <f>26200000+高难主线关卡!A18*100+高难主线关卡!B18</f>
        <v>26200401</v>
      </c>
      <c r="Y13" s="97">
        <f>高难主线关卡!AC18</f>
        <v>50</v>
      </c>
      <c r="Z13" s="97" t="str">
        <f>高难主线关卡!E18&amp;" "&amp;高难主线关卡!T18&amp;"级x"&amp;高难主线关卡!U18</f>
        <v>黄宝石 3级x2</v>
      </c>
      <c r="AA13" s="97" t="str">
        <f>高难主线关卡!E18&amp;" 数量"&amp;高难主线关卡!J18&amp;"；"&amp;高难主线关卡!O18</f>
        <v>黄宝石 数量4；L1:300;L2:700</v>
      </c>
    </row>
    <row r="14" ht="16.5" customHeight="1" spans="1:27">
      <c r="A14" s="98" t="s">
        <v>265</v>
      </c>
      <c r="B14" s="98">
        <f t="shared" si="0"/>
        <v>300010</v>
      </c>
      <c r="C14" s="98">
        <f>26200000+高难主线关卡!$A$9*100+高难主线关卡!$B$9</f>
        <v>26200202</v>
      </c>
      <c r="D14" s="99" t="str">
        <f>"高难主线"&amp;高难主线关卡!$A$9&amp;"-"&amp;高难主线关卡!$B$9&amp;"常规宝石L2奖励"</f>
        <v>高难主线2-2常规宝石L2奖励</v>
      </c>
      <c r="E14" s="99" t="str">
        <f>"高难主线"&amp;高难主线关卡!$A$9&amp;"-"&amp;高难主线关卡!$B$9&amp;"常规宝石奖励"</f>
        <v>高难主线2-2常规宝石奖励</v>
      </c>
      <c r="F14" s="98">
        <v>0</v>
      </c>
      <c r="G14" s="98" t="s">
        <v>2560</v>
      </c>
      <c r="H14" s="98">
        <f>高难主线关卡!$J$9</f>
        <v>4</v>
      </c>
      <c r="I14" s="98">
        <f>高难主线关卡!$J$9</f>
        <v>4</v>
      </c>
      <c r="J14" s="98" t="s">
        <v>265</v>
      </c>
      <c r="K14" s="98">
        <f>高难主线关卡!$Q$9</f>
        <v>81202</v>
      </c>
      <c r="L14" s="98">
        <v>1</v>
      </c>
      <c r="M14" s="98">
        <v>1</v>
      </c>
      <c r="N14" s="98">
        <f>ROUND(高难主线关卡!$L$9*10000,0)</f>
        <v>5000</v>
      </c>
      <c r="O14" s="98">
        <f>高难主线关卡!$Q$9</f>
        <v>81202</v>
      </c>
      <c r="P14" s="98" t="b">
        <f>高难主线关卡!$L$9&gt;0</f>
        <v>1</v>
      </c>
      <c r="Q14" s="98" t="s">
        <v>265</v>
      </c>
      <c r="S14" s="97">
        <f>高难主线关卡!A19</f>
        <v>4</v>
      </c>
      <c r="T14" s="97">
        <f>高难主线关卡!B19</f>
        <v>2</v>
      </c>
      <c r="U14" s="97">
        <f>高难主线关卡!C19</f>
        <v>200402</v>
      </c>
      <c r="V14" s="97">
        <f>26000000+高难主线关卡!A19*100+高难主线关卡!B19</f>
        <v>26000402</v>
      </c>
      <c r="W14" s="97">
        <f>26100000+高难主线关卡!A19*100+高难主线关卡!B19</f>
        <v>26100402</v>
      </c>
      <c r="X14" s="97">
        <f>26200000+高难主线关卡!A19*100+高难主线关卡!B19</f>
        <v>26200402</v>
      </c>
      <c r="Y14" s="97">
        <f>高难主线关卡!AC19</f>
        <v>50</v>
      </c>
      <c r="Z14" s="97" t="str">
        <f>高难主线关卡!E19&amp;" "&amp;高难主线关卡!T19&amp;"级x"&amp;高难主线关卡!U19</f>
        <v>紫宝石 3级x2</v>
      </c>
      <c r="AA14" s="97" t="str">
        <f>高难主线关卡!E19&amp;" 数量"&amp;高难主线关卡!J19&amp;"；"&amp;高难主线关卡!O19</f>
        <v>紫宝石 数量4；L1:300;L2:700</v>
      </c>
    </row>
    <row r="15" ht="16.5" customHeight="1" spans="1:27">
      <c r="A15" s="98" t="s">
        <v>265</v>
      </c>
      <c r="B15" s="98">
        <f t="shared" si="0"/>
        <v>300011</v>
      </c>
      <c r="C15" s="98">
        <f>26200000+高难主线关卡!$A$9*100+高难主线关卡!$B$9</f>
        <v>26200202</v>
      </c>
      <c r="D15" s="99" t="str">
        <f>"高难主线"&amp;高难主线关卡!$A$9&amp;"-"&amp;高难主线关卡!$B$9&amp;"常规宝石L3奖励"</f>
        <v>高难主线2-2常规宝石L3奖励</v>
      </c>
      <c r="E15" s="99" t="str">
        <f>"高难主线"&amp;高难主线关卡!$A$9&amp;"-"&amp;高难主线关卡!$B$9&amp;"常规宝石奖励"</f>
        <v>高难主线2-2常规宝石奖励</v>
      </c>
      <c r="F15" s="98">
        <v>0</v>
      </c>
      <c r="G15" s="98" t="s">
        <v>2560</v>
      </c>
      <c r="H15" s="98">
        <f>高难主线关卡!$J$9</f>
        <v>4</v>
      </c>
      <c r="I15" s="98">
        <f>高难主线关卡!$J$9</f>
        <v>4</v>
      </c>
      <c r="J15" s="98" t="s">
        <v>265</v>
      </c>
      <c r="K15" s="98">
        <f>高难主线关卡!$R$9</f>
        <v>81203</v>
      </c>
      <c r="L15" s="98">
        <v>1</v>
      </c>
      <c r="M15" s="98">
        <v>1</v>
      </c>
      <c r="N15" s="98">
        <f>ROUND(高难主线关卡!$M$9*10000,0)</f>
        <v>0</v>
      </c>
      <c r="O15" s="98">
        <f>高难主线关卡!$R$9</f>
        <v>81203</v>
      </c>
      <c r="P15" s="98" t="b">
        <f>高难主线关卡!$M$9&gt;0</f>
        <v>0</v>
      </c>
      <c r="Q15" s="98" t="s">
        <v>265</v>
      </c>
      <c r="S15" s="97">
        <f>高难主线关卡!A20</f>
        <v>4</v>
      </c>
      <c r="T15" s="97">
        <f>高难主线关卡!B20</f>
        <v>3</v>
      </c>
      <c r="U15" s="97">
        <f>高难主线关卡!C20</f>
        <v>200403</v>
      </c>
      <c r="V15" s="97">
        <f>26000000+高难主线关卡!A20*100+高难主线关卡!B20</f>
        <v>26000403</v>
      </c>
      <c r="W15" s="97">
        <f>26100000+高难主线关卡!A20*100+高难主线关卡!B20</f>
        <v>26100403</v>
      </c>
      <c r="X15" s="97">
        <f>26200000+高难主线关卡!A20*100+高难主线关卡!B20</f>
        <v>26200403</v>
      </c>
      <c r="Y15" s="97">
        <f>高难主线关卡!AC20</f>
        <v>50</v>
      </c>
      <c r="Z15" s="97" t="str">
        <f>高难主线关卡!E20&amp;" "&amp;高难主线关卡!T20&amp;"级x"&amp;高难主线关卡!U20</f>
        <v>橙宝石 3级x2</v>
      </c>
      <c r="AA15" s="97" t="str">
        <f>高难主线关卡!E20&amp;" 数量"&amp;高难主线关卡!J20&amp;"；"&amp;高难主线关卡!O20</f>
        <v>橙宝石 数量4；L1:300;L2:700</v>
      </c>
    </row>
    <row r="16" ht="16.5" customHeight="1" spans="1:27">
      <c r="A16" s="98" t="s">
        <v>265</v>
      </c>
      <c r="B16" s="98">
        <f t="shared" si="0"/>
        <v>300012</v>
      </c>
      <c r="C16" s="98">
        <f>26200000+高难主线关卡!$A$9*100+高难主线关卡!$B$9</f>
        <v>26200202</v>
      </c>
      <c r="D16" s="99" t="str">
        <f>"高难主线"&amp;高难主线关卡!$A$9&amp;"-"&amp;高难主线关卡!$B$9&amp;"常规宝石L4奖励"</f>
        <v>高难主线2-2常规宝石L4奖励</v>
      </c>
      <c r="E16" s="99" t="str">
        <f>"高难主线"&amp;高难主线关卡!$A$9&amp;"-"&amp;高难主线关卡!$B$9&amp;"常规宝石奖励"</f>
        <v>高难主线2-2常规宝石奖励</v>
      </c>
      <c r="F16" s="98">
        <v>0</v>
      </c>
      <c r="G16" s="98" t="s">
        <v>2560</v>
      </c>
      <c r="H16" s="98">
        <f>高难主线关卡!$J$9</f>
        <v>4</v>
      </c>
      <c r="I16" s="98">
        <f>高难主线关卡!$J$9</f>
        <v>4</v>
      </c>
      <c r="J16" s="98" t="s">
        <v>265</v>
      </c>
      <c r="K16" s="98">
        <f>高难主线关卡!$S$9</f>
        <v>81204</v>
      </c>
      <c r="L16" s="98">
        <v>1</v>
      </c>
      <c r="M16" s="98">
        <v>1</v>
      </c>
      <c r="N16" s="98">
        <f>ROUND(高难主线关卡!$N$9*10000,0)</f>
        <v>0</v>
      </c>
      <c r="O16" s="98">
        <f>高难主线关卡!$S$9</f>
        <v>81204</v>
      </c>
      <c r="P16" s="98" t="b">
        <f>高难主线关卡!$N$9&gt;0</f>
        <v>0</v>
      </c>
      <c r="Q16" s="98" t="s">
        <v>265</v>
      </c>
      <c r="S16" s="97">
        <f>高难主线关卡!A21</f>
        <v>4</v>
      </c>
      <c r="T16" s="97">
        <f>高难主线关卡!B21</f>
        <v>4</v>
      </c>
      <c r="U16" s="97">
        <f>高难主线关卡!C21</f>
        <v>200404</v>
      </c>
      <c r="V16" s="97">
        <f>26000000+高难主线关卡!A21*100+高难主线关卡!B21</f>
        <v>26000404</v>
      </c>
      <c r="W16" s="97">
        <f>26100000+高难主线关卡!A21*100+高难主线关卡!B21</f>
        <v>26100404</v>
      </c>
      <c r="X16" s="97">
        <f>26200000+高难主线关卡!A21*100+高难主线关卡!B21</f>
        <v>26200404</v>
      </c>
      <c r="Y16" s="97">
        <f>高难主线关卡!AC21</f>
        <v>50</v>
      </c>
      <c r="Z16" s="97" t="str">
        <f>高难主线关卡!E21&amp;" "&amp;高难主线关卡!T21&amp;"级x"&amp;高难主线关卡!U21</f>
        <v>红宝石 3级x3</v>
      </c>
      <c r="AA16" s="97" t="str">
        <f>高难主线关卡!E21&amp;" 数量"&amp;高难主线关卡!J21&amp;"；"&amp;高难主线关卡!O21</f>
        <v>红宝石 数量4；L1:300;L2:700</v>
      </c>
    </row>
    <row r="17" ht="16.5" customHeight="1" spans="1:27">
      <c r="A17" s="98" t="s">
        <v>265</v>
      </c>
      <c r="B17" s="98">
        <f t="shared" si="0"/>
        <v>300013</v>
      </c>
      <c r="C17" s="98">
        <f>26000000+高难主线关卡!$A$10*100+高难主线关卡!$B$10</f>
        <v>26000203</v>
      </c>
      <c r="D17" s="99" t="str">
        <f>"高难主线"&amp;高难主线关卡!$A$10&amp;"-"&amp;高难主线关卡!$B$10&amp;"首通钻石奖励"</f>
        <v>高难主线2-3首通钻石奖励</v>
      </c>
      <c r="E17" s="99" t="str">
        <f>"高难主线"&amp;高难主线关卡!$A$10&amp;"-"&amp;高难主线关卡!$B$10&amp;"首通钻石奖励"</f>
        <v>高难主线2-3首通钻石奖励</v>
      </c>
      <c r="F17" s="98">
        <v>0</v>
      </c>
      <c r="G17" s="98" t="s">
        <v>2559</v>
      </c>
      <c r="H17" s="98">
        <v>1</v>
      </c>
      <c r="I17" s="98">
        <v>1</v>
      </c>
      <c r="J17" s="98" t="s">
        <v>265</v>
      </c>
      <c r="K17" s="98">
        <v>2</v>
      </c>
      <c r="L17" s="98">
        <f>高难主线关卡!$AC$10</f>
        <v>50</v>
      </c>
      <c r="M17" s="98">
        <f>高难主线关卡!$AC$10</f>
        <v>50</v>
      </c>
      <c r="N17" s="98">
        <v>10000</v>
      </c>
      <c r="O17" s="98">
        <v>2</v>
      </c>
      <c r="P17" s="98" t="b">
        <f>高难主线关卡!$AC$10&gt;0</f>
        <v>1</v>
      </c>
      <c r="Q17" s="98" t="s">
        <v>265</v>
      </c>
      <c r="S17" s="97">
        <f>高难主线关卡!A22</f>
        <v>4</v>
      </c>
      <c r="T17" s="97">
        <f>高难主线关卡!B22</f>
        <v>5</v>
      </c>
      <c r="U17" s="97">
        <f>高难主线关卡!C22</f>
        <v>200405</v>
      </c>
      <c r="V17" s="97">
        <f>26000000+高难主线关卡!A22*100+高难主线关卡!B22</f>
        <v>26000405</v>
      </c>
      <c r="W17" s="97">
        <f>26100000+高难主线关卡!A22*100+高难主线关卡!B22</f>
        <v>26100405</v>
      </c>
      <c r="X17" s="97">
        <f>26200000+高难主线关卡!A22*100+高难主线关卡!B22</f>
        <v>26200405</v>
      </c>
      <c r="Y17" s="97">
        <f>高难主线关卡!AC22</f>
        <v>50</v>
      </c>
      <c r="Z17" s="97" t="str">
        <f>高难主线关卡!E22&amp;" "&amp;高难主线关卡!T22&amp;"级x"&amp;高难主线关卡!U22</f>
        <v>白宝石 2级x2</v>
      </c>
      <c r="AA17" s="97" t="str">
        <f>高难主线关卡!E22&amp;" 数量"&amp;高难主线关卡!J22&amp;"；"&amp;高难主线关卡!O22</f>
        <v>白宝石 数量4；L1:433;L2:567</v>
      </c>
    </row>
    <row r="18" ht="16.5" customHeight="1" spans="1:27">
      <c r="A18" s="98" t="s">
        <v>265</v>
      </c>
      <c r="B18" s="98">
        <f t="shared" si="0"/>
        <v>300014</v>
      </c>
      <c r="C18" s="98">
        <f>26100000+高难主线关卡!$A$10*100+高难主线关卡!$B$10</f>
        <v>26100203</v>
      </c>
      <c r="D18" s="99" t="str">
        <f>"高难主线"&amp;高难主线关卡!$A$10&amp;"-"&amp;高难主线关卡!$B$10&amp;"首通宝石奖励"</f>
        <v>高难主线2-3首通宝石奖励</v>
      </c>
      <c r="E18" s="99" t="str">
        <f>"高难主线"&amp;高难主线关卡!$A$10&amp;"-"&amp;高难主线关卡!$B$10&amp;"首通宝石奖励"</f>
        <v>高难主线2-3首通宝石奖励</v>
      </c>
      <c r="F18" s="98">
        <v>0</v>
      </c>
      <c r="G18" s="98" t="s">
        <v>2559</v>
      </c>
      <c r="H18" s="98">
        <v>1</v>
      </c>
      <c r="I18" s="98">
        <v>1</v>
      </c>
      <c r="J18" s="98" t="s">
        <v>265</v>
      </c>
      <c r="K18" s="98">
        <f ca="1">INDEX(高难主线关卡!$P$10:高难主线关卡!$S$10,1,高难主线关卡!$T$10)</f>
        <v>81302</v>
      </c>
      <c r="L18" s="98">
        <f>高难主线关卡!$U$10</f>
        <v>2</v>
      </c>
      <c r="M18" s="98">
        <f>高难主线关卡!$U$10</f>
        <v>2</v>
      </c>
      <c r="N18" s="98">
        <v>10000</v>
      </c>
      <c r="O18" s="98">
        <f ca="1">INDEX(高难主线关卡!$P$10:高难主线关卡!$S$10,1,高难主线关卡!$T$10)</f>
        <v>81302</v>
      </c>
      <c r="P18" s="98" t="b">
        <f>高难主线关卡!$U$10&gt;0</f>
        <v>1</v>
      </c>
      <c r="Q18" s="98" t="s">
        <v>265</v>
      </c>
      <c r="S18" s="92"/>
      <c r="T18" s="92"/>
      <c r="U18" s="92"/>
      <c r="V18" s="92"/>
      <c r="W18" s="92"/>
      <c r="X18" s="92"/>
      <c r="Y18" s="92"/>
      <c r="Z18" s="92"/>
      <c r="AA18" s="92"/>
    </row>
    <row r="19" ht="16.5" customHeight="1" spans="1:27">
      <c r="A19" s="98" t="s">
        <v>265</v>
      </c>
      <c r="B19" s="98">
        <f t="shared" si="0"/>
        <v>300015</v>
      </c>
      <c r="C19" s="98">
        <f>26200000+高难主线关卡!$A$10*100+高难主线关卡!$B$10</f>
        <v>26200203</v>
      </c>
      <c r="D19" s="99" t="str">
        <f>"高难主线"&amp;高难主线关卡!$A$10&amp;"-"&amp;高难主线关卡!$B$10&amp;"常规宝石L1奖励"</f>
        <v>高难主线2-3常规宝石L1奖励</v>
      </c>
      <c r="E19" s="99" t="str">
        <f>"高难主线"&amp;高难主线关卡!$A$10&amp;"-"&amp;高难主线关卡!$B$10&amp;"常规宝石奖励"</f>
        <v>高难主线2-3常规宝石奖励</v>
      </c>
      <c r="F19" s="98">
        <v>0</v>
      </c>
      <c r="G19" s="98" t="s">
        <v>2560</v>
      </c>
      <c r="H19" s="98">
        <f>高难主线关卡!$J$10</f>
        <v>4</v>
      </c>
      <c r="I19" s="98">
        <f>高难主线关卡!$J$10</f>
        <v>4</v>
      </c>
      <c r="J19" s="98" t="s">
        <v>265</v>
      </c>
      <c r="K19" s="98">
        <f>高难主线关卡!$P$10</f>
        <v>81301</v>
      </c>
      <c r="L19" s="98">
        <v>1</v>
      </c>
      <c r="M19" s="98">
        <v>1</v>
      </c>
      <c r="N19" s="98">
        <f>ROUND(高难主线关卡!$K$10*10000,0)</f>
        <v>5000</v>
      </c>
      <c r="O19" s="98">
        <f>高难主线关卡!$P$10</f>
        <v>81301</v>
      </c>
      <c r="P19" s="98" t="b">
        <f>高难主线关卡!$K$10&gt;0</f>
        <v>1</v>
      </c>
      <c r="Q19" s="98" t="s">
        <v>265</v>
      </c>
      <c r="S19" s="100" t="s">
        <v>1236</v>
      </c>
      <c r="T19" s="101" t="s">
        <v>2561</v>
      </c>
      <c r="U19" s="94"/>
      <c r="V19" s="94"/>
      <c r="W19" s="94"/>
      <c r="X19" s="94"/>
      <c r="Y19" s="94"/>
      <c r="Z19" s="94"/>
      <c r="AA19" s="95"/>
    </row>
    <row r="20" ht="16.5" customHeight="1" spans="1:27">
      <c r="A20" s="98" t="s">
        <v>265</v>
      </c>
      <c r="B20" s="98">
        <f t="shared" si="0"/>
        <v>300016</v>
      </c>
      <c r="C20" s="98">
        <f>26200000+高难主线关卡!$A$10*100+高难主线关卡!$B$10</f>
        <v>26200203</v>
      </c>
      <c r="D20" s="99" t="str">
        <f>"高难主线"&amp;高难主线关卡!$A$10&amp;"-"&amp;高难主线关卡!$B$10&amp;"常规宝石L2奖励"</f>
        <v>高难主线2-3常规宝石L2奖励</v>
      </c>
      <c r="E20" s="99" t="str">
        <f>"高难主线"&amp;高难主线关卡!$A$10&amp;"-"&amp;高难主线关卡!$B$10&amp;"常规宝石奖励"</f>
        <v>高难主线2-3常规宝石奖励</v>
      </c>
      <c r="F20" s="98">
        <v>0</v>
      </c>
      <c r="G20" s="98" t="s">
        <v>2560</v>
      </c>
      <c r="H20" s="98">
        <f>高难主线关卡!$J$10</f>
        <v>4</v>
      </c>
      <c r="I20" s="98">
        <f>高难主线关卡!$J$10</f>
        <v>4</v>
      </c>
      <c r="J20" s="98" t="s">
        <v>265</v>
      </c>
      <c r="K20" s="98">
        <f>高难主线关卡!$Q$10</f>
        <v>81302</v>
      </c>
      <c r="L20" s="98">
        <v>1</v>
      </c>
      <c r="M20" s="98">
        <v>1</v>
      </c>
      <c r="N20" s="98">
        <f>ROUND(高难主线关卡!$L$10*10000,0)</f>
        <v>5000</v>
      </c>
      <c r="O20" s="98">
        <f>高难主线关卡!$Q$10</f>
        <v>81302</v>
      </c>
      <c r="P20" s="98" t="b">
        <f>高难主线关卡!$L$10&gt;0</f>
        <v>1</v>
      </c>
      <c r="Q20" s="98" t="s">
        <v>265</v>
      </c>
      <c r="S20" s="92"/>
      <c r="T20" s="92"/>
      <c r="U20" s="92"/>
      <c r="V20" s="92"/>
      <c r="W20" s="92"/>
      <c r="X20" s="92"/>
      <c r="Y20" s="92"/>
      <c r="Z20" s="92"/>
      <c r="AA20" s="92"/>
    </row>
    <row r="21" ht="16.5" customHeight="1" spans="1:27">
      <c r="A21" s="98" t="s">
        <v>265</v>
      </c>
      <c r="B21" s="98">
        <f t="shared" si="0"/>
        <v>300017</v>
      </c>
      <c r="C21" s="98">
        <f>26200000+高难主线关卡!$A$10*100+高难主线关卡!$B$10</f>
        <v>26200203</v>
      </c>
      <c r="D21" s="99" t="str">
        <f>"高难主线"&amp;高难主线关卡!$A$10&amp;"-"&amp;高难主线关卡!$B$10&amp;"常规宝石L3奖励"</f>
        <v>高难主线2-3常规宝石L3奖励</v>
      </c>
      <c r="E21" s="99" t="str">
        <f>"高难主线"&amp;高难主线关卡!$A$10&amp;"-"&amp;高难主线关卡!$B$10&amp;"常规宝石奖励"</f>
        <v>高难主线2-3常规宝石奖励</v>
      </c>
      <c r="F21" s="98">
        <v>0</v>
      </c>
      <c r="G21" s="98" t="s">
        <v>2560</v>
      </c>
      <c r="H21" s="98">
        <f>高难主线关卡!$J$10</f>
        <v>4</v>
      </c>
      <c r="I21" s="98">
        <f>高难主线关卡!$J$10</f>
        <v>4</v>
      </c>
      <c r="J21" s="98" t="s">
        <v>265</v>
      </c>
      <c r="K21" s="98">
        <f>高难主线关卡!$R$10</f>
        <v>81303</v>
      </c>
      <c r="L21" s="98">
        <v>1</v>
      </c>
      <c r="M21" s="98">
        <v>1</v>
      </c>
      <c r="N21" s="98">
        <f>ROUND(高难主线关卡!$M$10*10000,0)</f>
        <v>0</v>
      </c>
      <c r="O21" s="98">
        <f>高难主线关卡!$R$10</f>
        <v>81303</v>
      </c>
      <c r="P21" s="98" t="b">
        <f>高难主线关卡!$M$10&gt;0</f>
        <v>0</v>
      </c>
      <c r="Q21" s="98" t="s">
        <v>265</v>
      </c>
      <c r="S21" s="92"/>
      <c r="T21" s="92"/>
      <c r="U21" s="92"/>
      <c r="V21" s="92"/>
      <c r="W21" s="92"/>
      <c r="X21" s="92"/>
      <c r="Y21" s="92"/>
      <c r="Z21" s="92"/>
      <c r="AA21" s="92"/>
    </row>
    <row r="22" ht="16.5" customHeight="1" spans="1:27">
      <c r="A22" s="98" t="s">
        <v>265</v>
      </c>
      <c r="B22" s="98">
        <f t="shared" si="0"/>
        <v>300018</v>
      </c>
      <c r="C22" s="98">
        <f>26200000+高难主线关卡!$A$10*100+高难主线关卡!$B$10</f>
        <v>26200203</v>
      </c>
      <c r="D22" s="99" t="str">
        <f>"高难主线"&amp;高难主线关卡!$A$10&amp;"-"&amp;高难主线关卡!$B$10&amp;"常规宝石L4奖励"</f>
        <v>高难主线2-3常规宝石L4奖励</v>
      </c>
      <c r="E22" s="99" t="str">
        <f>"高难主线"&amp;高难主线关卡!$A$10&amp;"-"&amp;高难主线关卡!$B$10&amp;"常规宝石奖励"</f>
        <v>高难主线2-3常规宝石奖励</v>
      </c>
      <c r="F22" s="98">
        <v>0</v>
      </c>
      <c r="G22" s="98" t="s">
        <v>2560</v>
      </c>
      <c r="H22" s="98">
        <f>高难主线关卡!$J$10</f>
        <v>4</v>
      </c>
      <c r="I22" s="98">
        <f>高难主线关卡!$J$10</f>
        <v>4</v>
      </c>
      <c r="J22" s="98" t="s">
        <v>265</v>
      </c>
      <c r="K22" s="98">
        <f>高难主线关卡!$S$10</f>
        <v>81304</v>
      </c>
      <c r="L22" s="98">
        <v>1</v>
      </c>
      <c r="M22" s="98">
        <v>1</v>
      </c>
      <c r="N22" s="98">
        <f>ROUND(高难主线关卡!$N$10*10000,0)</f>
        <v>0</v>
      </c>
      <c r="O22" s="98">
        <f>高难主线关卡!$S$10</f>
        <v>81304</v>
      </c>
      <c r="P22" s="98" t="b">
        <f>高难主线关卡!$N$10&gt;0</f>
        <v>0</v>
      </c>
      <c r="Q22" s="98" t="s">
        <v>265</v>
      </c>
      <c r="S22" s="92"/>
      <c r="T22" s="92"/>
      <c r="U22" s="92"/>
      <c r="V22" s="92"/>
      <c r="W22" s="92"/>
      <c r="X22" s="92"/>
      <c r="Y22" s="92"/>
      <c r="Z22" s="92"/>
      <c r="AA22" s="92"/>
    </row>
    <row r="23" ht="16.5" customHeight="1" spans="1:27">
      <c r="A23" s="98" t="s">
        <v>265</v>
      </c>
      <c r="B23" s="98">
        <f t="shared" si="0"/>
        <v>300019</v>
      </c>
      <c r="C23" s="98">
        <f>26000000+高难主线关卡!$A$11*100+高难主线关卡!$B$11</f>
        <v>26000204</v>
      </c>
      <c r="D23" s="99" t="str">
        <f>"高难主线"&amp;高难主线关卡!$A$11&amp;"-"&amp;高难主线关卡!$B$11&amp;"首通钻石奖励"</f>
        <v>高难主线2-4首通钻石奖励</v>
      </c>
      <c r="E23" s="99" t="str">
        <f>"高难主线"&amp;高难主线关卡!$A$11&amp;"-"&amp;高难主线关卡!$B$11&amp;"首通钻石奖励"</f>
        <v>高难主线2-4首通钻石奖励</v>
      </c>
      <c r="F23" s="98">
        <v>0</v>
      </c>
      <c r="G23" s="98" t="s">
        <v>2559</v>
      </c>
      <c r="H23" s="98">
        <v>1</v>
      </c>
      <c r="I23" s="98">
        <v>1</v>
      </c>
      <c r="J23" s="98" t="s">
        <v>265</v>
      </c>
      <c r="K23" s="98">
        <v>2</v>
      </c>
      <c r="L23" s="98">
        <f>高难主线关卡!$AC$11</f>
        <v>50</v>
      </c>
      <c r="M23" s="98">
        <f>高难主线关卡!$AC$11</f>
        <v>50</v>
      </c>
      <c r="N23" s="98">
        <v>10000</v>
      </c>
      <c r="O23" s="98">
        <v>2</v>
      </c>
      <c r="P23" s="98" t="b">
        <f>高难主线关卡!$AC$11&gt;0</f>
        <v>1</v>
      </c>
      <c r="Q23" s="98" t="s">
        <v>265</v>
      </c>
      <c r="S23" s="92"/>
      <c r="T23" s="92"/>
      <c r="U23" s="92"/>
      <c r="V23" s="92"/>
      <c r="W23" s="92"/>
      <c r="X23" s="92"/>
      <c r="Y23" s="92"/>
      <c r="Z23" s="92"/>
      <c r="AA23" s="92"/>
    </row>
    <row r="24" ht="16.5" customHeight="1" spans="1:27">
      <c r="A24" s="98" t="s">
        <v>265</v>
      </c>
      <c r="B24" s="98">
        <f t="shared" si="0"/>
        <v>300020</v>
      </c>
      <c r="C24" s="98">
        <f>26100000+高难主线关卡!$A$11*100+高难主线关卡!$B$11</f>
        <v>26100204</v>
      </c>
      <c r="D24" s="99" t="str">
        <f>"高难主线"&amp;高难主线关卡!$A$11&amp;"-"&amp;高难主线关卡!$B$11&amp;"首通宝石奖励"</f>
        <v>高难主线2-4首通宝石奖励</v>
      </c>
      <c r="E24" s="99" t="str">
        <f>"高难主线"&amp;高难主线关卡!$A$11&amp;"-"&amp;高难主线关卡!$B$11&amp;"首通宝石奖励"</f>
        <v>高难主线2-4首通宝石奖励</v>
      </c>
      <c r="F24" s="98">
        <v>0</v>
      </c>
      <c r="G24" s="98" t="s">
        <v>2559</v>
      </c>
      <c r="H24" s="98">
        <v>1</v>
      </c>
      <c r="I24" s="98">
        <v>1</v>
      </c>
      <c r="J24" s="98" t="s">
        <v>265</v>
      </c>
      <c r="K24" s="98">
        <f ca="1">INDEX(高难主线关卡!$P$11:高难主线关卡!$S$11,1,高难主线关卡!$T$11)</f>
        <v>81402</v>
      </c>
      <c r="L24" s="98">
        <f>高难主线关卡!$U$11</f>
        <v>2</v>
      </c>
      <c r="M24" s="98">
        <f>高难主线关卡!$U$11</f>
        <v>2</v>
      </c>
      <c r="N24" s="98">
        <v>10000</v>
      </c>
      <c r="O24" s="98">
        <f ca="1">INDEX(高难主线关卡!$P$11:高难主线关卡!$S$11,1,高难主线关卡!$T$11)</f>
        <v>81402</v>
      </c>
      <c r="P24" s="98" t="b">
        <f>高难主线关卡!$U$11&gt;0</f>
        <v>1</v>
      </c>
      <c r="Q24" s="98" t="s">
        <v>265</v>
      </c>
      <c r="S24" s="92"/>
      <c r="T24" s="92"/>
      <c r="U24" s="92"/>
      <c r="V24" s="92"/>
      <c r="W24" s="92"/>
      <c r="X24" s="92"/>
      <c r="Y24" s="92"/>
      <c r="Z24" s="92"/>
      <c r="AA24" s="92"/>
    </row>
    <row r="25" ht="16.5" customHeight="1" spans="1:27">
      <c r="A25" s="98" t="s">
        <v>265</v>
      </c>
      <c r="B25" s="98">
        <f t="shared" si="0"/>
        <v>300021</v>
      </c>
      <c r="C25" s="98">
        <f>26200000+高难主线关卡!$A$11*100+高难主线关卡!$B$11</f>
        <v>26200204</v>
      </c>
      <c r="D25" s="99" t="str">
        <f>"高难主线"&amp;高难主线关卡!$A$11&amp;"-"&amp;高难主线关卡!$B$11&amp;"常规宝石L1奖励"</f>
        <v>高难主线2-4常规宝石L1奖励</v>
      </c>
      <c r="E25" s="99" t="str">
        <f>"高难主线"&amp;高难主线关卡!$A$11&amp;"-"&amp;高难主线关卡!$B$11&amp;"常规宝石奖励"</f>
        <v>高难主线2-4常规宝石奖励</v>
      </c>
      <c r="F25" s="98">
        <v>0</v>
      </c>
      <c r="G25" s="98" t="s">
        <v>2560</v>
      </c>
      <c r="H25" s="98">
        <f>高难主线关卡!$J$11</f>
        <v>4</v>
      </c>
      <c r="I25" s="98">
        <f>高难主线关卡!$J$11</f>
        <v>4</v>
      </c>
      <c r="J25" s="98" t="s">
        <v>265</v>
      </c>
      <c r="K25" s="98">
        <f>高难主线关卡!$P$11</f>
        <v>81401</v>
      </c>
      <c r="L25" s="98">
        <v>1</v>
      </c>
      <c r="M25" s="98">
        <v>1</v>
      </c>
      <c r="N25" s="98">
        <f>ROUND(高难主线关卡!$K$11*10000,0)</f>
        <v>5000</v>
      </c>
      <c r="O25" s="98">
        <f>高难主线关卡!$P$11</f>
        <v>81401</v>
      </c>
      <c r="P25" s="98" t="b">
        <f>高难主线关卡!$K$11&gt;0</f>
        <v>1</v>
      </c>
      <c r="Q25" s="98" t="s">
        <v>265</v>
      </c>
      <c r="S25" s="92"/>
      <c r="T25" s="92"/>
      <c r="U25" s="92"/>
      <c r="V25" s="92"/>
      <c r="W25" s="92"/>
      <c r="X25" s="92"/>
      <c r="Y25" s="92"/>
      <c r="Z25" s="92"/>
      <c r="AA25" s="92"/>
    </row>
    <row r="26" ht="16.5" customHeight="1" spans="1:27">
      <c r="A26" s="98" t="s">
        <v>265</v>
      </c>
      <c r="B26" s="98">
        <f t="shared" si="0"/>
        <v>300022</v>
      </c>
      <c r="C26" s="98">
        <f>26200000+高难主线关卡!$A$11*100+高难主线关卡!$B$11</f>
        <v>26200204</v>
      </c>
      <c r="D26" s="99" t="str">
        <f>"高难主线"&amp;高难主线关卡!$A$11&amp;"-"&amp;高难主线关卡!$B$11&amp;"常规宝石L2奖励"</f>
        <v>高难主线2-4常规宝石L2奖励</v>
      </c>
      <c r="E26" s="99" t="str">
        <f>"高难主线"&amp;高难主线关卡!$A$11&amp;"-"&amp;高难主线关卡!$B$11&amp;"常规宝石奖励"</f>
        <v>高难主线2-4常规宝石奖励</v>
      </c>
      <c r="F26" s="98">
        <v>0</v>
      </c>
      <c r="G26" s="98" t="s">
        <v>2560</v>
      </c>
      <c r="H26" s="98">
        <f>高难主线关卡!$J$11</f>
        <v>4</v>
      </c>
      <c r="I26" s="98">
        <f>高难主线关卡!$J$11</f>
        <v>4</v>
      </c>
      <c r="J26" s="98" t="s">
        <v>265</v>
      </c>
      <c r="K26" s="98">
        <f>高难主线关卡!$Q$11</f>
        <v>81402</v>
      </c>
      <c r="L26" s="98">
        <v>1</v>
      </c>
      <c r="M26" s="98">
        <v>1</v>
      </c>
      <c r="N26" s="98">
        <f>ROUND(高难主线关卡!$L$11*10000,0)</f>
        <v>5000</v>
      </c>
      <c r="O26" s="98">
        <f>高难主线关卡!$Q$11</f>
        <v>81402</v>
      </c>
      <c r="P26" s="98" t="b">
        <f>高难主线关卡!$L$11&gt;0</f>
        <v>1</v>
      </c>
      <c r="Q26" s="98" t="s">
        <v>265</v>
      </c>
      <c r="S26" s="92"/>
      <c r="T26" s="92"/>
      <c r="U26" s="92"/>
      <c r="V26" s="92"/>
      <c r="W26" s="92"/>
      <c r="X26" s="92"/>
      <c r="Y26" s="92"/>
      <c r="Z26" s="92"/>
      <c r="AA26" s="92"/>
    </row>
    <row r="27" ht="16.5" customHeight="1" spans="1:27">
      <c r="A27" s="98" t="s">
        <v>265</v>
      </c>
      <c r="B27" s="98">
        <f t="shared" si="0"/>
        <v>300023</v>
      </c>
      <c r="C27" s="98">
        <f>26200000+高难主线关卡!$A$11*100+高难主线关卡!$B$11</f>
        <v>26200204</v>
      </c>
      <c r="D27" s="99" t="str">
        <f>"高难主线"&amp;高难主线关卡!$A$11&amp;"-"&amp;高难主线关卡!$B$11&amp;"常规宝石L3奖励"</f>
        <v>高难主线2-4常规宝石L3奖励</v>
      </c>
      <c r="E27" s="99" t="str">
        <f>"高难主线"&amp;高难主线关卡!$A$11&amp;"-"&amp;高难主线关卡!$B$11&amp;"常规宝石奖励"</f>
        <v>高难主线2-4常规宝石奖励</v>
      </c>
      <c r="F27" s="98">
        <v>0</v>
      </c>
      <c r="G27" s="98" t="s">
        <v>2560</v>
      </c>
      <c r="H27" s="98">
        <f>高难主线关卡!$J$11</f>
        <v>4</v>
      </c>
      <c r="I27" s="98">
        <f>高难主线关卡!$J$11</f>
        <v>4</v>
      </c>
      <c r="J27" s="98" t="s">
        <v>265</v>
      </c>
      <c r="K27" s="98">
        <f>高难主线关卡!$R$11</f>
        <v>81403</v>
      </c>
      <c r="L27" s="98">
        <v>1</v>
      </c>
      <c r="M27" s="98">
        <v>1</v>
      </c>
      <c r="N27" s="98">
        <f>ROUND(高难主线关卡!$M$11*10000,0)</f>
        <v>0</v>
      </c>
      <c r="O27" s="98">
        <f>高难主线关卡!$R$11</f>
        <v>81403</v>
      </c>
      <c r="P27" s="98" t="b">
        <f>高难主线关卡!$M$11&gt;0</f>
        <v>0</v>
      </c>
      <c r="Q27" s="98" t="s">
        <v>265</v>
      </c>
      <c r="S27" s="92"/>
      <c r="T27" s="92"/>
      <c r="U27" s="92"/>
      <c r="V27" s="92"/>
      <c r="W27" s="92"/>
      <c r="X27" s="92"/>
      <c r="Y27" s="92"/>
      <c r="Z27" s="92"/>
      <c r="AA27" s="92"/>
    </row>
    <row r="28" ht="16.5" customHeight="1" spans="1:27">
      <c r="A28" s="98" t="s">
        <v>265</v>
      </c>
      <c r="B28" s="98">
        <f t="shared" si="0"/>
        <v>300024</v>
      </c>
      <c r="C28" s="98">
        <f>26200000+高难主线关卡!$A$11*100+高难主线关卡!$B$11</f>
        <v>26200204</v>
      </c>
      <c r="D28" s="99" t="str">
        <f>"高难主线"&amp;高难主线关卡!$A$11&amp;"-"&amp;高难主线关卡!$B$11&amp;"常规宝石L4奖励"</f>
        <v>高难主线2-4常规宝石L4奖励</v>
      </c>
      <c r="E28" s="99" t="str">
        <f>"高难主线"&amp;高难主线关卡!$A$11&amp;"-"&amp;高难主线关卡!$B$11&amp;"常规宝石奖励"</f>
        <v>高难主线2-4常规宝石奖励</v>
      </c>
      <c r="F28" s="98">
        <v>0</v>
      </c>
      <c r="G28" s="98" t="s">
        <v>2560</v>
      </c>
      <c r="H28" s="98">
        <f>高难主线关卡!$J$11</f>
        <v>4</v>
      </c>
      <c r="I28" s="98">
        <f>高难主线关卡!$J$11</f>
        <v>4</v>
      </c>
      <c r="J28" s="98" t="s">
        <v>265</v>
      </c>
      <c r="K28" s="98">
        <f>高难主线关卡!$S$11</f>
        <v>81404</v>
      </c>
      <c r="L28" s="98">
        <v>1</v>
      </c>
      <c r="M28" s="98">
        <v>1</v>
      </c>
      <c r="N28" s="98">
        <f>ROUND(高难主线关卡!$N$11*10000,0)</f>
        <v>0</v>
      </c>
      <c r="O28" s="98">
        <f>高难主线关卡!$S$11</f>
        <v>81404</v>
      </c>
      <c r="P28" s="98" t="b">
        <f>高难主线关卡!$N$11&gt;0</f>
        <v>0</v>
      </c>
      <c r="Q28" s="98" t="s">
        <v>265</v>
      </c>
      <c r="S28" s="92"/>
      <c r="T28" s="92"/>
      <c r="U28" s="92"/>
      <c r="V28" s="92"/>
      <c r="W28" s="92"/>
      <c r="X28" s="92"/>
      <c r="Y28" s="92"/>
      <c r="Z28" s="92"/>
      <c r="AA28" s="92"/>
    </row>
    <row r="29" ht="16.5" customHeight="1" spans="1:27">
      <c r="A29" s="98" t="s">
        <v>265</v>
      </c>
      <c r="B29" s="98">
        <f t="shared" si="0"/>
        <v>300025</v>
      </c>
      <c r="C29" s="98">
        <f>26000000+高难主线关卡!$A$12*100+高难主线关卡!$B$12</f>
        <v>26000205</v>
      </c>
      <c r="D29" s="99" t="str">
        <f>"高难主线"&amp;高难主线关卡!$A$12&amp;"-"&amp;高难主线关卡!$B$12&amp;"首通钻石奖励"</f>
        <v>高难主线2-5首通钻石奖励</v>
      </c>
      <c r="E29" s="99" t="str">
        <f>"高难主线"&amp;高难主线关卡!$A$12&amp;"-"&amp;高难主线关卡!$B$12&amp;"首通钻石奖励"</f>
        <v>高难主线2-5首通钻石奖励</v>
      </c>
      <c r="F29" s="98">
        <v>0</v>
      </c>
      <c r="G29" s="98" t="s">
        <v>2559</v>
      </c>
      <c r="H29" s="98">
        <v>1</v>
      </c>
      <c r="I29" s="98">
        <v>1</v>
      </c>
      <c r="J29" s="98" t="s">
        <v>265</v>
      </c>
      <c r="K29" s="98">
        <v>2</v>
      </c>
      <c r="L29" s="98">
        <f>高难主线关卡!$AC$12</f>
        <v>50</v>
      </c>
      <c r="M29" s="98">
        <f>高难主线关卡!$AC$12</f>
        <v>50</v>
      </c>
      <c r="N29" s="98">
        <v>10000</v>
      </c>
      <c r="O29" s="98">
        <v>2</v>
      </c>
      <c r="P29" s="98" t="b">
        <f>高难主线关卡!$AC$12&gt;0</f>
        <v>1</v>
      </c>
      <c r="Q29" s="98" t="s">
        <v>265</v>
      </c>
      <c r="S29" s="92"/>
      <c r="T29" s="92"/>
      <c r="U29" s="92"/>
      <c r="V29" s="92"/>
      <c r="W29" s="92"/>
      <c r="X29" s="92"/>
      <c r="Y29" s="92"/>
      <c r="Z29" s="92"/>
      <c r="AA29" s="92"/>
    </row>
    <row r="30" ht="16.5" customHeight="1" spans="1:27">
      <c r="A30" s="98" t="s">
        <v>265</v>
      </c>
      <c r="B30" s="98">
        <f t="shared" si="0"/>
        <v>300026</v>
      </c>
      <c r="C30" s="98">
        <f>26100000+高难主线关卡!$A$12*100+高难主线关卡!$B$12</f>
        <v>26100205</v>
      </c>
      <c r="D30" s="99" t="str">
        <f>"高难主线"&amp;高难主线关卡!$A$12&amp;"-"&amp;高难主线关卡!$B$12&amp;"首通宝石奖励"</f>
        <v>高难主线2-5首通宝石奖励</v>
      </c>
      <c r="E30" s="99" t="str">
        <f>"高难主线"&amp;高难主线关卡!$A$12&amp;"-"&amp;高难主线关卡!$B$12&amp;"首通宝石奖励"</f>
        <v>高难主线2-5首通宝石奖励</v>
      </c>
      <c r="F30" s="98">
        <v>0</v>
      </c>
      <c r="G30" s="98" t="s">
        <v>2559</v>
      </c>
      <c r="H30" s="98">
        <v>1</v>
      </c>
      <c r="I30" s="98">
        <v>1</v>
      </c>
      <c r="J30" s="98" t="s">
        <v>265</v>
      </c>
      <c r="K30" s="98">
        <f ca="1">INDEX(高难主线关卡!$P$12:高难主线关卡!$S$12,1,高难主线关卡!$T$12)</f>
        <v>81502</v>
      </c>
      <c r="L30" s="98">
        <f>高难主线关卡!$U$12</f>
        <v>3</v>
      </c>
      <c r="M30" s="98">
        <f>高难主线关卡!$U$12</f>
        <v>3</v>
      </c>
      <c r="N30" s="98">
        <v>10000</v>
      </c>
      <c r="O30" s="98">
        <f ca="1">INDEX(高难主线关卡!$P$12:高难主线关卡!$S$12,1,高难主线关卡!$T$12)</f>
        <v>81502</v>
      </c>
      <c r="P30" s="98" t="b">
        <f>高难主线关卡!$U$12&gt;0</f>
        <v>1</v>
      </c>
      <c r="Q30" s="98" t="s">
        <v>265</v>
      </c>
      <c r="S30" s="92"/>
      <c r="T30" s="92"/>
      <c r="U30" s="92"/>
      <c r="V30" s="92"/>
      <c r="W30" s="92"/>
      <c r="X30" s="92"/>
      <c r="Y30" s="92"/>
      <c r="Z30" s="92"/>
      <c r="AA30" s="92"/>
    </row>
    <row r="31" ht="16.5" customHeight="1" spans="1:27">
      <c r="A31" s="98" t="s">
        <v>265</v>
      </c>
      <c r="B31" s="98">
        <f t="shared" si="0"/>
        <v>300027</v>
      </c>
      <c r="C31" s="98">
        <f>26200000+高难主线关卡!$A$12*100+高难主线关卡!$B$12</f>
        <v>26200205</v>
      </c>
      <c r="D31" s="99" t="str">
        <f>"高难主线"&amp;高难主线关卡!$A$12&amp;"-"&amp;高难主线关卡!$B$12&amp;"常规宝石L1奖励"</f>
        <v>高难主线2-5常规宝石L1奖励</v>
      </c>
      <c r="E31" s="99" t="str">
        <f>"高难主线"&amp;高难主线关卡!$A$12&amp;"-"&amp;高难主线关卡!$B$12&amp;"常规宝石奖励"</f>
        <v>高难主线2-5常规宝石奖励</v>
      </c>
      <c r="F31" s="98">
        <v>0</v>
      </c>
      <c r="G31" s="98" t="s">
        <v>2560</v>
      </c>
      <c r="H31" s="98">
        <f>高难主线关卡!$J$12</f>
        <v>4</v>
      </c>
      <c r="I31" s="98">
        <f>高难主线关卡!$J$12</f>
        <v>4</v>
      </c>
      <c r="J31" s="98" t="s">
        <v>265</v>
      </c>
      <c r="K31" s="98">
        <f>高难主线关卡!$P$12</f>
        <v>81501</v>
      </c>
      <c r="L31" s="98">
        <v>1</v>
      </c>
      <c r="M31" s="98">
        <v>1</v>
      </c>
      <c r="N31" s="98">
        <f>ROUND(高难主线关卡!$K$12*10000,0)</f>
        <v>5000</v>
      </c>
      <c r="O31" s="98">
        <f>高难主线关卡!$P$12</f>
        <v>81501</v>
      </c>
      <c r="P31" s="98" t="b">
        <f>高难主线关卡!$K$12&gt;0</f>
        <v>1</v>
      </c>
      <c r="Q31" s="98" t="s">
        <v>265</v>
      </c>
      <c r="S31" s="92"/>
      <c r="T31" s="92"/>
      <c r="U31" s="92"/>
      <c r="V31" s="92"/>
      <c r="W31" s="92"/>
      <c r="X31" s="92"/>
      <c r="Y31" s="92"/>
      <c r="Z31" s="92"/>
      <c r="AA31" s="92"/>
    </row>
    <row r="32" ht="16.5" customHeight="1" spans="1:27">
      <c r="A32" s="98" t="s">
        <v>265</v>
      </c>
      <c r="B32" s="98">
        <f t="shared" si="0"/>
        <v>300028</v>
      </c>
      <c r="C32" s="98">
        <f>26200000+高难主线关卡!$A$12*100+高难主线关卡!$B$12</f>
        <v>26200205</v>
      </c>
      <c r="D32" s="99" t="str">
        <f>"高难主线"&amp;高难主线关卡!$A$12&amp;"-"&amp;高难主线关卡!$B$12&amp;"常规宝石L2奖励"</f>
        <v>高难主线2-5常规宝石L2奖励</v>
      </c>
      <c r="E32" s="99" t="str">
        <f>"高难主线"&amp;高难主线关卡!$A$12&amp;"-"&amp;高难主线关卡!$B$12&amp;"常规宝石奖励"</f>
        <v>高难主线2-5常规宝石奖励</v>
      </c>
      <c r="F32" s="98">
        <v>0</v>
      </c>
      <c r="G32" s="98" t="s">
        <v>2560</v>
      </c>
      <c r="H32" s="98">
        <f>高难主线关卡!$J$12</f>
        <v>4</v>
      </c>
      <c r="I32" s="98">
        <f>高难主线关卡!$J$12</f>
        <v>4</v>
      </c>
      <c r="J32" s="98" t="s">
        <v>265</v>
      </c>
      <c r="K32" s="98">
        <f>高难主线关卡!$Q$12</f>
        <v>81502</v>
      </c>
      <c r="L32" s="98">
        <v>1</v>
      </c>
      <c r="M32" s="98">
        <v>1</v>
      </c>
      <c r="N32" s="98">
        <f>ROUND(高难主线关卡!$L$12*10000,0)</f>
        <v>5000</v>
      </c>
      <c r="O32" s="98">
        <f>高难主线关卡!$Q$12</f>
        <v>81502</v>
      </c>
      <c r="P32" s="98" t="b">
        <f>高难主线关卡!$L$12&gt;0</f>
        <v>1</v>
      </c>
      <c r="Q32" s="98" t="s">
        <v>265</v>
      </c>
      <c r="S32" s="92"/>
      <c r="T32" s="92"/>
      <c r="U32" s="92"/>
      <c r="V32" s="92"/>
      <c r="W32" s="92"/>
      <c r="X32" s="92"/>
      <c r="Y32" s="92"/>
      <c r="Z32" s="92"/>
      <c r="AA32" s="92"/>
    </row>
    <row r="33" ht="16.5" customHeight="1" spans="1:27">
      <c r="A33" s="98" t="s">
        <v>265</v>
      </c>
      <c r="B33" s="98">
        <f t="shared" si="0"/>
        <v>300029</v>
      </c>
      <c r="C33" s="98">
        <f>26200000+高难主线关卡!$A$12*100+高难主线关卡!$B$12</f>
        <v>26200205</v>
      </c>
      <c r="D33" s="99" t="str">
        <f>"高难主线"&amp;高难主线关卡!$A$12&amp;"-"&amp;高难主线关卡!$B$12&amp;"常规宝石L3奖励"</f>
        <v>高难主线2-5常规宝石L3奖励</v>
      </c>
      <c r="E33" s="99" t="str">
        <f>"高难主线"&amp;高难主线关卡!$A$12&amp;"-"&amp;高难主线关卡!$B$12&amp;"常规宝石奖励"</f>
        <v>高难主线2-5常规宝石奖励</v>
      </c>
      <c r="F33" s="98">
        <v>0</v>
      </c>
      <c r="G33" s="98" t="s">
        <v>2560</v>
      </c>
      <c r="H33" s="98">
        <f>高难主线关卡!$J$12</f>
        <v>4</v>
      </c>
      <c r="I33" s="98">
        <f>高难主线关卡!$J$12</f>
        <v>4</v>
      </c>
      <c r="J33" s="98" t="s">
        <v>265</v>
      </c>
      <c r="K33" s="98">
        <f>高难主线关卡!$R$12</f>
        <v>81503</v>
      </c>
      <c r="L33" s="98">
        <v>1</v>
      </c>
      <c r="M33" s="98">
        <v>1</v>
      </c>
      <c r="N33" s="98">
        <f>ROUND(高难主线关卡!$M$12*10000,0)</f>
        <v>0</v>
      </c>
      <c r="O33" s="98">
        <f>高难主线关卡!$R$12</f>
        <v>81503</v>
      </c>
      <c r="P33" s="98" t="b">
        <f>高难主线关卡!$M$12&gt;0</f>
        <v>0</v>
      </c>
      <c r="Q33" s="98" t="s">
        <v>265</v>
      </c>
      <c r="S33" s="92"/>
      <c r="T33" s="92"/>
      <c r="U33" s="92"/>
      <c r="V33" s="92"/>
      <c r="W33" s="92"/>
      <c r="X33" s="92"/>
      <c r="Y33" s="92"/>
      <c r="Z33" s="92"/>
      <c r="AA33" s="92"/>
    </row>
    <row r="34" ht="16.5" customHeight="1" spans="1:27">
      <c r="A34" s="98" t="s">
        <v>265</v>
      </c>
      <c r="B34" s="98">
        <f t="shared" si="0"/>
        <v>300030</v>
      </c>
      <c r="C34" s="98">
        <f>26200000+高难主线关卡!$A$12*100+高难主线关卡!$B$12</f>
        <v>26200205</v>
      </c>
      <c r="D34" s="99" t="str">
        <f>"高难主线"&amp;高难主线关卡!$A$12&amp;"-"&amp;高难主线关卡!$B$12&amp;"常规宝石L4奖励"</f>
        <v>高难主线2-5常规宝石L4奖励</v>
      </c>
      <c r="E34" s="99" t="str">
        <f>"高难主线"&amp;高难主线关卡!$A$12&amp;"-"&amp;高难主线关卡!$B$12&amp;"常规宝石奖励"</f>
        <v>高难主线2-5常规宝石奖励</v>
      </c>
      <c r="F34" s="98">
        <v>0</v>
      </c>
      <c r="G34" s="98" t="s">
        <v>2560</v>
      </c>
      <c r="H34" s="98">
        <f>高难主线关卡!$J$12</f>
        <v>4</v>
      </c>
      <c r="I34" s="98">
        <f>高难主线关卡!$J$12</f>
        <v>4</v>
      </c>
      <c r="J34" s="98" t="s">
        <v>265</v>
      </c>
      <c r="K34" s="98">
        <f>高难主线关卡!$S$12</f>
        <v>81504</v>
      </c>
      <c r="L34" s="98">
        <v>1</v>
      </c>
      <c r="M34" s="98">
        <v>1</v>
      </c>
      <c r="N34" s="98">
        <f>ROUND(高难主线关卡!$N$12*10000,0)</f>
        <v>0</v>
      </c>
      <c r="O34" s="98">
        <f>高难主线关卡!$S$12</f>
        <v>81504</v>
      </c>
      <c r="P34" s="98" t="b">
        <f>高难主线关卡!$N$12&gt;0</f>
        <v>0</v>
      </c>
      <c r="Q34" s="98" t="s">
        <v>265</v>
      </c>
      <c r="S34" s="92"/>
      <c r="T34" s="92"/>
      <c r="U34" s="92"/>
      <c r="V34" s="92"/>
      <c r="W34" s="92"/>
      <c r="X34" s="92"/>
      <c r="Y34" s="92"/>
      <c r="Z34" s="92"/>
      <c r="AA34" s="92"/>
    </row>
    <row r="35" ht="16.5" customHeight="1" spans="1:27">
      <c r="A35" s="98" t="s">
        <v>265</v>
      </c>
      <c r="B35" s="98">
        <f t="shared" si="0"/>
        <v>300031</v>
      </c>
      <c r="C35" s="98">
        <f>26000000+高难主线关卡!$A$13*100+高难主线关卡!$B$13</f>
        <v>26000301</v>
      </c>
      <c r="D35" s="99" t="str">
        <f>"高难主线"&amp;高难主线关卡!$A$13&amp;"-"&amp;高难主线关卡!$B$13&amp;"首通钻石奖励"</f>
        <v>高难主线3-1首通钻石奖励</v>
      </c>
      <c r="E35" s="99" t="str">
        <f>"高难主线"&amp;高难主线关卡!$A$13&amp;"-"&amp;高难主线关卡!$B$13&amp;"首通钻石奖励"</f>
        <v>高难主线3-1首通钻石奖励</v>
      </c>
      <c r="F35" s="98">
        <v>0</v>
      </c>
      <c r="G35" s="98" t="s">
        <v>2559</v>
      </c>
      <c r="H35" s="98">
        <v>1</v>
      </c>
      <c r="I35" s="98">
        <v>1</v>
      </c>
      <c r="J35" s="98" t="s">
        <v>265</v>
      </c>
      <c r="K35" s="98">
        <v>2</v>
      </c>
      <c r="L35" s="98">
        <f>高难主线关卡!$AC$13</f>
        <v>50</v>
      </c>
      <c r="M35" s="98">
        <f>高难主线关卡!$AC$13</f>
        <v>50</v>
      </c>
      <c r="N35" s="98">
        <v>10000</v>
      </c>
      <c r="O35" s="98">
        <v>2</v>
      </c>
      <c r="P35" s="98" t="b">
        <f>高难主线关卡!$AC$13&gt;0</f>
        <v>1</v>
      </c>
      <c r="Q35" s="98" t="s">
        <v>265</v>
      </c>
      <c r="S35" s="92"/>
      <c r="T35" s="92"/>
      <c r="U35" s="92"/>
      <c r="V35" s="92"/>
      <c r="W35" s="92"/>
      <c r="X35" s="92"/>
      <c r="Y35" s="92"/>
      <c r="Z35" s="92"/>
      <c r="AA35" s="92"/>
    </row>
    <row r="36" ht="16.5" customHeight="1" spans="1:27">
      <c r="A36" s="98" t="s">
        <v>265</v>
      </c>
      <c r="B36" s="98">
        <f t="shared" si="0"/>
        <v>300032</v>
      </c>
      <c r="C36" s="98">
        <f>26100000+高难主线关卡!$A$13*100+高难主线关卡!$B$13</f>
        <v>26100301</v>
      </c>
      <c r="D36" s="99" t="str">
        <f>"高难主线"&amp;高难主线关卡!$A$13&amp;"-"&amp;高难主线关卡!$B$13&amp;"首通宝石奖励"</f>
        <v>高难主线3-1首通宝石奖励</v>
      </c>
      <c r="E36" s="99" t="str">
        <f>"高难主线"&amp;高难主线关卡!$A$13&amp;"-"&amp;高难主线关卡!$B$13&amp;"首通宝石奖励"</f>
        <v>高难主线3-1首通宝石奖励</v>
      </c>
      <c r="F36" s="98">
        <v>0</v>
      </c>
      <c r="G36" s="98" t="s">
        <v>2559</v>
      </c>
      <c r="H36" s="98">
        <v>1</v>
      </c>
      <c r="I36" s="98">
        <v>1</v>
      </c>
      <c r="J36" s="98" t="s">
        <v>265</v>
      </c>
      <c r="K36" s="98">
        <f ca="1">INDEX(高难主线关卡!$P$13:高难主线关卡!$S$13,1,高难主线关卡!$T$13)</f>
        <v>81602</v>
      </c>
      <c r="L36" s="98">
        <f>高难主线关卡!$U$13</f>
        <v>3</v>
      </c>
      <c r="M36" s="98">
        <f>高难主线关卡!$U$13</f>
        <v>3</v>
      </c>
      <c r="N36" s="98">
        <v>10000</v>
      </c>
      <c r="O36" s="98">
        <f ca="1">INDEX(高难主线关卡!$P$13:高难主线关卡!$S$13,1,高难主线关卡!$T$13)</f>
        <v>81602</v>
      </c>
      <c r="P36" s="98" t="b">
        <f>高难主线关卡!$U$13&gt;0</f>
        <v>1</v>
      </c>
      <c r="Q36" s="98" t="s">
        <v>265</v>
      </c>
      <c r="S36" s="92"/>
      <c r="T36" s="92"/>
      <c r="U36" s="92"/>
      <c r="V36" s="92"/>
      <c r="W36" s="92"/>
      <c r="X36" s="92"/>
      <c r="Y36" s="92"/>
      <c r="Z36" s="92"/>
      <c r="AA36" s="92"/>
    </row>
    <row r="37" ht="16.5" customHeight="1" spans="1:27">
      <c r="A37" s="98" t="s">
        <v>265</v>
      </c>
      <c r="B37" s="98">
        <f t="shared" si="0"/>
        <v>300033</v>
      </c>
      <c r="C37" s="98">
        <f>26200000+高难主线关卡!$A$13*100+高难主线关卡!$B$13</f>
        <v>26200301</v>
      </c>
      <c r="D37" s="99" t="str">
        <f>"高难主线"&amp;高难主线关卡!$A$13&amp;"-"&amp;高难主线关卡!$B$13&amp;"常规宝石L1奖励"</f>
        <v>高难主线3-1常规宝石L1奖励</v>
      </c>
      <c r="E37" s="99" t="str">
        <f>"高难主线"&amp;高难主线关卡!$A$13&amp;"-"&amp;高难主线关卡!$B$13&amp;"常规宝石奖励"</f>
        <v>高难主线3-1常规宝石奖励</v>
      </c>
      <c r="F37" s="98">
        <v>0</v>
      </c>
      <c r="G37" s="98" t="s">
        <v>2560</v>
      </c>
      <c r="H37" s="98">
        <f>高难主线关卡!$J$13</f>
        <v>4</v>
      </c>
      <c r="I37" s="98">
        <f>高难主线关卡!$J$13</f>
        <v>4</v>
      </c>
      <c r="J37" s="98" t="s">
        <v>265</v>
      </c>
      <c r="K37" s="98">
        <f>高难主线关卡!$P$13</f>
        <v>81601</v>
      </c>
      <c r="L37" s="98">
        <v>1</v>
      </c>
      <c r="M37" s="98">
        <v>1</v>
      </c>
      <c r="N37" s="98">
        <f>ROUND(高难主线关卡!$K$13*10000,0)</f>
        <v>5000</v>
      </c>
      <c r="O37" s="98">
        <f>高难主线关卡!$P$13</f>
        <v>81601</v>
      </c>
      <c r="P37" s="98" t="b">
        <f>高难主线关卡!$K$13&gt;0</f>
        <v>1</v>
      </c>
      <c r="Q37" s="98" t="s">
        <v>265</v>
      </c>
      <c r="S37" s="92"/>
      <c r="T37" s="92"/>
      <c r="U37" s="92"/>
      <c r="V37" s="92"/>
      <c r="W37" s="92"/>
      <c r="X37" s="92"/>
      <c r="Y37" s="92"/>
      <c r="Z37" s="92"/>
      <c r="AA37" s="92"/>
    </row>
    <row r="38" ht="16.5" customHeight="1" spans="1:27">
      <c r="A38" s="98" t="s">
        <v>265</v>
      </c>
      <c r="B38" s="98">
        <f t="shared" si="0"/>
        <v>300034</v>
      </c>
      <c r="C38" s="98">
        <f>26200000+高难主线关卡!$A$13*100+高难主线关卡!$B$13</f>
        <v>26200301</v>
      </c>
      <c r="D38" s="99" t="str">
        <f>"高难主线"&amp;高难主线关卡!$A$13&amp;"-"&amp;高难主线关卡!$B$13&amp;"常规宝石L2奖励"</f>
        <v>高难主线3-1常规宝石L2奖励</v>
      </c>
      <c r="E38" s="99" t="str">
        <f>"高难主线"&amp;高难主线关卡!$A$13&amp;"-"&amp;高难主线关卡!$B$13&amp;"常规宝石奖励"</f>
        <v>高难主线3-1常规宝石奖励</v>
      </c>
      <c r="F38" s="98">
        <v>0</v>
      </c>
      <c r="G38" s="98" t="s">
        <v>2560</v>
      </c>
      <c r="H38" s="98">
        <f>高难主线关卡!$J$13</f>
        <v>4</v>
      </c>
      <c r="I38" s="98">
        <f>高难主线关卡!$J$13</f>
        <v>4</v>
      </c>
      <c r="J38" s="98" t="s">
        <v>265</v>
      </c>
      <c r="K38" s="98">
        <f>高难主线关卡!$Q$13</f>
        <v>81602</v>
      </c>
      <c r="L38" s="98">
        <v>1</v>
      </c>
      <c r="M38" s="98">
        <v>1</v>
      </c>
      <c r="N38" s="98">
        <f>ROUND(高难主线关卡!$L$13*10000,0)</f>
        <v>5000</v>
      </c>
      <c r="O38" s="98">
        <f>高难主线关卡!$Q$13</f>
        <v>81602</v>
      </c>
      <c r="P38" s="98" t="b">
        <f>高难主线关卡!$L$13&gt;0</f>
        <v>1</v>
      </c>
      <c r="Q38" s="98" t="s">
        <v>265</v>
      </c>
      <c r="S38" s="92"/>
      <c r="T38" s="92"/>
      <c r="U38" s="92"/>
      <c r="V38" s="92"/>
      <c r="W38" s="92"/>
      <c r="X38" s="92"/>
      <c r="Y38" s="92"/>
      <c r="Z38" s="92"/>
      <c r="AA38" s="92"/>
    </row>
    <row r="39" ht="16.5" customHeight="1" spans="1:27">
      <c r="A39" s="98" t="s">
        <v>265</v>
      </c>
      <c r="B39" s="98">
        <f t="shared" si="0"/>
        <v>300035</v>
      </c>
      <c r="C39" s="98">
        <f>26200000+高难主线关卡!$A$13*100+高难主线关卡!$B$13</f>
        <v>26200301</v>
      </c>
      <c r="D39" s="99" t="str">
        <f>"高难主线"&amp;高难主线关卡!$A$13&amp;"-"&amp;高难主线关卡!$B$13&amp;"常规宝石L3奖励"</f>
        <v>高难主线3-1常规宝石L3奖励</v>
      </c>
      <c r="E39" s="99" t="str">
        <f>"高难主线"&amp;高难主线关卡!$A$13&amp;"-"&amp;高难主线关卡!$B$13&amp;"常规宝石奖励"</f>
        <v>高难主线3-1常规宝石奖励</v>
      </c>
      <c r="F39" s="98">
        <v>0</v>
      </c>
      <c r="G39" s="98" t="s">
        <v>2560</v>
      </c>
      <c r="H39" s="98">
        <f>高难主线关卡!$J$13</f>
        <v>4</v>
      </c>
      <c r="I39" s="98">
        <f>高难主线关卡!$J$13</f>
        <v>4</v>
      </c>
      <c r="J39" s="98" t="s">
        <v>265</v>
      </c>
      <c r="K39" s="98">
        <f>高难主线关卡!$R$13</f>
        <v>81603</v>
      </c>
      <c r="L39" s="98">
        <v>1</v>
      </c>
      <c r="M39" s="98">
        <v>1</v>
      </c>
      <c r="N39" s="98">
        <f>ROUND(高难主线关卡!$M$13*10000,0)</f>
        <v>0</v>
      </c>
      <c r="O39" s="98">
        <f>高难主线关卡!$R$13</f>
        <v>81603</v>
      </c>
      <c r="P39" s="98" t="b">
        <f>高难主线关卡!$M$13&gt;0</f>
        <v>0</v>
      </c>
      <c r="Q39" s="98" t="s">
        <v>265</v>
      </c>
      <c r="S39" s="92"/>
      <c r="T39" s="92"/>
      <c r="U39" s="92"/>
      <c r="V39" s="92"/>
      <c r="W39" s="92"/>
      <c r="X39" s="92"/>
      <c r="Y39" s="92"/>
      <c r="Z39" s="92"/>
      <c r="AA39" s="92"/>
    </row>
    <row r="40" ht="16.5" customHeight="1" spans="1:27">
      <c r="A40" s="98" t="s">
        <v>265</v>
      </c>
      <c r="B40" s="98">
        <f t="shared" si="0"/>
        <v>300036</v>
      </c>
      <c r="C40" s="98">
        <f>26200000+高难主线关卡!$A$13*100+高难主线关卡!$B$13</f>
        <v>26200301</v>
      </c>
      <c r="D40" s="99" t="str">
        <f>"高难主线"&amp;高难主线关卡!$A$13&amp;"-"&amp;高难主线关卡!$B$13&amp;"常规宝石L4奖励"</f>
        <v>高难主线3-1常规宝石L4奖励</v>
      </c>
      <c r="E40" s="99" t="str">
        <f>"高难主线"&amp;高难主线关卡!$A$13&amp;"-"&amp;高难主线关卡!$B$13&amp;"常规宝石奖励"</f>
        <v>高难主线3-1常规宝石奖励</v>
      </c>
      <c r="F40" s="98">
        <v>0</v>
      </c>
      <c r="G40" s="98" t="s">
        <v>2560</v>
      </c>
      <c r="H40" s="98">
        <f>高难主线关卡!$J$13</f>
        <v>4</v>
      </c>
      <c r="I40" s="98">
        <f>高难主线关卡!$J$13</f>
        <v>4</v>
      </c>
      <c r="J40" s="98" t="s">
        <v>265</v>
      </c>
      <c r="K40" s="98">
        <f>高难主线关卡!$S$13</f>
        <v>81604</v>
      </c>
      <c r="L40" s="98">
        <v>1</v>
      </c>
      <c r="M40" s="98">
        <v>1</v>
      </c>
      <c r="N40" s="98">
        <f>ROUND(高难主线关卡!$N$13*10000,0)</f>
        <v>0</v>
      </c>
      <c r="O40" s="98">
        <f>高难主线关卡!$S$13</f>
        <v>81604</v>
      </c>
      <c r="P40" s="98" t="b">
        <f>高难主线关卡!$N$13&gt;0</f>
        <v>0</v>
      </c>
      <c r="Q40" s="98" t="s">
        <v>265</v>
      </c>
      <c r="S40" s="92"/>
      <c r="T40" s="92"/>
      <c r="U40" s="92"/>
      <c r="V40" s="92"/>
      <c r="W40" s="92"/>
      <c r="X40" s="92"/>
      <c r="Y40" s="92"/>
      <c r="Z40" s="92"/>
      <c r="AA40" s="92"/>
    </row>
    <row r="41" ht="16.5" customHeight="1" spans="1:27">
      <c r="A41" s="98" t="s">
        <v>265</v>
      </c>
      <c r="B41" s="98">
        <f t="shared" si="0"/>
        <v>300037</v>
      </c>
      <c r="C41" s="98">
        <f>26000000+高难主线关卡!$A$14*100+高难主线关卡!$B$14</f>
        <v>26000302</v>
      </c>
      <c r="D41" s="99" t="str">
        <f>"高难主线"&amp;高难主线关卡!$A$14&amp;"-"&amp;高难主线关卡!$B$14&amp;"首通钻石奖励"</f>
        <v>高难主线3-2首通钻石奖励</v>
      </c>
      <c r="E41" s="99" t="str">
        <f>"高难主线"&amp;高难主线关卡!$A$14&amp;"-"&amp;高难主线关卡!$B$14&amp;"首通钻石奖励"</f>
        <v>高难主线3-2首通钻石奖励</v>
      </c>
      <c r="F41" s="98">
        <v>0</v>
      </c>
      <c r="G41" s="98" t="s">
        <v>2559</v>
      </c>
      <c r="H41" s="98">
        <v>1</v>
      </c>
      <c r="I41" s="98">
        <v>1</v>
      </c>
      <c r="J41" s="98" t="s">
        <v>265</v>
      </c>
      <c r="K41" s="98">
        <v>2</v>
      </c>
      <c r="L41" s="98">
        <f>高难主线关卡!$AC$14</f>
        <v>50</v>
      </c>
      <c r="M41" s="98">
        <f>高难主线关卡!$AC$14</f>
        <v>50</v>
      </c>
      <c r="N41" s="98">
        <v>10000</v>
      </c>
      <c r="O41" s="98">
        <v>2</v>
      </c>
      <c r="P41" s="98" t="b">
        <f>高难主线关卡!$AC$14&gt;0</f>
        <v>1</v>
      </c>
      <c r="Q41" s="98" t="s">
        <v>265</v>
      </c>
      <c r="S41" s="92"/>
      <c r="T41" s="92"/>
      <c r="U41" s="92"/>
      <c r="V41" s="92"/>
      <c r="W41" s="92"/>
      <c r="X41" s="92"/>
      <c r="Y41" s="92"/>
      <c r="Z41" s="92"/>
      <c r="AA41" s="92"/>
    </row>
    <row r="42" ht="16.5" customHeight="1" spans="1:27">
      <c r="A42" s="98" t="s">
        <v>265</v>
      </c>
      <c r="B42" s="98">
        <f t="shared" si="0"/>
        <v>300038</v>
      </c>
      <c r="C42" s="98">
        <f>26100000+高难主线关卡!$A$14*100+高难主线关卡!$B$14</f>
        <v>26100302</v>
      </c>
      <c r="D42" s="99" t="str">
        <f>"高难主线"&amp;高难主线关卡!$A$14&amp;"-"&amp;高难主线关卡!$B$14&amp;"首通宝石奖励"</f>
        <v>高难主线3-2首通宝石奖励</v>
      </c>
      <c r="E42" s="99" t="str">
        <f>"高难主线"&amp;高难主线关卡!$A$14&amp;"-"&amp;高难主线关卡!$B$14&amp;"首通宝石奖励"</f>
        <v>高难主线3-2首通宝石奖励</v>
      </c>
      <c r="F42" s="98">
        <v>0</v>
      </c>
      <c r="G42" s="98" t="s">
        <v>2559</v>
      </c>
      <c r="H42" s="98">
        <v>1</v>
      </c>
      <c r="I42" s="98">
        <v>1</v>
      </c>
      <c r="J42" s="98" t="s">
        <v>265</v>
      </c>
      <c r="K42" s="98">
        <f ca="1">INDEX(高难主线关卡!$P$14:高难主线关卡!$S$14,1,高难主线关卡!$T$14)</f>
        <v>81102</v>
      </c>
      <c r="L42" s="98">
        <f>高难主线关卡!$U$14</f>
        <v>3</v>
      </c>
      <c r="M42" s="98">
        <f>高难主线关卡!$U$14</f>
        <v>3</v>
      </c>
      <c r="N42" s="98">
        <v>10000</v>
      </c>
      <c r="O42" s="98">
        <f ca="1">INDEX(高难主线关卡!$P$14:高难主线关卡!$S$14,1,高难主线关卡!$T$14)</f>
        <v>81102</v>
      </c>
      <c r="P42" s="98" t="b">
        <f>高难主线关卡!$U$14&gt;0</f>
        <v>1</v>
      </c>
      <c r="Q42" s="98" t="s">
        <v>265</v>
      </c>
      <c r="S42" s="92"/>
      <c r="T42" s="92"/>
      <c r="U42" s="92"/>
      <c r="V42" s="92"/>
      <c r="W42" s="92"/>
      <c r="X42" s="92"/>
      <c r="Y42" s="92"/>
      <c r="Z42" s="92"/>
      <c r="AA42" s="92"/>
    </row>
    <row r="43" ht="16.5" customHeight="1" spans="1:27">
      <c r="A43" s="98" t="s">
        <v>265</v>
      </c>
      <c r="B43" s="98">
        <f t="shared" si="0"/>
        <v>300039</v>
      </c>
      <c r="C43" s="98">
        <f>26200000+高难主线关卡!$A$14*100+高难主线关卡!$B$14</f>
        <v>26200302</v>
      </c>
      <c r="D43" s="99" t="str">
        <f>"高难主线"&amp;高难主线关卡!$A$14&amp;"-"&amp;高难主线关卡!$B$14&amp;"常规宝石L1奖励"</f>
        <v>高难主线3-2常规宝石L1奖励</v>
      </c>
      <c r="E43" s="99" t="str">
        <f>"高难主线"&amp;高难主线关卡!$A$14&amp;"-"&amp;高难主线关卡!$B$14&amp;"常规宝石奖励"</f>
        <v>高难主线3-2常规宝石奖励</v>
      </c>
      <c r="F43" s="98">
        <v>0</v>
      </c>
      <c r="G43" s="98" t="s">
        <v>2560</v>
      </c>
      <c r="H43" s="98">
        <f>高难主线关卡!$J$14</f>
        <v>4</v>
      </c>
      <c r="I43" s="98">
        <f>高难主线关卡!$J$14</f>
        <v>4</v>
      </c>
      <c r="J43" s="98" t="s">
        <v>265</v>
      </c>
      <c r="K43" s="98">
        <f>高难主线关卡!$P$14</f>
        <v>81101</v>
      </c>
      <c r="L43" s="98">
        <v>1</v>
      </c>
      <c r="M43" s="98">
        <v>1</v>
      </c>
      <c r="N43" s="98">
        <f>ROUND(高难主线关卡!$K$14*10000,0)</f>
        <v>4000</v>
      </c>
      <c r="O43" s="98">
        <f>高难主线关卡!$P$14</f>
        <v>81101</v>
      </c>
      <c r="P43" s="98" t="b">
        <f>高难主线关卡!$K$14&gt;0</f>
        <v>1</v>
      </c>
      <c r="Q43" s="98" t="s">
        <v>265</v>
      </c>
      <c r="S43" s="92"/>
      <c r="T43" s="92"/>
      <c r="U43" s="92"/>
      <c r="V43" s="92"/>
      <c r="W43" s="92"/>
      <c r="X43" s="92"/>
      <c r="Y43" s="92"/>
      <c r="Z43" s="92"/>
      <c r="AA43" s="92"/>
    </row>
    <row r="44" ht="16.5" customHeight="1" spans="1:27">
      <c r="A44" s="98" t="s">
        <v>265</v>
      </c>
      <c r="B44" s="98">
        <f t="shared" si="0"/>
        <v>300040</v>
      </c>
      <c r="C44" s="98">
        <f>26200000+高难主线关卡!$A$14*100+高难主线关卡!$B$14</f>
        <v>26200302</v>
      </c>
      <c r="D44" s="99" t="str">
        <f>"高难主线"&amp;高难主线关卡!$A$14&amp;"-"&amp;高难主线关卡!$B$14&amp;"常规宝石L2奖励"</f>
        <v>高难主线3-2常规宝石L2奖励</v>
      </c>
      <c r="E44" s="99" t="str">
        <f>"高难主线"&amp;高难主线关卡!$A$14&amp;"-"&amp;高难主线关卡!$B$14&amp;"常规宝石奖励"</f>
        <v>高难主线3-2常规宝石奖励</v>
      </c>
      <c r="F44" s="98">
        <v>0</v>
      </c>
      <c r="G44" s="98" t="s">
        <v>2560</v>
      </c>
      <c r="H44" s="98">
        <f>高难主线关卡!$J$14</f>
        <v>4</v>
      </c>
      <c r="I44" s="98">
        <f>高难主线关卡!$J$14</f>
        <v>4</v>
      </c>
      <c r="J44" s="98" t="s">
        <v>265</v>
      </c>
      <c r="K44" s="98">
        <f>高难主线关卡!$Q$14</f>
        <v>81102</v>
      </c>
      <c r="L44" s="98">
        <v>1</v>
      </c>
      <c r="M44" s="98">
        <v>1</v>
      </c>
      <c r="N44" s="98">
        <f>ROUND(高难主线关卡!$L$14*10000,0)</f>
        <v>6000</v>
      </c>
      <c r="O44" s="98">
        <f>高难主线关卡!$Q$14</f>
        <v>81102</v>
      </c>
      <c r="P44" s="98" t="b">
        <f>高难主线关卡!$L$14&gt;0</f>
        <v>1</v>
      </c>
      <c r="Q44" s="98" t="s">
        <v>265</v>
      </c>
      <c r="S44" s="92"/>
      <c r="T44" s="92"/>
      <c r="U44" s="92"/>
      <c r="V44" s="92"/>
      <c r="W44" s="92"/>
      <c r="X44" s="92"/>
      <c r="Y44" s="92"/>
      <c r="Z44" s="92"/>
      <c r="AA44" s="92"/>
    </row>
    <row r="45" ht="16.5" customHeight="1" spans="1:27">
      <c r="A45" s="98" t="s">
        <v>265</v>
      </c>
      <c r="B45" s="98">
        <f t="shared" si="0"/>
        <v>300041</v>
      </c>
      <c r="C45" s="98">
        <f>26200000+高难主线关卡!$A$14*100+高难主线关卡!$B$14</f>
        <v>26200302</v>
      </c>
      <c r="D45" s="99" t="str">
        <f>"高难主线"&amp;高难主线关卡!$A$14&amp;"-"&amp;高难主线关卡!$B$14&amp;"常规宝石L3奖励"</f>
        <v>高难主线3-2常规宝石L3奖励</v>
      </c>
      <c r="E45" s="99" t="str">
        <f>"高难主线"&amp;高难主线关卡!$A$14&amp;"-"&amp;高难主线关卡!$B$14&amp;"常规宝石奖励"</f>
        <v>高难主线3-2常规宝石奖励</v>
      </c>
      <c r="F45" s="98">
        <v>0</v>
      </c>
      <c r="G45" s="98" t="s">
        <v>2560</v>
      </c>
      <c r="H45" s="98">
        <f>高难主线关卡!$J$14</f>
        <v>4</v>
      </c>
      <c r="I45" s="98">
        <f>高难主线关卡!$J$14</f>
        <v>4</v>
      </c>
      <c r="J45" s="98" t="s">
        <v>265</v>
      </c>
      <c r="K45" s="98">
        <f>高难主线关卡!$R$14</f>
        <v>81103</v>
      </c>
      <c r="L45" s="98">
        <v>1</v>
      </c>
      <c r="M45" s="98">
        <v>1</v>
      </c>
      <c r="N45" s="98">
        <f>ROUND(高难主线关卡!$M$14*10000,0)</f>
        <v>0</v>
      </c>
      <c r="O45" s="98">
        <f>高难主线关卡!$R$14</f>
        <v>81103</v>
      </c>
      <c r="P45" s="98" t="b">
        <f>高难主线关卡!$M$14&gt;0</f>
        <v>0</v>
      </c>
      <c r="Q45" s="98" t="s">
        <v>265</v>
      </c>
      <c r="S45" s="92"/>
      <c r="T45" s="92"/>
      <c r="U45" s="92"/>
      <c r="V45" s="92"/>
      <c r="W45" s="92"/>
      <c r="X45" s="92"/>
      <c r="Y45" s="92"/>
      <c r="Z45" s="92"/>
      <c r="AA45" s="92"/>
    </row>
    <row r="46" ht="16.5" customHeight="1" spans="1:27">
      <c r="A46" s="98" t="s">
        <v>265</v>
      </c>
      <c r="B46" s="98">
        <f t="shared" si="0"/>
        <v>300042</v>
      </c>
      <c r="C46" s="98">
        <f>26200000+高难主线关卡!$A$14*100+高难主线关卡!$B$14</f>
        <v>26200302</v>
      </c>
      <c r="D46" s="99" t="str">
        <f>"高难主线"&amp;高难主线关卡!$A$14&amp;"-"&amp;高难主线关卡!$B$14&amp;"常规宝石L4奖励"</f>
        <v>高难主线3-2常规宝石L4奖励</v>
      </c>
      <c r="E46" s="99" t="str">
        <f>"高难主线"&amp;高难主线关卡!$A$14&amp;"-"&amp;高难主线关卡!$B$14&amp;"常规宝石奖励"</f>
        <v>高难主线3-2常规宝石奖励</v>
      </c>
      <c r="F46" s="98">
        <v>0</v>
      </c>
      <c r="G46" s="98" t="s">
        <v>2560</v>
      </c>
      <c r="H46" s="98">
        <f>高难主线关卡!$J$14</f>
        <v>4</v>
      </c>
      <c r="I46" s="98">
        <f>高难主线关卡!$J$14</f>
        <v>4</v>
      </c>
      <c r="J46" s="98" t="s">
        <v>265</v>
      </c>
      <c r="K46" s="98">
        <f>高难主线关卡!$S$14</f>
        <v>81104</v>
      </c>
      <c r="L46" s="98">
        <v>1</v>
      </c>
      <c r="M46" s="98">
        <v>1</v>
      </c>
      <c r="N46" s="98">
        <f>ROUND(高难主线关卡!$N$14*10000,0)</f>
        <v>0</v>
      </c>
      <c r="O46" s="98">
        <f>高难主线关卡!$S$14</f>
        <v>81104</v>
      </c>
      <c r="P46" s="98" t="b">
        <f>高难主线关卡!$N$14&gt;0</f>
        <v>0</v>
      </c>
      <c r="Q46" s="98" t="s">
        <v>265</v>
      </c>
      <c r="S46" s="92"/>
      <c r="T46" s="92"/>
      <c r="U46" s="92"/>
      <c r="V46" s="92"/>
      <c r="W46" s="92"/>
      <c r="X46" s="92"/>
      <c r="Y46" s="92"/>
      <c r="Z46" s="92"/>
      <c r="AA46" s="92"/>
    </row>
    <row r="47" ht="16.5" customHeight="1" spans="1:27">
      <c r="A47" s="98" t="s">
        <v>265</v>
      </c>
      <c r="B47" s="98">
        <f t="shared" si="0"/>
        <v>300043</v>
      </c>
      <c r="C47" s="98">
        <f>26000000+高难主线关卡!$A$15*100+高难主线关卡!$B$15</f>
        <v>26000303</v>
      </c>
      <c r="D47" s="99" t="str">
        <f>"高难主线"&amp;高难主线关卡!$A$15&amp;"-"&amp;高难主线关卡!$B$15&amp;"首通钻石奖励"</f>
        <v>高难主线3-3首通钻石奖励</v>
      </c>
      <c r="E47" s="99" t="str">
        <f>"高难主线"&amp;高难主线关卡!$A$15&amp;"-"&amp;高难主线关卡!$B$15&amp;"首通钻石奖励"</f>
        <v>高难主线3-3首通钻石奖励</v>
      </c>
      <c r="F47" s="98">
        <v>0</v>
      </c>
      <c r="G47" s="98" t="s">
        <v>2559</v>
      </c>
      <c r="H47" s="98">
        <v>1</v>
      </c>
      <c r="I47" s="98">
        <v>1</v>
      </c>
      <c r="J47" s="98" t="s">
        <v>265</v>
      </c>
      <c r="K47" s="98">
        <v>2</v>
      </c>
      <c r="L47" s="98">
        <f>高难主线关卡!$AC$15</f>
        <v>50</v>
      </c>
      <c r="M47" s="98">
        <f>高难主线关卡!$AC$15</f>
        <v>50</v>
      </c>
      <c r="N47" s="98">
        <v>10000</v>
      </c>
      <c r="O47" s="98">
        <v>2</v>
      </c>
      <c r="P47" s="98" t="b">
        <f>高难主线关卡!$AC$15&gt;0</f>
        <v>1</v>
      </c>
      <c r="Q47" s="98" t="s">
        <v>265</v>
      </c>
      <c r="S47" s="92"/>
      <c r="T47" s="92"/>
      <c r="U47" s="92"/>
      <c r="V47" s="92"/>
      <c r="W47" s="92"/>
      <c r="X47" s="92"/>
      <c r="Y47" s="92"/>
      <c r="Z47" s="92"/>
      <c r="AA47" s="92"/>
    </row>
    <row r="48" ht="16.5" customHeight="1" spans="1:27">
      <c r="A48" s="98" t="s">
        <v>265</v>
      </c>
      <c r="B48" s="98">
        <f t="shared" si="0"/>
        <v>300044</v>
      </c>
      <c r="C48" s="98">
        <f>26100000+高难主线关卡!$A$15*100+高难主线关卡!$B$15</f>
        <v>26100303</v>
      </c>
      <c r="D48" s="99" t="str">
        <f>"高难主线"&amp;高难主线关卡!$A$15&amp;"-"&amp;高难主线关卡!$B$15&amp;"首通宝石奖励"</f>
        <v>高难主线3-3首通宝石奖励</v>
      </c>
      <c r="E48" s="99" t="str">
        <f>"高难主线"&amp;高难主线关卡!$A$15&amp;"-"&amp;高难主线关卡!$B$15&amp;"首通宝石奖励"</f>
        <v>高难主线3-3首通宝石奖励</v>
      </c>
      <c r="F48" s="98">
        <v>0</v>
      </c>
      <c r="G48" s="98" t="s">
        <v>2559</v>
      </c>
      <c r="H48" s="98">
        <v>1</v>
      </c>
      <c r="I48" s="98">
        <v>1</v>
      </c>
      <c r="J48" s="98" t="s">
        <v>265</v>
      </c>
      <c r="K48" s="98">
        <f ca="1">INDEX(高难主线关卡!$P$15:高难主线关卡!$S$15,1,高难主线关卡!$T$15)</f>
        <v>81202</v>
      </c>
      <c r="L48" s="98">
        <f>高难主线关卡!$U$15</f>
        <v>3</v>
      </c>
      <c r="M48" s="98">
        <f>高难主线关卡!$U$15</f>
        <v>3</v>
      </c>
      <c r="N48" s="98">
        <v>10000</v>
      </c>
      <c r="O48" s="98">
        <f ca="1">INDEX(高难主线关卡!$P$15:高难主线关卡!$S$15,1,高难主线关卡!$T$15)</f>
        <v>81202</v>
      </c>
      <c r="P48" s="98" t="b">
        <f>高难主线关卡!$U$15&gt;0</f>
        <v>1</v>
      </c>
      <c r="Q48" s="98" t="s">
        <v>265</v>
      </c>
      <c r="S48" s="92"/>
      <c r="T48" s="92"/>
      <c r="U48" s="92"/>
      <c r="V48" s="92"/>
      <c r="W48" s="92"/>
      <c r="X48" s="92"/>
      <c r="Y48" s="92"/>
      <c r="Z48" s="92"/>
      <c r="AA48" s="92"/>
    </row>
    <row r="49" ht="16.5" customHeight="1" spans="1:27">
      <c r="A49" s="98" t="s">
        <v>265</v>
      </c>
      <c r="B49" s="98">
        <f t="shared" si="0"/>
        <v>300045</v>
      </c>
      <c r="C49" s="98">
        <f>26200000+高难主线关卡!$A$15*100+高难主线关卡!$B$15</f>
        <v>26200303</v>
      </c>
      <c r="D49" s="99" t="str">
        <f>"高难主线"&amp;高难主线关卡!$A$15&amp;"-"&amp;高难主线关卡!$B$15&amp;"常规宝石L1奖励"</f>
        <v>高难主线3-3常规宝石L1奖励</v>
      </c>
      <c r="E49" s="99" t="str">
        <f>"高难主线"&amp;高难主线关卡!$A$15&amp;"-"&amp;高难主线关卡!$B$15&amp;"常规宝石奖励"</f>
        <v>高难主线3-3常规宝石奖励</v>
      </c>
      <c r="F49" s="98">
        <v>0</v>
      </c>
      <c r="G49" s="98" t="s">
        <v>2560</v>
      </c>
      <c r="H49" s="98">
        <f>高难主线关卡!$J$15</f>
        <v>4</v>
      </c>
      <c r="I49" s="98">
        <f>高难主线关卡!$J$15</f>
        <v>4</v>
      </c>
      <c r="J49" s="98" t="s">
        <v>265</v>
      </c>
      <c r="K49" s="98">
        <f>高难主线关卡!$P$15</f>
        <v>81201</v>
      </c>
      <c r="L49" s="98">
        <v>1</v>
      </c>
      <c r="M49" s="98">
        <v>1</v>
      </c>
      <c r="N49" s="98">
        <f>ROUND(高难主线关卡!$K$15*10000,0)</f>
        <v>4000</v>
      </c>
      <c r="O49" s="98">
        <f>高难主线关卡!$P$15</f>
        <v>81201</v>
      </c>
      <c r="P49" s="98" t="b">
        <f>高难主线关卡!$K$15&gt;0</f>
        <v>1</v>
      </c>
      <c r="Q49" s="98" t="s">
        <v>265</v>
      </c>
      <c r="S49" s="92"/>
      <c r="T49" s="92"/>
      <c r="U49" s="92"/>
      <c r="V49" s="92"/>
      <c r="W49" s="92"/>
      <c r="X49" s="92"/>
      <c r="Y49" s="92"/>
      <c r="Z49" s="92"/>
      <c r="AA49" s="92"/>
    </row>
    <row r="50" ht="16.5" customHeight="1" spans="1:27">
      <c r="A50" s="98" t="s">
        <v>265</v>
      </c>
      <c r="B50" s="98">
        <f t="shared" si="0"/>
        <v>300046</v>
      </c>
      <c r="C50" s="98">
        <f>26200000+高难主线关卡!$A$15*100+高难主线关卡!$B$15</f>
        <v>26200303</v>
      </c>
      <c r="D50" s="99" t="str">
        <f>"高难主线"&amp;高难主线关卡!$A$15&amp;"-"&amp;高难主线关卡!$B$15&amp;"常规宝石L2奖励"</f>
        <v>高难主线3-3常规宝石L2奖励</v>
      </c>
      <c r="E50" s="99" t="str">
        <f>"高难主线"&amp;高难主线关卡!$A$15&amp;"-"&amp;高难主线关卡!$B$15&amp;"常规宝石奖励"</f>
        <v>高难主线3-3常规宝石奖励</v>
      </c>
      <c r="F50" s="98">
        <v>0</v>
      </c>
      <c r="G50" s="98" t="s">
        <v>2560</v>
      </c>
      <c r="H50" s="98">
        <f>高难主线关卡!$J$15</f>
        <v>4</v>
      </c>
      <c r="I50" s="98">
        <f>高难主线关卡!$J$15</f>
        <v>4</v>
      </c>
      <c r="J50" s="98" t="s">
        <v>265</v>
      </c>
      <c r="K50" s="98">
        <f>高难主线关卡!$Q$15</f>
        <v>81202</v>
      </c>
      <c r="L50" s="98">
        <v>1</v>
      </c>
      <c r="M50" s="98">
        <v>1</v>
      </c>
      <c r="N50" s="98">
        <f>ROUND(高难主线关卡!$L$15*10000,0)</f>
        <v>6000</v>
      </c>
      <c r="O50" s="98">
        <f>高难主线关卡!$Q$15</f>
        <v>81202</v>
      </c>
      <c r="P50" s="98" t="b">
        <f>高难主线关卡!$L$15&gt;0</f>
        <v>1</v>
      </c>
      <c r="Q50" s="98" t="s">
        <v>265</v>
      </c>
      <c r="S50" s="92"/>
      <c r="T50" s="92"/>
      <c r="U50" s="92"/>
      <c r="V50" s="92"/>
      <c r="W50" s="92"/>
      <c r="X50" s="92"/>
      <c r="Y50" s="92"/>
      <c r="Z50" s="92"/>
      <c r="AA50" s="92"/>
    </row>
    <row r="51" ht="16.5" customHeight="1" spans="1:27">
      <c r="A51" s="98" t="s">
        <v>265</v>
      </c>
      <c r="B51" s="98">
        <f t="shared" si="0"/>
        <v>300047</v>
      </c>
      <c r="C51" s="98">
        <f>26200000+高难主线关卡!$A$15*100+高难主线关卡!$B$15</f>
        <v>26200303</v>
      </c>
      <c r="D51" s="99" t="str">
        <f>"高难主线"&amp;高难主线关卡!$A$15&amp;"-"&amp;高难主线关卡!$B$15&amp;"常规宝石L3奖励"</f>
        <v>高难主线3-3常规宝石L3奖励</v>
      </c>
      <c r="E51" s="99" t="str">
        <f>"高难主线"&amp;高难主线关卡!$A$15&amp;"-"&amp;高难主线关卡!$B$15&amp;"常规宝石奖励"</f>
        <v>高难主线3-3常规宝石奖励</v>
      </c>
      <c r="F51" s="98">
        <v>0</v>
      </c>
      <c r="G51" s="98" t="s">
        <v>2560</v>
      </c>
      <c r="H51" s="98">
        <f>高难主线关卡!$J$15</f>
        <v>4</v>
      </c>
      <c r="I51" s="98">
        <f>高难主线关卡!$J$15</f>
        <v>4</v>
      </c>
      <c r="J51" s="98" t="s">
        <v>265</v>
      </c>
      <c r="K51" s="98">
        <f>高难主线关卡!$R$15</f>
        <v>81203</v>
      </c>
      <c r="L51" s="98">
        <v>1</v>
      </c>
      <c r="M51" s="98">
        <v>1</v>
      </c>
      <c r="N51" s="98">
        <f>ROUND(高难主线关卡!$M$15*10000,0)</f>
        <v>0</v>
      </c>
      <c r="O51" s="98">
        <f>高难主线关卡!$R$15</f>
        <v>81203</v>
      </c>
      <c r="P51" s="98" t="b">
        <f>高难主线关卡!$M$15&gt;0</f>
        <v>0</v>
      </c>
      <c r="Q51" s="98" t="s">
        <v>265</v>
      </c>
      <c r="S51" s="92"/>
      <c r="T51" s="92"/>
      <c r="U51" s="92"/>
      <c r="V51" s="92"/>
      <c r="W51" s="92"/>
      <c r="X51" s="92"/>
      <c r="Y51" s="92"/>
      <c r="Z51" s="92"/>
      <c r="AA51" s="92"/>
    </row>
    <row r="52" ht="16.5" customHeight="1" spans="1:27">
      <c r="A52" s="98" t="s">
        <v>265</v>
      </c>
      <c r="B52" s="98">
        <f t="shared" si="0"/>
        <v>300048</v>
      </c>
      <c r="C52" s="98">
        <f>26200000+高难主线关卡!$A$15*100+高难主线关卡!$B$15</f>
        <v>26200303</v>
      </c>
      <c r="D52" s="99" t="str">
        <f>"高难主线"&amp;高难主线关卡!$A$15&amp;"-"&amp;高难主线关卡!$B$15&amp;"常规宝石L4奖励"</f>
        <v>高难主线3-3常规宝石L4奖励</v>
      </c>
      <c r="E52" s="99" t="str">
        <f>"高难主线"&amp;高难主线关卡!$A$15&amp;"-"&amp;高难主线关卡!$B$15&amp;"常规宝石奖励"</f>
        <v>高难主线3-3常规宝石奖励</v>
      </c>
      <c r="F52" s="98">
        <v>0</v>
      </c>
      <c r="G52" s="98" t="s">
        <v>2560</v>
      </c>
      <c r="H52" s="98">
        <f>高难主线关卡!$J$15</f>
        <v>4</v>
      </c>
      <c r="I52" s="98">
        <f>高难主线关卡!$J$15</f>
        <v>4</v>
      </c>
      <c r="J52" s="98" t="s">
        <v>265</v>
      </c>
      <c r="K52" s="98">
        <f>高难主线关卡!$S$15</f>
        <v>81204</v>
      </c>
      <c r="L52" s="98">
        <v>1</v>
      </c>
      <c r="M52" s="98">
        <v>1</v>
      </c>
      <c r="N52" s="98">
        <f>ROUND(高难主线关卡!$N$15*10000,0)</f>
        <v>0</v>
      </c>
      <c r="O52" s="98">
        <f>高难主线关卡!$S$15</f>
        <v>81204</v>
      </c>
      <c r="P52" s="98" t="b">
        <f>高难主线关卡!$N$15&gt;0</f>
        <v>0</v>
      </c>
      <c r="Q52" s="98" t="s">
        <v>265</v>
      </c>
      <c r="S52" s="92"/>
      <c r="T52" s="92"/>
      <c r="U52" s="92"/>
      <c r="V52" s="92"/>
      <c r="W52" s="92"/>
      <c r="X52" s="92"/>
      <c r="Y52" s="92"/>
      <c r="Z52" s="92"/>
      <c r="AA52" s="92"/>
    </row>
    <row r="53" ht="16.5" customHeight="1" spans="1:27">
      <c r="A53" s="98" t="s">
        <v>265</v>
      </c>
      <c r="B53" s="98">
        <f t="shared" si="0"/>
        <v>300049</v>
      </c>
      <c r="C53" s="98">
        <f>26000000+高难主线关卡!$A$16*100+高难主线关卡!$B$16</f>
        <v>26000304</v>
      </c>
      <c r="D53" s="99" t="str">
        <f>"高难主线"&amp;高难主线关卡!$A$16&amp;"-"&amp;高难主线关卡!$B$16&amp;"首通钻石奖励"</f>
        <v>高难主线3-4首通钻石奖励</v>
      </c>
      <c r="E53" s="99" t="str">
        <f>"高难主线"&amp;高难主线关卡!$A$16&amp;"-"&amp;高难主线关卡!$B$16&amp;"首通钻石奖励"</f>
        <v>高难主线3-4首通钻石奖励</v>
      </c>
      <c r="F53" s="98">
        <v>0</v>
      </c>
      <c r="G53" s="98" t="s">
        <v>2559</v>
      </c>
      <c r="H53" s="98">
        <v>1</v>
      </c>
      <c r="I53" s="98">
        <v>1</v>
      </c>
      <c r="J53" s="98" t="s">
        <v>265</v>
      </c>
      <c r="K53" s="98">
        <v>2</v>
      </c>
      <c r="L53" s="98">
        <f>高难主线关卡!$AC$16</f>
        <v>50</v>
      </c>
      <c r="M53" s="98">
        <f>高难主线关卡!$AC$16</f>
        <v>50</v>
      </c>
      <c r="N53" s="98">
        <v>10000</v>
      </c>
      <c r="O53" s="98">
        <v>2</v>
      </c>
      <c r="P53" s="98" t="b">
        <f>高难主线关卡!$AC$16&gt;0</f>
        <v>1</v>
      </c>
      <c r="Q53" s="98" t="s">
        <v>265</v>
      </c>
      <c r="S53" s="92"/>
      <c r="T53" s="92"/>
      <c r="U53" s="92"/>
      <c r="V53" s="92"/>
      <c r="W53" s="92"/>
      <c r="X53" s="92"/>
      <c r="Y53" s="92"/>
      <c r="Z53" s="92"/>
      <c r="AA53" s="92"/>
    </row>
    <row r="54" ht="16.5" customHeight="1" spans="1:27">
      <c r="A54" s="98" t="s">
        <v>265</v>
      </c>
      <c r="B54" s="98">
        <f t="shared" si="0"/>
        <v>300050</v>
      </c>
      <c r="C54" s="98">
        <f>26100000+高难主线关卡!$A$16*100+高难主线关卡!$B$16</f>
        <v>26100304</v>
      </c>
      <c r="D54" s="99" t="str">
        <f>"高难主线"&amp;高难主线关卡!$A$16&amp;"-"&amp;高难主线关卡!$B$16&amp;"首通宝石奖励"</f>
        <v>高难主线3-4首通宝石奖励</v>
      </c>
      <c r="E54" s="99" t="str">
        <f>"高难主线"&amp;高难主线关卡!$A$16&amp;"-"&amp;高难主线关卡!$B$16&amp;"首通宝石奖励"</f>
        <v>高难主线3-4首通宝石奖励</v>
      </c>
      <c r="F54" s="98">
        <v>0</v>
      </c>
      <c r="G54" s="98" t="s">
        <v>2559</v>
      </c>
      <c r="H54" s="98">
        <v>1</v>
      </c>
      <c r="I54" s="98">
        <v>1</v>
      </c>
      <c r="J54" s="98" t="s">
        <v>265</v>
      </c>
      <c r="K54" s="98">
        <f ca="1">INDEX(高难主线关卡!$P$16:高难主线关卡!$S$16,1,高难主线关卡!$T$16)</f>
        <v>81402</v>
      </c>
      <c r="L54" s="98">
        <f>高难主线关卡!$U$16</f>
        <v>3</v>
      </c>
      <c r="M54" s="98">
        <f>高难主线关卡!$U$16</f>
        <v>3</v>
      </c>
      <c r="N54" s="98">
        <v>10000</v>
      </c>
      <c r="O54" s="98">
        <f ca="1">INDEX(高难主线关卡!$P$16:高难主线关卡!$S$16,1,高难主线关卡!$T$16)</f>
        <v>81402</v>
      </c>
      <c r="P54" s="98" t="b">
        <f>高难主线关卡!$U$16&gt;0</f>
        <v>1</v>
      </c>
      <c r="Q54" s="98" t="s">
        <v>265</v>
      </c>
      <c r="S54" s="92"/>
      <c r="T54" s="92"/>
      <c r="U54" s="92"/>
      <c r="V54" s="92"/>
      <c r="W54" s="92"/>
      <c r="X54" s="92"/>
      <c r="Y54" s="92"/>
      <c r="Z54" s="92"/>
      <c r="AA54" s="92"/>
    </row>
    <row r="55" ht="16.5" customHeight="1" spans="1:27">
      <c r="A55" s="98" t="s">
        <v>265</v>
      </c>
      <c r="B55" s="98">
        <f t="shared" si="0"/>
        <v>300051</v>
      </c>
      <c r="C55" s="98">
        <f>26200000+高难主线关卡!$A$16*100+高难主线关卡!$B$16</f>
        <v>26200304</v>
      </c>
      <c r="D55" s="99" t="str">
        <f>"高难主线"&amp;高难主线关卡!$A$16&amp;"-"&amp;高难主线关卡!$B$16&amp;"常规宝石L1奖励"</f>
        <v>高难主线3-4常规宝石L1奖励</v>
      </c>
      <c r="E55" s="99" t="str">
        <f>"高难主线"&amp;高难主线关卡!$A$16&amp;"-"&amp;高难主线关卡!$B$16&amp;"常规宝石奖励"</f>
        <v>高难主线3-4常规宝石奖励</v>
      </c>
      <c r="F55" s="98">
        <v>0</v>
      </c>
      <c r="G55" s="98" t="s">
        <v>2560</v>
      </c>
      <c r="H55" s="98">
        <f>高难主线关卡!$J$16</f>
        <v>4</v>
      </c>
      <c r="I55" s="98">
        <f>高难主线关卡!$J$16</f>
        <v>4</v>
      </c>
      <c r="J55" s="98" t="s">
        <v>265</v>
      </c>
      <c r="K55" s="98">
        <f>高难主线关卡!$P$16</f>
        <v>81401</v>
      </c>
      <c r="L55" s="98">
        <v>1</v>
      </c>
      <c r="M55" s="98">
        <v>1</v>
      </c>
      <c r="N55" s="98">
        <f>ROUND(高难主线关卡!$K$16*10000,0)</f>
        <v>4000</v>
      </c>
      <c r="O55" s="98">
        <f>高难主线关卡!$P$16</f>
        <v>81401</v>
      </c>
      <c r="P55" s="98" t="b">
        <f>高难主线关卡!$K$16&gt;0</f>
        <v>1</v>
      </c>
      <c r="Q55" s="98" t="s">
        <v>265</v>
      </c>
      <c r="S55" s="92"/>
      <c r="T55" s="92"/>
      <c r="U55" s="92"/>
      <c r="V55" s="92"/>
      <c r="W55" s="92"/>
      <c r="X55" s="92"/>
      <c r="Y55" s="92"/>
      <c r="Z55" s="92"/>
      <c r="AA55" s="92"/>
    </row>
    <row r="56" ht="16.5" customHeight="1" spans="1:27">
      <c r="A56" s="98" t="s">
        <v>265</v>
      </c>
      <c r="B56" s="98">
        <f t="shared" si="0"/>
        <v>300052</v>
      </c>
      <c r="C56" s="98">
        <f>26200000+高难主线关卡!$A$16*100+高难主线关卡!$B$16</f>
        <v>26200304</v>
      </c>
      <c r="D56" s="99" t="str">
        <f>"高难主线"&amp;高难主线关卡!$A$16&amp;"-"&amp;高难主线关卡!$B$16&amp;"常规宝石L2奖励"</f>
        <v>高难主线3-4常规宝石L2奖励</v>
      </c>
      <c r="E56" s="99" t="str">
        <f>"高难主线"&amp;高难主线关卡!$A$16&amp;"-"&amp;高难主线关卡!$B$16&amp;"常规宝石奖励"</f>
        <v>高难主线3-4常规宝石奖励</v>
      </c>
      <c r="F56" s="98">
        <v>0</v>
      </c>
      <c r="G56" s="98" t="s">
        <v>2560</v>
      </c>
      <c r="H56" s="98">
        <f>高难主线关卡!$J$16</f>
        <v>4</v>
      </c>
      <c r="I56" s="98">
        <f>高难主线关卡!$J$16</f>
        <v>4</v>
      </c>
      <c r="J56" s="98" t="s">
        <v>265</v>
      </c>
      <c r="K56" s="98">
        <f>高难主线关卡!$Q$16</f>
        <v>81402</v>
      </c>
      <c r="L56" s="98">
        <v>1</v>
      </c>
      <c r="M56" s="98">
        <v>1</v>
      </c>
      <c r="N56" s="98">
        <f>ROUND(高难主线关卡!$L$16*10000,0)</f>
        <v>6000</v>
      </c>
      <c r="O56" s="98">
        <f>高难主线关卡!$Q$16</f>
        <v>81402</v>
      </c>
      <c r="P56" s="98" t="b">
        <f>高难主线关卡!$L$16&gt;0</f>
        <v>1</v>
      </c>
      <c r="Q56" s="98" t="s">
        <v>265</v>
      </c>
      <c r="S56" s="92"/>
      <c r="T56" s="92"/>
      <c r="U56" s="92"/>
      <c r="V56" s="92"/>
      <c r="W56" s="92"/>
      <c r="X56" s="92"/>
      <c r="Y56" s="92"/>
      <c r="Z56" s="92"/>
      <c r="AA56" s="92"/>
    </row>
    <row r="57" ht="16.5" customHeight="1" spans="1:27">
      <c r="A57" s="98" t="s">
        <v>265</v>
      </c>
      <c r="B57" s="98">
        <f t="shared" si="0"/>
        <v>300053</v>
      </c>
      <c r="C57" s="98">
        <f>26200000+高难主线关卡!$A$16*100+高难主线关卡!$B$16</f>
        <v>26200304</v>
      </c>
      <c r="D57" s="99" t="str">
        <f>"高难主线"&amp;高难主线关卡!$A$16&amp;"-"&amp;高难主线关卡!$B$16&amp;"常规宝石L3奖励"</f>
        <v>高难主线3-4常规宝石L3奖励</v>
      </c>
      <c r="E57" s="99" t="str">
        <f>"高难主线"&amp;高难主线关卡!$A$16&amp;"-"&amp;高难主线关卡!$B$16&amp;"常规宝石奖励"</f>
        <v>高难主线3-4常规宝石奖励</v>
      </c>
      <c r="F57" s="98">
        <v>0</v>
      </c>
      <c r="G57" s="98" t="s">
        <v>2560</v>
      </c>
      <c r="H57" s="98">
        <f>高难主线关卡!$J$16</f>
        <v>4</v>
      </c>
      <c r="I57" s="98">
        <f>高难主线关卡!$J$16</f>
        <v>4</v>
      </c>
      <c r="J57" s="98" t="s">
        <v>265</v>
      </c>
      <c r="K57" s="98">
        <f>高难主线关卡!$R$16</f>
        <v>81403</v>
      </c>
      <c r="L57" s="98">
        <v>1</v>
      </c>
      <c r="M57" s="98">
        <v>1</v>
      </c>
      <c r="N57" s="98">
        <f>ROUND(高难主线关卡!$M$16*10000,0)</f>
        <v>0</v>
      </c>
      <c r="O57" s="98">
        <f>高难主线关卡!$R$16</f>
        <v>81403</v>
      </c>
      <c r="P57" s="98" t="b">
        <f>高难主线关卡!$M$16&gt;0</f>
        <v>0</v>
      </c>
      <c r="Q57" s="98" t="s">
        <v>265</v>
      </c>
      <c r="S57" s="92"/>
      <c r="T57" s="92"/>
      <c r="U57" s="92"/>
      <c r="V57" s="92"/>
      <c r="W57" s="92"/>
      <c r="X57" s="92"/>
      <c r="Y57" s="92"/>
      <c r="Z57" s="92"/>
      <c r="AA57" s="92"/>
    </row>
    <row r="58" ht="16.5" customHeight="1" spans="1:27">
      <c r="A58" s="98" t="s">
        <v>265</v>
      </c>
      <c r="B58" s="98">
        <f t="shared" si="0"/>
        <v>300054</v>
      </c>
      <c r="C58" s="98">
        <f>26200000+高难主线关卡!$A$16*100+高难主线关卡!$B$16</f>
        <v>26200304</v>
      </c>
      <c r="D58" s="99" t="str">
        <f>"高难主线"&amp;高难主线关卡!$A$16&amp;"-"&amp;高难主线关卡!$B$16&amp;"常规宝石L4奖励"</f>
        <v>高难主线3-4常规宝石L4奖励</v>
      </c>
      <c r="E58" s="99" t="str">
        <f>"高难主线"&amp;高难主线关卡!$A$16&amp;"-"&amp;高难主线关卡!$B$16&amp;"常规宝石奖励"</f>
        <v>高难主线3-4常规宝石奖励</v>
      </c>
      <c r="F58" s="98">
        <v>0</v>
      </c>
      <c r="G58" s="98" t="s">
        <v>2560</v>
      </c>
      <c r="H58" s="98">
        <f>高难主线关卡!$J$16</f>
        <v>4</v>
      </c>
      <c r="I58" s="98">
        <f>高难主线关卡!$J$16</f>
        <v>4</v>
      </c>
      <c r="J58" s="98" t="s">
        <v>265</v>
      </c>
      <c r="K58" s="98">
        <f>高难主线关卡!$S$16</f>
        <v>81404</v>
      </c>
      <c r="L58" s="98">
        <v>1</v>
      </c>
      <c r="M58" s="98">
        <v>1</v>
      </c>
      <c r="N58" s="98">
        <f>ROUND(高难主线关卡!$N$16*10000,0)</f>
        <v>0</v>
      </c>
      <c r="O58" s="98">
        <f>高难主线关卡!$S$16</f>
        <v>81404</v>
      </c>
      <c r="P58" s="98" t="b">
        <f>高难主线关卡!$N$16&gt;0</f>
        <v>0</v>
      </c>
      <c r="Q58" s="98" t="s">
        <v>265</v>
      </c>
      <c r="S58" s="92"/>
      <c r="T58" s="92"/>
      <c r="U58" s="92"/>
      <c r="V58" s="92"/>
      <c r="W58" s="92"/>
      <c r="X58" s="92"/>
      <c r="Y58" s="92"/>
      <c r="Z58" s="92"/>
      <c r="AA58" s="92"/>
    </row>
    <row r="59" ht="16.5" customHeight="1" spans="1:27">
      <c r="A59" s="98" t="s">
        <v>265</v>
      </c>
      <c r="B59" s="98">
        <f t="shared" si="0"/>
        <v>300055</v>
      </c>
      <c r="C59" s="98">
        <f>26000000+高难主线关卡!$A$17*100+高难主线关卡!$B$17</f>
        <v>26000305</v>
      </c>
      <c r="D59" s="99" t="str">
        <f>"高难主线"&amp;高难主线关卡!$A$17&amp;"-"&amp;高难主线关卡!$B$17&amp;"首通钻石奖励"</f>
        <v>高难主线3-5首通钻石奖励</v>
      </c>
      <c r="E59" s="99" t="str">
        <f>"高难主线"&amp;高难主线关卡!$A$17&amp;"-"&amp;高难主线关卡!$B$17&amp;"首通钻石奖励"</f>
        <v>高难主线3-5首通钻石奖励</v>
      </c>
      <c r="F59" s="98">
        <v>0</v>
      </c>
      <c r="G59" s="98" t="s">
        <v>2559</v>
      </c>
      <c r="H59" s="98">
        <v>1</v>
      </c>
      <c r="I59" s="98">
        <v>1</v>
      </c>
      <c r="J59" s="98" t="s">
        <v>265</v>
      </c>
      <c r="K59" s="98">
        <v>2</v>
      </c>
      <c r="L59" s="98">
        <f>高难主线关卡!$AC$17</f>
        <v>50</v>
      </c>
      <c r="M59" s="98">
        <f>高难主线关卡!$AC$17</f>
        <v>50</v>
      </c>
      <c r="N59" s="98">
        <v>10000</v>
      </c>
      <c r="O59" s="98">
        <v>2</v>
      </c>
      <c r="P59" s="98" t="b">
        <f>高难主线关卡!$AC$17&gt;0</f>
        <v>1</v>
      </c>
      <c r="Q59" s="98" t="s">
        <v>265</v>
      </c>
      <c r="S59" s="92"/>
      <c r="T59" s="92"/>
      <c r="U59" s="92"/>
      <c r="V59" s="92"/>
      <c r="W59" s="92"/>
      <c r="X59" s="92"/>
      <c r="Y59" s="92"/>
      <c r="Z59" s="92"/>
      <c r="AA59" s="92"/>
    </row>
    <row r="60" ht="16.5" customHeight="1" spans="1:27">
      <c r="A60" s="98" t="s">
        <v>265</v>
      </c>
      <c r="B60" s="98">
        <f t="shared" si="0"/>
        <v>300056</v>
      </c>
      <c r="C60" s="98">
        <f>26100000+高难主线关卡!$A$17*100+高难主线关卡!$B$17</f>
        <v>26100305</v>
      </c>
      <c r="D60" s="99" t="str">
        <f>"高难主线"&amp;高难主线关卡!$A$17&amp;"-"&amp;高难主线关卡!$B$17&amp;"首通宝石奖励"</f>
        <v>高难主线3-5首通宝石奖励</v>
      </c>
      <c r="E60" s="99" t="str">
        <f>"高难主线"&amp;高难主线关卡!$A$17&amp;"-"&amp;高难主线关卡!$B$17&amp;"首通宝石奖励"</f>
        <v>高难主线3-5首通宝石奖励</v>
      </c>
      <c r="F60" s="98">
        <v>0</v>
      </c>
      <c r="G60" s="98" t="s">
        <v>2559</v>
      </c>
      <c r="H60" s="98">
        <v>1</v>
      </c>
      <c r="I60" s="98">
        <v>1</v>
      </c>
      <c r="J60" s="98" t="s">
        <v>265</v>
      </c>
      <c r="K60" s="98">
        <f ca="1">INDEX(高难主线关卡!$P$17:高难主线关卡!$S$17,1,高难主线关卡!$T$17)</f>
        <v>81702</v>
      </c>
      <c r="L60" s="98">
        <f>高难主线关卡!$U$17</f>
        <v>2</v>
      </c>
      <c r="M60" s="98">
        <f>高难主线关卡!$U$17</f>
        <v>2</v>
      </c>
      <c r="N60" s="98">
        <v>10000</v>
      </c>
      <c r="O60" s="98">
        <f ca="1">INDEX(高难主线关卡!$P$17:高难主线关卡!$S$17,1,高难主线关卡!$T$17)</f>
        <v>81702</v>
      </c>
      <c r="P60" s="98" t="b">
        <f>高难主线关卡!$U$17&gt;0</f>
        <v>1</v>
      </c>
      <c r="Q60" s="98" t="s">
        <v>265</v>
      </c>
      <c r="S60" s="92"/>
      <c r="T60" s="92"/>
      <c r="U60" s="92"/>
      <c r="V60" s="92"/>
      <c r="W60" s="92"/>
      <c r="X60" s="92"/>
      <c r="Y60" s="92"/>
      <c r="Z60" s="92"/>
      <c r="AA60" s="92"/>
    </row>
    <row r="61" ht="16.5" customHeight="1" spans="1:27">
      <c r="A61" s="98" t="s">
        <v>265</v>
      </c>
      <c r="B61" s="98">
        <f t="shared" si="0"/>
        <v>300057</v>
      </c>
      <c r="C61" s="98">
        <f>26200000+高难主线关卡!$A$17*100+高难主线关卡!$B$17</f>
        <v>26200305</v>
      </c>
      <c r="D61" s="99" t="str">
        <f>"高难主线"&amp;高难主线关卡!$A$17&amp;"-"&amp;高难主线关卡!$B$17&amp;"常规宝石L1奖励"</f>
        <v>高难主线3-5常规宝石L1奖励</v>
      </c>
      <c r="E61" s="99" t="str">
        <f>"高难主线"&amp;高难主线关卡!$A$17&amp;"-"&amp;高难主线关卡!$B$17&amp;"常规宝石奖励"</f>
        <v>高难主线3-5常规宝石奖励</v>
      </c>
      <c r="F61" s="98">
        <v>0</v>
      </c>
      <c r="G61" s="98" t="s">
        <v>2560</v>
      </c>
      <c r="H61" s="98">
        <f>高难主线关卡!$J$17</f>
        <v>4</v>
      </c>
      <c r="I61" s="98">
        <f>高难主线关卡!$J$17</f>
        <v>4</v>
      </c>
      <c r="J61" s="98" t="s">
        <v>265</v>
      </c>
      <c r="K61" s="98">
        <f>高难主线关卡!$P$17</f>
        <v>81701</v>
      </c>
      <c r="L61" s="98">
        <v>1</v>
      </c>
      <c r="M61" s="98">
        <v>1</v>
      </c>
      <c r="N61" s="98">
        <f>ROUND(高难主线关卡!$K$17*10000,0)</f>
        <v>6500</v>
      </c>
      <c r="O61" s="98">
        <f>高难主线关卡!$P$17</f>
        <v>81701</v>
      </c>
      <c r="P61" s="98" t="b">
        <f>高难主线关卡!$K$17&gt;0</f>
        <v>1</v>
      </c>
      <c r="Q61" s="98" t="s">
        <v>265</v>
      </c>
      <c r="S61" s="92"/>
      <c r="T61" s="92"/>
      <c r="U61" s="92"/>
      <c r="V61" s="92"/>
      <c r="W61" s="92"/>
      <c r="X61" s="92"/>
      <c r="Y61" s="92"/>
      <c r="Z61" s="92"/>
      <c r="AA61" s="92"/>
    </row>
    <row r="62" ht="16.5" customHeight="1" spans="1:27">
      <c r="A62" s="98" t="s">
        <v>265</v>
      </c>
      <c r="B62" s="98">
        <f t="shared" si="0"/>
        <v>300058</v>
      </c>
      <c r="C62" s="98">
        <f>26200000+高难主线关卡!$A$17*100+高难主线关卡!$B$17</f>
        <v>26200305</v>
      </c>
      <c r="D62" s="99" t="str">
        <f>"高难主线"&amp;高难主线关卡!$A$17&amp;"-"&amp;高难主线关卡!$B$17&amp;"常规宝石L2奖励"</f>
        <v>高难主线3-5常规宝石L2奖励</v>
      </c>
      <c r="E62" s="99" t="str">
        <f>"高难主线"&amp;高难主线关卡!$A$17&amp;"-"&amp;高难主线关卡!$B$17&amp;"常规宝石奖励"</f>
        <v>高难主线3-5常规宝石奖励</v>
      </c>
      <c r="F62" s="98">
        <v>0</v>
      </c>
      <c r="G62" s="98" t="s">
        <v>2560</v>
      </c>
      <c r="H62" s="98">
        <f>高难主线关卡!$J$17</f>
        <v>4</v>
      </c>
      <c r="I62" s="98">
        <f>高难主线关卡!$J$17</f>
        <v>4</v>
      </c>
      <c r="J62" s="98" t="s">
        <v>265</v>
      </c>
      <c r="K62" s="98">
        <f>高难主线关卡!$Q$17</f>
        <v>81702</v>
      </c>
      <c r="L62" s="98">
        <v>1</v>
      </c>
      <c r="M62" s="98">
        <v>1</v>
      </c>
      <c r="N62" s="98">
        <f>ROUND(高难主线关卡!$L$17*10000,0)</f>
        <v>3500</v>
      </c>
      <c r="O62" s="98">
        <f>高难主线关卡!$Q$17</f>
        <v>81702</v>
      </c>
      <c r="P62" s="98" t="b">
        <f>高难主线关卡!$L$17&gt;0</f>
        <v>1</v>
      </c>
      <c r="Q62" s="98" t="s">
        <v>265</v>
      </c>
      <c r="S62" s="92"/>
      <c r="T62" s="92"/>
      <c r="U62" s="92"/>
      <c r="V62" s="92"/>
      <c r="W62" s="92"/>
      <c r="X62" s="92"/>
      <c r="Y62" s="92"/>
      <c r="Z62" s="92"/>
      <c r="AA62" s="92"/>
    </row>
    <row r="63" ht="16.5" customHeight="1" spans="1:27">
      <c r="A63" s="98" t="s">
        <v>265</v>
      </c>
      <c r="B63" s="98">
        <f t="shared" si="0"/>
        <v>300059</v>
      </c>
      <c r="C63" s="98">
        <f>26200000+高难主线关卡!$A$17*100+高难主线关卡!$B$17</f>
        <v>26200305</v>
      </c>
      <c r="D63" s="99" t="str">
        <f>"高难主线"&amp;高难主线关卡!$A$17&amp;"-"&amp;高难主线关卡!$B$17&amp;"常规宝石L3奖励"</f>
        <v>高难主线3-5常规宝石L3奖励</v>
      </c>
      <c r="E63" s="99" t="str">
        <f>"高难主线"&amp;高难主线关卡!$A$17&amp;"-"&amp;高难主线关卡!$B$17&amp;"常规宝石奖励"</f>
        <v>高难主线3-5常规宝石奖励</v>
      </c>
      <c r="F63" s="98">
        <v>0</v>
      </c>
      <c r="G63" s="98" t="s">
        <v>2560</v>
      </c>
      <c r="H63" s="98">
        <f>高难主线关卡!$J$17</f>
        <v>4</v>
      </c>
      <c r="I63" s="98">
        <f>高难主线关卡!$J$17</f>
        <v>4</v>
      </c>
      <c r="J63" s="98" t="s">
        <v>265</v>
      </c>
      <c r="K63" s="98">
        <f>高难主线关卡!$R$17</f>
        <v>81703</v>
      </c>
      <c r="L63" s="98">
        <v>1</v>
      </c>
      <c r="M63" s="98">
        <v>1</v>
      </c>
      <c r="N63" s="98">
        <f>ROUND(高难主线关卡!$M$17*10000,0)</f>
        <v>0</v>
      </c>
      <c r="O63" s="98">
        <f>高难主线关卡!$R$17</f>
        <v>81703</v>
      </c>
      <c r="P63" s="98" t="b">
        <f>高难主线关卡!$M$17&gt;0</f>
        <v>0</v>
      </c>
      <c r="Q63" s="98" t="s">
        <v>265</v>
      </c>
      <c r="S63" s="92"/>
      <c r="T63" s="92"/>
      <c r="U63" s="92"/>
      <c r="V63" s="92"/>
      <c r="W63" s="92"/>
      <c r="X63" s="92"/>
      <c r="Y63" s="92"/>
      <c r="Z63" s="92"/>
      <c r="AA63" s="92"/>
    </row>
    <row r="64" ht="16.5" customHeight="1" spans="1:27">
      <c r="A64" s="98" t="s">
        <v>265</v>
      </c>
      <c r="B64" s="98">
        <f t="shared" si="0"/>
        <v>300060</v>
      </c>
      <c r="C64" s="98">
        <f>26200000+高难主线关卡!$A$17*100+高难主线关卡!$B$17</f>
        <v>26200305</v>
      </c>
      <c r="D64" s="99" t="str">
        <f>"高难主线"&amp;高难主线关卡!$A$17&amp;"-"&amp;高难主线关卡!$B$17&amp;"常规宝石L4奖励"</f>
        <v>高难主线3-5常规宝石L4奖励</v>
      </c>
      <c r="E64" s="99" t="str">
        <f>"高难主线"&amp;高难主线关卡!$A$17&amp;"-"&amp;高难主线关卡!$B$17&amp;"常规宝石奖励"</f>
        <v>高难主线3-5常规宝石奖励</v>
      </c>
      <c r="F64" s="98">
        <v>0</v>
      </c>
      <c r="G64" s="98" t="s">
        <v>2560</v>
      </c>
      <c r="H64" s="98">
        <f>高难主线关卡!$J$17</f>
        <v>4</v>
      </c>
      <c r="I64" s="98">
        <f>高难主线关卡!$J$17</f>
        <v>4</v>
      </c>
      <c r="J64" s="98" t="s">
        <v>265</v>
      </c>
      <c r="K64" s="98">
        <f>高难主线关卡!$S$17</f>
        <v>81704</v>
      </c>
      <c r="L64" s="98">
        <v>1</v>
      </c>
      <c r="M64" s="98">
        <v>1</v>
      </c>
      <c r="N64" s="98">
        <f>ROUND(高难主线关卡!$N$17*10000,0)</f>
        <v>0</v>
      </c>
      <c r="O64" s="98">
        <f>高难主线关卡!$S$17</f>
        <v>81704</v>
      </c>
      <c r="P64" s="98" t="b">
        <f>高难主线关卡!$N$17&gt;0</f>
        <v>0</v>
      </c>
      <c r="Q64" s="98" t="s">
        <v>265</v>
      </c>
      <c r="S64" s="92"/>
      <c r="T64" s="92"/>
      <c r="U64" s="92"/>
      <c r="V64" s="92"/>
      <c r="W64" s="92"/>
      <c r="X64" s="92"/>
      <c r="Y64" s="92"/>
      <c r="Z64" s="92"/>
      <c r="AA64" s="92"/>
    </row>
    <row r="65" ht="16.5" customHeight="1" spans="1:27">
      <c r="A65" s="98" t="s">
        <v>265</v>
      </c>
      <c r="B65" s="98">
        <f t="shared" si="0"/>
        <v>300061</v>
      </c>
      <c r="C65" s="98">
        <f>26000000+高难主线关卡!$A$18*100+高难主线关卡!$B$18</f>
        <v>26000401</v>
      </c>
      <c r="D65" s="99" t="str">
        <f>"高难主线"&amp;高难主线关卡!$A$18&amp;"-"&amp;高难主线关卡!$B$18&amp;"首通钻石奖励"</f>
        <v>高难主线4-1首通钻石奖励</v>
      </c>
      <c r="E65" s="99" t="str">
        <f>"高难主线"&amp;高难主线关卡!$A$18&amp;"-"&amp;高难主线关卡!$B$18&amp;"首通钻石奖励"</f>
        <v>高难主线4-1首通钻石奖励</v>
      </c>
      <c r="F65" s="98">
        <v>0</v>
      </c>
      <c r="G65" s="98" t="s">
        <v>2559</v>
      </c>
      <c r="H65" s="98">
        <v>1</v>
      </c>
      <c r="I65" s="98">
        <v>1</v>
      </c>
      <c r="J65" s="98" t="s">
        <v>265</v>
      </c>
      <c r="K65" s="98">
        <v>2</v>
      </c>
      <c r="L65" s="98">
        <f>高难主线关卡!$AC$18</f>
        <v>50</v>
      </c>
      <c r="M65" s="98">
        <f>高难主线关卡!$AC$18</f>
        <v>50</v>
      </c>
      <c r="N65" s="98">
        <v>10000</v>
      </c>
      <c r="O65" s="98">
        <v>2</v>
      </c>
      <c r="P65" s="98" t="b">
        <f>高难主线关卡!$AC$18&gt;0</f>
        <v>1</v>
      </c>
      <c r="Q65" s="98" t="s">
        <v>265</v>
      </c>
      <c r="S65" s="92"/>
      <c r="T65" s="92"/>
      <c r="U65" s="92"/>
      <c r="V65" s="92"/>
      <c r="W65" s="92"/>
      <c r="X65" s="92"/>
      <c r="Y65" s="92"/>
      <c r="Z65" s="92"/>
      <c r="AA65" s="92"/>
    </row>
    <row r="66" ht="16.5" customHeight="1" spans="1:27">
      <c r="A66" s="98" t="s">
        <v>265</v>
      </c>
      <c r="B66" s="98">
        <f t="shared" si="0"/>
        <v>300062</v>
      </c>
      <c r="C66" s="98">
        <f>26100000+高难主线关卡!$A$18*100+高难主线关卡!$B$18</f>
        <v>26100401</v>
      </c>
      <c r="D66" s="99" t="str">
        <f>"高难主线"&amp;高难主线关卡!$A$18&amp;"-"&amp;高难主线关卡!$B$18&amp;"首通宝石奖励"</f>
        <v>高难主线4-1首通宝石奖励</v>
      </c>
      <c r="E66" s="99" t="str">
        <f>"高难主线"&amp;高难主线关卡!$A$18&amp;"-"&amp;高难主线关卡!$B$18&amp;"首通宝石奖励"</f>
        <v>高难主线4-1首通宝石奖励</v>
      </c>
      <c r="F66" s="98">
        <v>0</v>
      </c>
      <c r="G66" s="98" t="s">
        <v>2559</v>
      </c>
      <c r="H66" s="98">
        <v>1</v>
      </c>
      <c r="I66" s="98">
        <v>1</v>
      </c>
      <c r="J66" s="98" t="s">
        <v>265</v>
      </c>
      <c r="K66" s="98">
        <f ca="1">INDEX(高难主线关卡!$P$18:高难主线关卡!$S$18,1,高难主线关卡!$T$18)</f>
        <v>81303</v>
      </c>
      <c r="L66" s="98">
        <f>高难主线关卡!$U$18</f>
        <v>2</v>
      </c>
      <c r="M66" s="98">
        <f>高难主线关卡!$U$18</f>
        <v>2</v>
      </c>
      <c r="N66" s="98">
        <v>10000</v>
      </c>
      <c r="O66" s="98">
        <f ca="1">INDEX(高难主线关卡!$P$18:高难主线关卡!$S$18,1,高难主线关卡!$T$18)</f>
        <v>81303</v>
      </c>
      <c r="P66" s="98" t="b">
        <f>高难主线关卡!$U$18&gt;0</f>
        <v>1</v>
      </c>
      <c r="Q66" s="98" t="s">
        <v>265</v>
      </c>
      <c r="S66" s="92"/>
      <c r="T66" s="92"/>
      <c r="U66" s="92"/>
      <c r="V66" s="92"/>
      <c r="W66" s="92"/>
      <c r="X66" s="92"/>
      <c r="Y66" s="92"/>
      <c r="Z66" s="92"/>
      <c r="AA66" s="92"/>
    </row>
    <row r="67" ht="16.5" customHeight="1" spans="1:27">
      <c r="A67" s="98" t="s">
        <v>265</v>
      </c>
      <c r="B67" s="98">
        <f t="shared" si="0"/>
        <v>300063</v>
      </c>
      <c r="C67" s="98">
        <f>26200000+高难主线关卡!$A$18*100+高难主线关卡!$B$18</f>
        <v>26200401</v>
      </c>
      <c r="D67" s="99" t="str">
        <f>"高难主线"&amp;高难主线关卡!$A$18&amp;"-"&amp;高难主线关卡!$B$18&amp;"常规宝石L1奖励"</f>
        <v>高难主线4-1常规宝石L1奖励</v>
      </c>
      <c r="E67" s="99" t="str">
        <f>"高难主线"&amp;高难主线关卡!$A$18&amp;"-"&amp;高难主线关卡!$B$18&amp;"常规宝石奖励"</f>
        <v>高难主线4-1常规宝石奖励</v>
      </c>
      <c r="F67" s="98">
        <v>0</v>
      </c>
      <c r="G67" s="98" t="s">
        <v>2560</v>
      </c>
      <c r="H67" s="98">
        <f>高难主线关卡!$J$18</f>
        <v>4</v>
      </c>
      <c r="I67" s="98">
        <f>高难主线关卡!$J$18</f>
        <v>4</v>
      </c>
      <c r="J67" s="98" t="s">
        <v>265</v>
      </c>
      <c r="K67" s="98">
        <f>高难主线关卡!$P$18</f>
        <v>81301</v>
      </c>
      <c r="L67" s="98">
        <v>1</v>
      </c>
      <c r="M67" s="98">
        <v>1</v>
      </c>
      <c r="N67" s="98">
        <f>ROUND(高难主线关卡!$K$18*10000,0)</f>
        <v>3000</v>
      </c>
      <c r="O67" s="98">
        <f>高难主线关卡!$P$18</f>
        <v>81301</v>
      </c>
      <c r="P67" s="98" t="b">
        <f>高难主线关卡!$K$18&gt;0</f>
        <v>1</v>
      </c>
      <c r="Q67" s="98" t="s">
        <v>265</v>
      </c>
      <c r="S67" s="92"/>
      <c r="T67" s="92"/>
      <c r="U67" s="92"/>
      <c r="V67" s="92"/>
      <c r="W67" s="92"/>
      <c r="X67" s="92"/>
      <c r="Y67" s="92"/>
      <c r="Z67" s="92"/>
      <c r="AA67" s="92"/>
    </row>
    <row r="68" ht="16.5" customHeight="1" spans="1:27">
      <c r="A68" s="98" t="s">
        <v>265</v>
      </c>
      <c r="B68" s="98">
        <f t="shared" si="0"/>
        <v>300064</v>
      </c>
      <c r="C68" s="98">
        <f>26200000+高难主线关卡!$A$18*100+高难主线关卡!$B$18</f>
        <v>26200401</v>
      </c>
      <c r="D68" s="99" t="str">
        <f>"高难主线"&amp;高难主线关卡!$A$18&amp;"-"&amp;高难主线关卡!$B$18&amp;"常规宝石L2奖励"</f>
        <v>高难主线4-1常规宝石L2奖励</v>
      </c>
      <c r="E68" s="99" t="str">
        <f>"高难主线"&amp;高难主线关卡!$A$18&amp;"-"&amp;高难主线关卡!$B$18&amp;"常规宝石奖励"</f>
        <v>高难主线4-1常规宝石奖励</v>
      </c>
      <c r="F68" s="98">
        <v>0</v>
      </c>
      <c r="G68" s="98" t="s">
        <v>2560</v>
      </c>
      <c r="H68" s="98">
        <f>高难主线关卡!$J$18</f>
        <v>4</v>
      </c>
      <c r="I68" s="98">
        <f>高难主线关卡!$J$18</f>
        <v>4</v>
      </c>
      <c r="J68" s="98" t="s">
        <v>265</v>
      </c>
      <c r="K68" s="98">
        <f>高难主线关卡!$Q$18</f>
        <v>81302</v>
      </c>
      <c r="L68" s="98">
        <v>1</v>
      </c>
      <c r="M68" s="98">
        <v>1</v>
      </c>
      <c r="N68" s="98">
        <f>ROUND(高难主线关卡!$L$18*10000,0)</f>
        <v>7000</v>
      </c>
      <c r="O68" s="98">
        <f>高难主线关卡!$Q$18</f>
        <v>81302</v>
      </c>
      <c r="P68" s="98" t="b">
        <f>高难主线关卡!$L$18&gt;0</f>
        <v>1</v>
      </c>
      <c r="Q68" s="98" t="s">
        <v>265</v>
      </c>
      <c r="S68" s="92"/>
      <c r="T68" s="92"/>
      <c r="U68" s="92"/>
      <c r="V68" s="92"/>
      <c r="W68" s="92"/>
      <c r="X68" s="92"/>
      <c r="Y68" s="92"/>
      <c r="Z68" s="92"/>
      <c r="AA68" s="92"/>
    </row>
    <row r="69" ht="16.5" customHeight="1" spans="1:27">
      <c r="A69" s="98" t="s">
        <v>265</v>
      </c>
      <c r="B69" s="98">
        <f t="shared" ref="B69:B94" si="1">ROW()+300000-4</f>
        <v>300065</v>
      </c>
      <c r="C69" s="98">
        <f>26200000+高难主线关卡!$A$18*100+高难主线关卡!$B$18</f>
        <v>26200401</v>
      </c>
      <c r="D69" s="99" t="str">
        <f>"高难主线"&amp;高难主线关卡!$A$18&amp;"-"&amp;高难主线关卡!$B$18&amp;"常规宝石L3奖励"</f>
        <v>高难主线4-1常规宝石L3奖励</v>
      </c>
      <c r="E69" s="99" t="str">
        <f>"高难主线"&amp;高难主线关卡!$A$18&amp;"-"&amp;高难主线关卡!$B$18&amp;"常规宝石奖励"</f>
        <v>高难主线4-1常规宝石奖励</v>
      </c>
      <c r="F69" s="98">
        <v>0</v>
      </c>
      <c r="G69" s="98" t="s">
        <v>2560</v>
      </c>
      <c r="H69" s="98">
        <f>高难主线关卡!$J$18</f>
        <v>4</v>
      </c>
      <c r="I69" s="98">
        <f>高难主线关卡!$J$18</f>
        <v>4</v>
      </c>
      <c r="J69" s="98" t="s">
        <v>265</v>
      </c>
      <c r="K69" s="98">
        <f>高难主线关卡!$R$18</f>
        <v>81303</v>
      </c>
      <c r="L69" s="98">
        <v>1</v>
      </c>
      <c r="M69" s="98">
        <v>1</v>
      </c>
      <c r="N69" s="98">
        <f>ROUND(高难主线关卡!$M$18*10000,0)</f>
        <v>0</v>
      </c>
      <c r="O69" s="98">
        <f>高难主线关卡!$R$18</f>
        <v>81303</v>
      </c>
      <c r="P69" s="98" t="b">
        <f>高难主线关卡!$M$18&gt;0</f>
        <v>0</v>
      </c>
      <c r="Q69" s="98" t="s">
        <v>265</v>
      </c>
      <c r="S69" s="92"/>
      <c r="T69" s="92"/>
      <c r="U69" s="92"/>
      <c r="V69" s="92"/>
      <c r="W69" s="92"/>
      <c r="X69" s="92"/>
      <c r="Y69" s="92"/>
      <c r="Z69" s="92"/>
      <c r="AA69" s="92"/>
    </row>
    <row r="70" ht="16.5" customHeight="1" spans="1:27">
      <c r="A70" s="98" t="s">
        <v>265</v>
      </c>
      <c r="B70" s="98">
        <f t="shared" si="1"/>
        <v>300066</v>
      </c>
      <c r="C70" s="98">
        <f>26200000+高难主线关卡!$A$18*100+高难主线关卡!$B$18</f>
        <v>26200401</v>
      </c>
      <c r="D70" s="99" t="str">
        <f>"高难主线"&amp;高难主线关卡!$A$18&amp;"-"&amp;高难主线关卡!$B$18&amp;"常规宝石L4奖励"</f>
        <v>高难主线4-1常规宝石L4奖励</v>
      </c>
      <c r="E70" s="99" t="str">
        <f>"高难主线"&amp;高难主线关卡!$A$18&amp;"-"&amp;高难主线关卡!$B$18&amp;"常规宝石奖励"</f>
        <v>高难主线4-1常规宝石奖励</v>
      </c>
      <c r="F70" s="98">
        <v>0</v>
      </c>
      <c r="G70" s="98" t="s">
        <v>2560</v>
      </c>
      <c r="H70" s="98">
        <f>高难主线关卡!$J$18</f>
        <v>4</v>
      </c>
      <c r="I70" s="98">
        <f>高难主线关卡!$J$18</f>
        <v>4</v>
      </c>
      <c r="J70" s="98" t="s">
        <v>265</v>
      </c>
      <c r="K70" s="98">
        <f>高难主线关卡!$S$18</f>
        <v>81304</v>
      </c>
      <c r="L70" s="98">
        <v>1</v>
      </c>
      <c r="M70" s="98">
        <v>1</v>
      </c>
      <c r="N70" s="98">
        <f>ROUND(高难主线关卡!$N$18*10000,0)</f>
        <v>0</v>
      </c>
      <c r="O70" s="98">
        <f>高难主线关卡!$S$18</f>
        <v>81304</v>
      </c>
      <c r="P70" s="98" t="b">
        <f>高难主线关卡!$N$18&gt;0</f>
        <v>0</v>
      </c>
      <c r="Q70" s="98" t="s">
        <v>265</v>
      </c>
      <c r="S70" s="92"/>
      <c r="T70" s="92"/>
      <c r="U70" s="92"/>
      <c r="V70" s="92"/>
      <c r="W70" s="92"/>
      <c r="X70" s="92"/>
      <c r="Y70" s="92"/>
      <c r="Z70" s="92"/>
      <c r="AA70" s="92"/>
    </row>
    <row r="71" ht="16.5" customHeight="1" spans="1:27">
      <c r="A71" s="98" t="s">
        <v>265</v>
      </c>
      <c r="B71" s="98">
        <f t="shared" si="1"/>
        <v>300067</v>
      </c>
      <c r="C71" s="98">
        <f>26000000+高难主线关卡!$A$19*100+高难主线关卡!$B$19</f>
        <v>26000402</v>
      </c>
      <c r="D71" s="99" t="str">
        <f>"高难主线"&amp;高难主线关卡!$A$19&amp;"-"&amp;高难主线关卡!$B$19&amp;"首通钻石奖励"</f>
        <v>高难主线4-2首通钻石奖励</v>
      </c>
      <c r="E71" s="99" t="str">
        <f>"高难主线"&amp;高难主线关卡!$A$19&amp;"-"&amp;高难主线关卡!$B$19&amp;"首通钻石奖励"</f>
        <v>高难主线4-2首通钻石奖励</v>
      </c>
      <c r="F71" s="98">
        <v>0</v>
      </c>
      <c r="G71" s="98" t="s">
        <v>2559</v>
      </c>
      <c r="H71" s="98">
        <v>1</v>
      </c>
      <c r="I71" s="98">
        <v>1</v>
      </c>
      <c r="J71" s="98" t="s">
        <v>265</v>
      </c>
      <c r="K71" s="98">
        <v>2</v>
      </c>
      <c r="L71" s="98">
        <f>高难主线关卡!$AC$19</f>
        <v>50</v>
      </c>
      <c r="M71" s="98">
        <f>高难主线关卡!$AC$19</f>
        <v>50</v>
      </c>
      <c r="N71" s="98">
        <v>10000</v>
      </c>
      <c r="O71" s="98">
        <v>2</v>
      </c>
      <c r="P71" s="98" t="b">
        <f>高难主线关卡!$AC$19&gt;0</f>
        <v>1</v>
      </c>
      <c r="Q71" s="98" t="s">
        <v>265</v>
      </c>
      <c r="S71" s="92"/>
      <c r="T71" s="92"/>
      <c r="U71" s="92"/>
      <c r="V71" s="92"/>
      <c r="W71" s="92"/>
      <c r="X71" s="92"/>
      <c r="Y71" s="92"/>
      <c r="Z71" s="92"/>
      <c r="AA71" s="92"/>
    </row>
    <row r="72" ht="16.5" customHeight="1" spans="1:27">
      <c r="A72" s="98" t="s">
        <v>265</v>
      </c>
      <c r="B72" s="98">
        <f t="shared" si="1"/>
        <v>300068</v>
      </c>
      <c r="C72" s="98">
        <f>26100000+高难主线关卡!$A$19*100+高难主线关卡!$B$19</f>
        <v>26100402</v>
      </c>
      <c r="D72" s="99" t="str">
        <f>"高难主线"&amp;高难主线关卡!$A$19&amp;"-"&amp;高难主线关卡!$B$19&amp;"首通宝石奖励"</f>
        <v>高难主线4-2首通宝石奖励</v>
      </c>
      <c r="E72" s="99" t="str">
        <f>"高难主线"&amp;高难主线关卡!$A$19&amp;"-"&amp;高难主线关卡!$B$19&amp;"首通宝石奖励"</f>
        <v>高难主线4-2首通宝石奖励</v>
      </c>
      <c r="F72" s="98">
        <v>0</v>
      </c>
      <c r="G72" s="98" t="s">
        <v>2559</v>
      </c>
      <c r="H72" s="98">
        <v>1</v>
      </c>
      <c r="I72" s="98">
        <v>1</v>
      </c>
      <c r="J72" s="98" t="s">
        <v>265</v>
      </c>
      <c r="K72" s="98">
        <f ca="1">INDEX(高难主线关卡!$P$19:高难主线关卡!$S$19,1,高难主线关卡!$T$19)</f>
        <v>81503</v>
      </c>
      <c r="L72" s="98">
        <f>高难主线关卡!$U$19</f>
        <v>2</v>
      </c>
      <c r="M72" s="98">
        <f>高难主线关卡!$U$19</f>
        <v>2</v>
      </c>
      <c r="N72" s="98">
        <v>10000</v>
      </c>
      <c r="O72" s="98">
        <f ca="1">INDEX(高难主线关卡!$P$19:高难主线关卡!$S$19,1,高难主线关卡!$T$19)</f>
        <v>81503</v>
      </c>
      <c r="P72" s="98" t="b">
        <f>高难主线关卡!$U$19&gt;0</f>
        <v>1</v>
      </c>
      <c r="Q72" s="98" t="s">
        <v>265</v>
      </c>
      <c r="S72" s="92"/>
      <c r="T72" s="92"/>
      <c r="U72" s="92"/>
      <c r="V72" s="92"/>
      <c r="W72" s="92"/>
      <c r="X72" s="92"/>
      <c r="Y72" s="92"/>
      <c r="Z72" s="92"/>
      <c r="AA72" s="92"/>
    </row>
    <row r="73" ht="16.5" customHeight="1" spans="1:27">
      <c r="A73" s="98" t="s">
        <v>265</v>
      </c>
      <c r="B73" s="98">
        <f t="shared" si="1"/>
        <v>300069</v>
      </c>
      <c r="C73" s="98">
        <f>26200000+高难主线关卡!$A$19*100+高难主线关卡!$B$19</f>
        <v>26200402</v>
      </c>
      <c r="D73" s="99" t="str">
        <f>"高难主线"&amp;高难主线关卡!$A$19&amp;"-"&amp;高难主线关卡!$B$19&amp;"常规宝石L1奖励"</f>
        <v>高难主线4-2常规宝石L1奖励</v>
      </c>
      <c r="E73" s="99" t="str">
        <f>"高难主线"&amp;高难主线关卡!$A$19&amp;"-"&amp;高难主线关卡!$B$19&amp;"常规宝石奖励"</f>
        <v>高难主线4-2常规宝石奖励</v>
      </c>
      <c r="F73" s="98">
        <v>0</v>
      </c>
      <c r="G73" s="98" t="s">
        <v>2560</v>
      </c>
      <c r="H73" s="98">
        <f>高难主线关卡!$J$19</f>
        <v>4</v>
      </c>
      <c r="I73" s="98">
        <f>高难主线关卡!$J$19</f>
        <v>4</v>
      </c>
      <c r="J73" s="98" t="s">
        <v>265</v>
      </c>
      <c r="K73" s="98">
        <f>高难主线关卡!$P$19</f>
        <v>81501</v>
      </c>
      <c r="L73" s="98">
        <v>1</v>
      </c>
      <c r="M73" s="98">
        <v>1</v>
      </c>
      <c r="N73" s="98">
        <f>ROUND(高难主线关卡!$K$19*10000,0)</f>
        <v>3000</v>
      </c>
      <c r="O73" s="98">
        <f>高难主线关卡!$P$19</f>
        <v>81501</v>
      </c>
      <c r="P73" s="98" t="b">
        <f>高难主线关卡!$K$19&gt;0</f>
        <v>1</v>
      </c>
      <c r="Q73" s="98" t="s">
        <v>265</v>
      </c>
      <c r="S73" s="92"/>
      <c r="T73" s="92"/>
      <c r="U73" s="92"/>
      <c r="V73" s="92"/>
      <c r="W73" s="92"/>
      <c r="X73" s="92"/>
      <c r="Y73" s="92"/>
      <c r="Z73" s="92"/>
      <c r="AA73" s="92"/>
    </row>
    <row r="74" ht="16.5" customHeight="1" spans="1:27">
      <c r="A74" s="98" t="s">
        <v>265</v>
      </c>
      <c r="B74" s="98">
        <f t="shared" si="1"/>
        <v>300070</v>
      </c>
      <c r="C74" s="98">
        <f>26200000+高难主线关卡!$A$19*100+高难主线关卡!$B$19</f>
        <v>26200402</v>
      </c>
      <c r="D74" s="99" t="str">
        <f>"高难主线"&amp;高难主线关卡!$A$19&amp;"-"&amp;高难主线关卡!$B$19&amp;"常规宝石L2奖励"</f>
        <v>高难主线4-2常规宝石L2奖励</v>
      </c>
      <c r="E74" s="99" t="str">
        <f>"高难主线"&amp;高难主线关卡!$A$19&amp;"-"&amp;高难主线关卡!$B$19&amp;"常规宝石奖励"</f>
        <v>高难主线4-2常规宝石奖励</v>
      </c>
      <c r="F74" s="98">
        <v>0</v>
      </c>
      <c r="G74" s="98" t="s">
        <v>2560</v>
      </c>
      <c r="H74" s="98">
        <f>高难主线关卡!$J$19</f>
        <v>4</v>
      </c>
      <c r="I74" s="98">
        <f>高难主线关卡!$J$19</f>
        <v>4</v>
      </c>
      <c r="J74" s="98" t="s">
        <v>265</v>
      </c>
      <c r="K74" s="98">
        <f>高难主线关卡!$Q$19</f>
        <v>81502</v>
      </c>
      <c r="L74" s="98">
        <v>1</v>
      </c>
      <c r="M74" s="98">
        <v>1</v>
      </c>
      <c r="N74" s="98">
        <f>ROUND(高难主线关卡!$L$19*10000,0)</f>
        <v>7000</v>
      </c>
      <c r="O74" s="98">
        <f>高难主线关卡!$Q$19</f>
        <v>81502</v>
      </c>
      <c r="P74" s="98" t="b">
        <f>高难主线关卡!$L$19&gt;0</f>
        <v>1</v>
      </c>
      <c r="Q74" s="98" t="s">
        <v>265</v>
      </c>
      <c r="S74" s="92"/>
      <c r="T74" s="92"/>
      <c r="U74" s="92"/>
      <c r="V74" s="92"/>
      <c r="W74" s="92"/>
      <c r="X74" s="92"/>
      <c r="Y74" s="92"/>
      <c r="Z74" s="92"/>
      <c r="AA74" s="92"/>
    </row>
    <row r="75" ht="16.5" customHeight="1" spans="1:27">
      <c r="A75" s="98" t="s">
        <v>265</v>
      </c>
      <c r="B75" s="98">
        <f t="shared" si="1"/>
        <v>300071</v>
      </c>
      <c r="C75" s="98">
        <f>26200000+高难主线关卡!$A$19*100+高难主线关卡!$B$19</f>
        <v>26200402</v>
      </c>
      <c r="D75" s="99" t="str">
        <f>"高难主线"&amp;高难主线关卡!$A$19&amp;"-"&amp;高难主线关卡!$B$19&amp;"常规宝石L3奖励"</f>
        <v>高难主线4-2常规宝石L3奖励</v>
      </c>
      <c r="E75" s="99" t="str">
        <f>"高难主线"&amp;高难主线关卡!$A$19&amp;"-"&amp;高难主线关卡!$B$19&amp;"常规宝石奖励"</f>
        <v>高难主线4-2常规宝石奖励</v>
      </c>
      <c r="F75" s="98">
        <v>0</v>
      </c>
      <c r="G75" s="98" t="s">
        <v>2560</v>
      </c>
      <c r="H75" s="98">
        <f>高难主线关卡!$J$19</f>
        <v>4</v>
      </c>
      <c r="I75" s="98">
        <f>高难主线关卡!$J$19</f>
        <v>4</v>
      </c>
      <c r="J75" s="98" t="s">
        <v>265</v>
      </c>
      <c r="K75" s="98">
        <f>高难主线关卡!$R$19</f>
        <v>81503</v>
      </c>
      <c r="L75" s="98">
        <v>1</v>
      </c>
      <c r="M75" s="98">
        <v>1</v>
      </c>
      <c r="N75" s="98">
        <f>ROUND(高难主线关卡!$M$19*10000,0)</f>
        <v>0</v>
      </c>
      <c r="O75" s="98">
        <f>高难主线关卡!$R$19</f>
        <v>81503</v>
      </c>
      <c r="P75" s="98" t="b">
        <f>高难主线关卡!$M$19&gt;0</f>
        <v>0</v>
      </c>
      <c r="Q75" s="98" t="s">
        <v>265</v>
      </c>
      <c r="S75" s="92"/>
      <c r="T75" s="92"/>
      <c r="U75" s="92"/>
      <c r="V75" s="92"/>
      <c r="W75" s="92"/>
      <c r="X75" s="92"/>
      <c r="Y75" s="92"/>
      <c r="Z75" s="92"/>
      <c r="AA75" s="92"/>
    </row>
    <row r="76" ht="16.5" customHeight="1" spans="1:27">
      <c r="A76" s="98" t="s">
        <v>265</v>
      </c>
      <c r="B76" s="98">
        <f t="shared" si="1"/>
        <v>300072</v>
      </c>
      <c r="C76" s="98">
        <f>26200000+高难主线关卡!$A$19*100+高难主线关卡!$B$19</f>
        <v>26200402</v>
      </c>
      <c r="D76" s="99" t="str">
        <f>"高难主线"&amp;高难主线关卡!$A$19&amp;"-"&amp;高难主线关卡!$B$19&amp;"常规宝石L4奖励"</f>
        <v>高难主线4-2常规宝石L4奖励</v>
      </c>
      <c r="E76" s="99" t="str">
        <f>"高难主线"&amp;高难主线关卡!$A$19&amp;"-"&amp;高难主线关卡!$B$19&amp;"常规宝石奖励"</f>
        <v>高难主线4-2常规宝石奖励</v>
      </c>
      <c r="F76" s="98">
        <v>0</v>
      </c>
      <c r="G76" s="98" t="s">
        <v>2560</v>
      </c>
      <c r="H76" s="98">
        <f>高难主线关卡!$J$19</f>
        <v>4</v>
      </c>
      <c r="I76" s="98">
        <f>高难主线关卡!$J$19</f>
        <v>4</v>
      </c>
      <c r="J76" s="98" t="s">
        <v>265</v>
      </c>
      <c r="K76" s="98">
        <f>高难主线关卡!$S$19</f>
        <v>81504</v>
      </c>
      <c r="L76" s="98">
        <v>1</v>
      </c>
      <c r="M76" s="98">
        <v>1</v>
      </c>
      <c r="N76" s="98">
        <f>ROUND(高难主线关卡!$N$19*10000,0)</f>
        <v>0</v>
      </c>
      <c r="O76" s="98">
        <f>高难主线关卡!$S$19</f>
        <v>81504</v>
      </c>
      <c r="P76" s="98" t="b">
        <f>高难主线关卡!$N$19&gt;0</f>
        <v>0</v>
      </c>
      <c r="Q76" s="98" t="s">
        <v>265</v>
      </c>
      <c r="S76" s="92"/>
      <c r="T76" s="92"/>
      <c r="U76" s="92"/>
      <c r="V76" s="92"/>
      <c r="W76" s="92"/>
      <c r="X76" s="92"/>
      <c r="Y76" s="92"/>
      <c r="Z76" s="92"/>
      <c r="AA76" s="92"/>
    </row>
    <row r="77" ht="16.5" customHeight="1" spans="1:27">
      <c r="A77" s="98" t="s">
        <v>265</v>
      </c>
      <c r="B77" s="98">
        <f t="shared" si="1"/>
        <v>300073</v>
      </c>
      <c r="C77" s="98">
        <f>26000000+高难主线关卡!$A$20*100+高难主线关卡!$B$20</f>
        <v>26000403</v>
      </c>
      <c r="D77" s="99" t="str">
        <f>"高难主线"&amp;高难主线关卡!$A$20&amp;"-"&amp;高难主线关卡!$B$20&amp;"首通钻石奖励"</f>
        <v>高难主线4-3首通钻石奖励</v>
      </c>
      <c r="E77" s="99" t="str">
        <f>"高难主线"&amp;高难主线关卡!$A$20&amp;"-"&amp;高难主线关卡!$B$20&amp;"首通钻石奖励"</f>
        <v>高难主线4-3首通钻石奖励</v>
      </c>
      <c r="F77" s="98">
        <v>0</v>
      </c>
      <c r="G77" s="98" t="s">
        <v>2559</v>
      </c>
      <c r="H77" s="98">
        <v>1</v>
      </c>
      <c r="I77" s="98">
        <v>1</v>
      </c>
      <c r="J77" s="98" t="s">
        <v>265</v>
      </c>
      <c r="K77" s="98">
        <v>2</v>
      </c>
      <c r="L77" s="98">
        <f>高难主线关卡!$AC$20</f>
        <v>50</v>
      </c>
      <c r="M77" s="98">
        <f>高难主线关卡!$AC$20</f>
        <v>50</v>
      </c>
      <c r="N77" s="98">
        <v>10000</v>
      </c>
      <c r="O77" s="98">
        <v>2</v>
      </c>
      <c r="P77" s="98" t="b">
        <f>高难主线关卡!$AC$20&gt;0</f>
        <v>1</v>
      </c>
      <c r="Q77" s="98" t="s">
        <v>265</v>
      </c>
      <c r="S77" s="92"/>
      <c r="T77" s="92"/>
      <c r="U77" s="92"/>
      <c r="V77" s="92"/>
      <c r="W77" s="92"/>
      <c r="X77" s="92"/>
      <c r="Y77" s="92"/>
      <c r="Z77" s="92"/>
      <c r="AA77" s="92"/>
    </row>
    <row r="78" ht="16.5" customHeight="1" spans="1:27">
      <c r="A78" s="98" t="s">
        <v>265</v>
      </c>
      <c r="B78" s="98">
        <f t="shared" si="1"/>
        <v>300074</v>
      </c>
      <c r="C78" s="98">
        <f>26100000+高难主线关卡!$A$20*100+高难主线关卡!$B$20</f>
        <v>26100403</v>
      </c>
      <c r="D78" s="99" t="str">
        <f>"高难主线"&amp;高难主线关卡!$A$20&amp;"-"&amp;高难主线关卡!$B$20&amp;"首通宝石奖励"</f>
        <v>高难主线4-3首通宝石奖励</v>
      </c>
      <c r="E78" s="99" t="str">
        <f>"高难主线"&amp;高难主线关卡!$A$20&amp;"-"&amp;高难主线关卡!$B$20&amp;"首通宝石奖励"</f>
        <v>高难主线4-3首通宝石奖励</v>
      </c>
      <c r="F78" s="98">
        <v>0</v>
      </c>
      <c r="G78" s="98" t="s">
        <v>2559</v>
      </c>
      <c r="H78" s="98">
        <v>1</v>
      </c>
      <c r="I78" s="98">
        <v>1</v>
      </c>
      <c r="J78" s="98" t="s">
        <v>265</v>
      </c>
      <c r="K78" s="98">
        <f ca="1">INDEX(高难主线关卡!$P$20:高难主线关卡!$S$20,1,高难主线关卡!$T$20)</f>
        <v>81603</v>
      </c>
      <c r="L78" s="98">
        <f>高难主线关卡!$U$20</f>
        <v>2</v>
      </c>
      <c r="M78" s="98">
        <f>高难主线关卡!$U$20</f>
        <v>2</v>
      </c>
      <c r="N78" s="98">
        <v>10000</v>
      </c>
      <c r="O78" s="98">
        <f ca="1">INDEX(高难主线关卡!$P$20:高难主线关卡!$S$20,1,高难主线关卡!$T$20)</f>
        <v>81603</v>
      </c>
      <c r="P78" s="98" t="b">
        <f>高难主线关卡!$U$20&gt;0</f>
        <v>1</v>
      </c>
      <c r="Q78" s="98" t="s">
        <v>265</v>
      </c>
      <c r="S78" s="92"/>
      <c r="T78" s="92"/>
      <c r="U78" s="92"/>
      <c r="V78" s="92"/>
      <c r="W78" s="92"/>
      <c r="X78" s="92"/>
      <c r="Y78" s="92"/>
      <c r="Z78" s="92"/>
      <c r="AA78" s="92"/>
    </row>
    <row r="79" ht="16.5" customHeight="1" spans="1:27">
      <c r="A79" s="98" t="s">
        <v>265</v>
      </c>
      <c r="B79" s="98">
        <f t="shared" si="1"/>
        <v>300075</v>
      </c>
      <c r="C79" s="98">
        <f>26200000+高难主线关卡!$A$20*100+高难主线关卡!$B$20</f>
        <v>26200403</v>
      </c>
      <c r="D79" s="99" t="str">
        <f>"高难主线"&amp;高难主线关卡!$A$20&amp;"-"&amp;高难主线关卡!$B$20&amp;"常规宝石L1奖励"</f>
        <v>高难主线4-3常规宝石L1奖励</v>
      </c>
      <c r="E79" s="99" t="str">
        <f>"高难主线"&amp;高难主线关卡!$A$20&amp;"-"&amp;高难主线关卡!$B$20&amp;"常规宝石奖励"</f>
        <v>高难主线4-3常规宝石奖励</v>
      </c>
      <c r="F79" s="98">
        <v>0</v>
      </c>
      <c r="G79" s="98" t="s">
        <v>2560</v>
      </c>
      <c r="H79" s="98">
        <f>高难主线关卡!$J$20</f>
        <v>4</v>
      </c>
      <c r="I79" s="98">
        <f>高难主线关卡!$J$20</f>
        <v>4</v>
      </c>
      <c r="J79" s="98" t="s">
        <v>265</v>
      </c>
      <c r="K79" s="98">
        <f>高难主线关卡!$P$20</f>
        <v>81601</v>
      </c>
      <c r="L79" s="98">
        <v>1</v>
      </c>
      <c r="M79" s="98">
        <v>1</v>
      </c>
      <c r="N79" s="98">
        <f>ROUND(高难主线关卡!$K$20*10000,0)</f>
        <v>3000</v>
      </c>
      <c r="O79" s="98">
        <f>高难主线关卡!$P$20</f>
        <v>81601</v>
      </c>
      <c r="P79" s="98" t="b">
        <f>高难主线关卡!$K$20&gt;0</f>
        <v>1</v>
      </c>
      <c r="Q79" s="98" t="s">
        <v>265</v>
      </c>
      <c r="S79" s="92"/>
      <c r="T79" s="92"/>
      <c r="U79" s="92"/>
      <c r="V79" s="92"/>
      <c r="W79" s="92"/>
      <c r="X79" s="92"/>
      <c r="Y79" s="92"/>
      <c r="Z79" s="92"/>
      <c r="AA79" s="92"/>
    </row>
    <row r="80" ht="16.5" customHeight="1" spans="1:27">
      <c r="A80" s="98" t="s">
        <v>265</v>
      </c>
      <c r="B80" s="98">
        <f t="shared" si="1"/>
        <v>300076</v>
      </c>
      <c r="C80" s="98">
        <f>26200000+高难主线关卡!$A$20*100+高难主线关卡!$B$20</f>
        <v>26200403</v>
      </c>
      <c r="D80" s="99" t="str">
        <f>"高难主线"&amp;高难主线关卡!$A$20&amp;"-"&amp;高难主线关卡!$B$20&amp;"常规宝石L2奖励"</f>
        <v>高难主线4-3常规宝石L2奖励</v>
      </c>
      <c r="E80" s="99" t="str">
        <f>"高难主线"&amp;高难主线关卡!$A$20&amp;"-"&amp;高难主线关卡!$B$20&amp;"常规宝石奖励"</f>
        <v>高难主线4-3常规宝石奖励</v>
      </c>
      <c r="F80" s="98">
        <v>0</v>
      </c>
      <c r="G80" s="98" t="s">
        <v>2560</v>
      </c>
      <c r="H80" s="98">
        <f>高难主线关卡!$J$20</f>
        <v>4</v>
      </c>
      <c r="I80" s="98">
        <f>高难主线关卡!$J$20</f>
        <v>4</v>
      </c>
      <c r="J80" s="98" t="s">
        <v>265</v>
      </c>
      <c r="K80" s="98">
        <f>高难主线关卡!$Q$20</f>
        <v>81602</v>
      </c>
      <c r="L80" s="98">
        <v>1</v>
      </c>
      <c r="M80" s="98">
        <v>1</v>
      </c>
      <c r="N80" s="98">
        <f>ROUND(高难主线关卡!$L$20*10000,0)</f>
        <v>7000</v>
      </c>
      <c r="O80" s="98">
        <f>高难主线关卡!$Q$20</f>
        <v>81602</v>
      </c>
      <c r="P80" s="98" t="b">
        <f>高难主线关卡!$L$20&gt;0</f>
        <v>1</v>
      </c>
      <c r="Q80" s="98" t="s">
        <v>265</v>
      </c>
      <c r="S80" s="92"/>
      <c r="T80" s="92"/>
      <c r="U80" s="92"/>
      <c r="V80" s="92"/>
      <c r="W80" s="92"/>
      <c r="X80" s="92"/>
      <c r="Y80" s="92"/>
      <c r="Z80" s="92"/>
      <c r="AA80" s="92"/>
    </row>
    <row r="81" ht="16.5" customHeight="1" spans="1:27">
      <c r="A81" s="98" t="s">
        <v>265</v>
      </c>
      <c r="B81" s="98">
        <f t="shared" si="1"/>
        <v>300077</v>
      </c>
      <c r="C81" s="98">
        <f>26200000+高难主线关卡!$A$20*100+高难主线关卡!$B$20</f>
        <v>26200403</v>
      </c>
      <c r="D81" s="99" t="str">
        <f>"高难主线"&amp;高难主线关卡!$A$20&amp;"-"&amp;高难主线关卡!$B$20&amp;"常规宝石L3奖励"</f>
        <v>高难主线4-3常规宝石L3奖励</v>
      </c>
      <c r="E81" s="99" t="str">
        <f>"高难主线"&amp;高难主线关卡!$A$20&amp;"-"&amp;高难主线关卡!$B$20&amp;"常规宝石奖励"</f>
        <v>高难主线4-3常规宝石奖励</v>
      </c>
      <c r="F81" s="98">
        <v>0</v>
      </c>
      <c r="G81" s="98" t="s">
        <v>2560</v>
      </c>
      <c r="H81" s="98">
        <f>高难主线关卡!$J$20</f>
        <v>4</v>
      </c>
      <c r="I81" s="98">
        <f>高难主线关卡!$J$20</f>
        <v>4</v>
      </c>
      <c r="J81" s="98" t="s">
        <v>265</v>
      </c>
      <c r="K81" s="98">
        <f>高难主线关卡!$R$20</f>
        <v>81603</v>
      </c>
      <c r="L81" s="98">
        <v>1</v>
      </c>
      <c r="M81" s="98">
        <v>1</v>
      </c>
      <c r="N81" s="98">
        <f>ROUND(高难主线关卡!$M$20*10000,0)</f>
        <v>0</v>
      </c>
      <c r="O81" s="98">
        <f>高难主线关卡!$R$20</f>
        <v>81603</v>
      </c>
      <c r="P81" s="98" t="b">
        <f>高难主线关卡!$M$20&gt;0</f>
        <v>0</v>
      </c>
      <c r="Q81" s="98" t="s">
        <v>265</v>
      </c>
      <c r="S81" s="92"/>
      <c r="T81" s="92"/>
      <c r="U81" s="92"/>
      <c r="V81" s="92"/>
      <c r="W81" s="92"/>
      <c r="X81" s="92"/>
      <c r="Y81" s="92"/>
      <c r="Z81" s="92"/>
      <c r="AA81" s="92"/>
    </row>
    <row r="82" ht="16.5" customHeight="1" spans="1:27">
      <c r="A82" s="98" t="s">
        <v>265</v>
      </c>
      <c r="B82" s="98">
        <f t="shared" si="1"/>
        <v>300078</v>
      </c>
      <c r="C82" s="98">
        <f>26200000+高难主线关卡!$A$20*100+高难主线关卡!$B$20</f>
        <v>26200403</v>
      </c>
      <c r="D82" s="99" t="str">
        <f>"高难主线"&amp;高难主线关卡!$A$20&amp;"-"&amp;高难主线关卡!$B$20&amp;"常规宝石L4奖励"</f>
        <v>高难主线4-3常规宝石L4奖励</v>
      </c>
      <c r="E82" s="99" t="str">
        <f>"高难主线"&amp;高难主线关卡!$A$20&amp;"-"&amp;高难主线关卡!$B$20&amp;"常规宝石奖励"</f>
        <v>高难主线4-3常规宝石奖励</v>
      </c>
      <c r="F82" s="98">
        <v>0</v>
      </c>
      <c r="G82" s="98" t="s">
        <v>2560</v>
      </c>
      <c r="H82" s="98">
        <f>高难主线关卡!$J$20</f>
        <v>4</v>
      </c>
      <c r="I82" s="98">
        <f>高难主线关卡!$J$20</f>
        <v>4</v>
      </c>
      <c r="J82" s="98" t="s">
        <v>265</v>
      </c>
      <c r="K82" s="98">
        <f>高难主线关卡!$S$20</f>
        <v>81604</v>
      </c>
      <c r="L82" s="98">
        <v>1</v>
      </c>
      <c r="M82" s="98">
        <v>1</v>
      </c>
      <c r="N82" s="98">
        <f>ROUND(高难主线关卡!$N$20*10000,0)</f>
        <v>0</v>
      </c>
      <c r="O82" s="98">
        <f>高难主线关卡!$S$20</f>
        <v>81604</v>
      </c>
      <c r="P82" s="98" t="b">
        <f>高难主线关卡!$N$20&gt;0</f>
        <v>0</v>
      </c>
      <c r="Q82" s="98" t="s">
        <v>265</v>
      </c>
      <c r="S82" s="92"/>
      <c r="T82" s="92"/>
      <c r="U82" s="92"/>
      <c r="V82" s="92"/>
      <c r="W82" s="92"/>
      <c r="X82" s="92"/>
      <c r="Y82" s="92"/>
      <c r="Z82" s="92"/>
      <c r="AA82" s="92"/>
    </row>
    <row r="83" ht="16.5" customHeight="1" spans="1:27">
      <c r="A83" s="98" t="s">
        <v>265</v>
      </c>
      <c r="B83" s="98">
        <f t="shared" si="1"/>
        <v>300079</v>
      </c>
      <c r="C83" s="98">
        <f>26000000+高难主线关卡!$A$21*100+高难主线关卡!$B$21</f>
        <v>26000404</v>
      </c>
      <c r="D83" s="99" t="str">
        <f>"高难主线"&amp;高难主线关卡!$A$21&amp;"-"&amp;高难主线关卡!$B$21&amp;"首通钻石奖励"</f>
        <v>高难主线4-4首通钻石奖励</v>
      </c>
      <c r="E83" s="99" t="str">
        <f>"高难主线"&amp;高难主线关卡!$A$21&amp;"-"&amp;高难主线关卡!$B$21&amp;"首通钻石奖励"</f>
        <v>高难主线4-4首通钻石奖励</v>
      </c>
      <c r="F83" s="98">
        <v>0</v>
      </c>
      <c r="G83" s="98" t="s">
        <v>2559</v>
      </c>
      <c r="H83" s="98">
        <v>1</v>
      </c>
      <c r="I83" s="98">
        <v>1</v>
      </c>
      <c r="J83" s="98" t="s">
        <v>265</v>
      </c>
      <c r="K83" s="98">
        <v>2</v>
      </c>
      <c r="L83" s="98">
        <f>高难主线关卡!$AC$21</f>
        <v>50</v>
      </c>
      <c r="M83" s="98">
        <f>高难主线关卡!$AC$21</f>
        <v>50</v>
      </c>
      <c r="N83" s="98">
        <v>10000</v>
      </c>
      <c r="O83" s="98">
        <v>2</v>
      </c>
      <c r="P83" s="98" t="b">
        <f>高难主线关卡!$AC$21&gt;0</f>
        <v>1</v>
      </c>
      <c r="Q83" s="98" t="s">
        <v>265</v>
      </c>
      <c r="S83" s="92"/>
      <c r="T83" s="92"/>
      <c r="U83" s="92"/>
      <c r="V83" s="92"/>
      <c r="W83" s="92"/>
      <c r="X83" s="92"/>
      <c r="Y83" s="92"/>
      <c r="Z83" s="92"/>
      <c r="AA83" s="92"/>
    </row>
    <row r="84" ht="16.5" customHeight="1" spans="1:27">
      <c r="A84" s="98" t="s">
        <v>265</v>
      </c>
      <c r="B84" s="98">
        <f t="shared" si="1"/>
        <v>300080</v>
      </c>
      <c r="C84" s="98">
        <f>26100000+高难主线关卡!$A$21*100+高难主线关卡!$B$21</f>
        <v>26100404</v>
      </c>
      <c r="D84" s="99" t="str">
        <f>"高难主线"&amp;高难主线关卡!$A$21&amp;"-"&amp;高难主线关卡!$B$21&amp;"首通宝石奖励"</f>
        <v>高难主线4-4首通宝石奖励</v>
      </c>
      <c r="E84" s="99" t="str">
        <f>"高难主线"&amp;高难主线关卡!$A$21&amp;"-"&amp;高难主线关卡!$B$21&amp;"首通宝石奖励"</f>
        <v>高难主线4-4首通宝石奖励</v>
      </c>
      <c r="F84" s="98">
        <v>0</v>
      </c>
      <c r="G84" s="98" t="s">
        <v>2559</v>
      </c>
      <c r="H84" s="98">
        <v>1</v>
      </c>
      <c r="I84" s="98">
        <v>1</v>
      </c>
      <c r="J84" s="98" t="s">
        <v>265</v>
      </c>
      <c r="K84" s="98">
        <f ca="1">INDEX(高难主线关卡!$P$21:高难主线关卡!$S$21,1,高难主线关卡!$T$21)</f>
        <v>81103</v>
      </c>
      <c r="L84" s="98">
        <f>高难主线关卡!$U$21</f>
        <v>3</v>
      </c>
      <c r="M84" s="98">
        <f>高难主线关卡!$U$21</f>
        <v>3</v>
      </c>
      <c r="N84" s="98">
        <v>10000</v>
      </c>
      <c r="O84" s="98">
        <f ca="1">INDEX(高难主线关卡!$P$21:高难主线关卡!$S$21,1,高难主线关卡!$T$21)</f>
        <v>81103</v>
      </c>
      <c r="P84" s="98" t="b">
        <f>高难主线关卡!$U$21&gt;0</f>
        <v>1</v>
      </c>
      <c r="Q84" s="98" t="s">
        <v>265</v>
      </c>
      <c r="S84" s="92"/>
      <c r="T84" s="92"/>
      <c r="U84" s="92"/>
      <c r="V84" s="92"/>
      <c r="W84" s="92"/>
      <c r="X84" s="92"/>
      <c r="Y84" s="92"/>
      <c r="Z84" s="92"/>
      <c r="AA84" s="92"/>
    </row>
    <row r="85" ht="16.5" customHeight="1" spans="1:27">
      <c r="A85" s="98" t="s">
        <v>265</v>
      </c>
      <c r="B85" s="98">
        <f t="shared" si="1"/>
        <v>300081</v>
      </c>
      <c r="C85" s="98">
        <f>26200000+高难主线关卡!$A$21*100+高难主线关卡!$B$21</f>
        <v>26200404</v>
      </c>
      <c r="D85" s="99" t="str">
        <f>"高难主线"&amp;高难主线关卡!$A$21&amp;"-"&amp;高难主线关卡!$B$21&amp;"常规宝石L1奖励"</f>
        <v>高难主线4-4常规宝石L1奖励</v>
      </c>
      <c r="E85" s="99" t="str">
        <f>"高难主线"&amp;高难主线关卡!$A$21&amp;"-"&amp;高难主线关卡!$B$21&amp;"常规宝石奖励"</f>
        <v>高难主线4-4常规宝石奖励</v>
      </c>
      <c r="F85" s="98">
        <v>0</v>
      </c>
      <c r="G85" s="98" t="s">
        <v>2560</v>
      </c>
      <c r="H85" s="98">
        <f>高难主线关卡!$J$21</f>
        <v>4</v>
      </c>
      <c r="I85" s="98">
        <f>高难主线关卡!$J$21</f>
        <v>4</v>
      </c>
      <c r="J85" s="98" t="s">
        <v>265</v>
      </c>
      <c r="K85" s="98">
        <f>高难主线关卡!$P$21</f>
        <v>81101</v>
      </c>
      <c r="L85" s="98">
        <v>1</v>
      </c>
      <c r="M85" s="98">
        <v>1</v>
      </c>
      <c r="N85" s="98">
        <f>ROUND(高难主线关卡!$K$21*10000,0)</f>
        <v>3000</v>
      </c>
      <c r="O85" s="98">
        <f>高难主线关卡!$P$21</f>
        <v>81101</v>
      </c>
      <c r="P85" s="98" t="b">
        <f>高难主线关卡!$K$21&gt;0</f>
        <v>1</v>
      </c>
      <c r="Q85" s="98" t="s">
        <v>265</v>
      </c>
      <c r="S85" s="92"/>
      <c r="T85" s="92"/>
      <c r="U85" s="92"/>
      <c r="V85" s="92"/>
      <c r="W85" s="92"/>
      <c r="X85" s="92"/>
      <c r="Y85" s="92"/>
      <c r="Z85" s="92"/>
      <c r="AA85" s="92"/>
    </row>
    <row r="86" ht="16.5" customHeight="1" spans="1:27">
      <c r="A86" s="98" t="s">
        <v>265</v>
      </c>
      <c r="B86" s="98">
        <f t="shared" si="1"/>
        <v>300082</v>
      </c>
      <c r="C86" s="98">
        <f>26200000+高难主线关卡!$A$21*100+高难主线关卡!$B$21</f>
        <v>26200404</v>
      </c>
      <c r="D86" s="99" t="str">
        <f>"高难主线"&amp;高难主线关卡!$A$21&amp;"-"&amp;高难主线关卡!$B$21&amp;"常规宝石L2奖励"</f>
        <v>高难主线4-4常规宝石L2奖励</v>
      </c>
      <c r="E86" s="99" t="str">
        <f>"高难主线"&amp;高难主线关卡!$A$21&amp;"-"&amp;高难主线关卡!$B$21&amp;"常规宝石奖励"</f>
        <v>高难主线4-4常规宝石奖励</v>
      </c>
      <c r="F86" s="98">
        <v>0</v>
      </c>
      <c r="G86" s="98" t="s">
        <v>2560</v>
      </c>
      <c r="H86" s="98">
        <f>高难主线关卡!$J$21</f>
        <v>4</v>
      </c>
      <c r="I86" s="98">
        <f>高难主线关卡!$J$21</f>
        <v>4</v>
      </c>
      <c r="J86" s="98" t="s">
        <v>265</v>
      </c>
      <c r="K86" s="98">
        <f>高难主线关卡!$Q$21</f>
        <v>81102</v>
      </c>
      <c r="L86" s="98">
        <v>1</v>
      </c>
      <c r="M86" s="98">
        <v>1</v>
      </c>
      <c r="N86" s="98">
        <f>ROUND(高难主线关卡!$L$21*10000,0)</f>
        <v>7000</v>
      </c>
      <c r="O86" s="98">
        <f>高难主线关卡!$Q$21</f>
        <v>81102</v>
      </c>
      <c r="P86" s="98" t="b">
        <f>高难主线关卡!$L$21&gt;0</f>
        <v>1</v>
      </c>
      <c r="Q86" s="98" t="s">
        <v>265</v>
      </c>
      <c r="S86" s="92"/>
      <c r="T86" s="92"/>
      <c r="U86" s="92"/>
      <c r="V86" s="92"/>
      <c r="W86" s="92"/>
      <c r="X86" s="92"/>
      <c r="Y86" s="92"/>
      <c r="Z86" s="92"/>
      <c r="AA86" s="92"/>
    </row>
    <row r="87" ht="16.5" customHeight="1" spans="1:27">
      <c r="A87" s="98" t="s">
        <v>265</v>
      </c>
      <c r="B87" s="98">
        <f t="shared" si="1"/>
        <v>300083</v>
      </c>
      <c r="C87" s="98">
        <f>26200000+高难主线关卡!$A$21*100+高难主线关卡!$B$21</f>
        <v>26200404</v>
      </c>
      <c r="D87" s="99" t="str">
        <f>"高难主线"&amp;高难主线关卡!$A$21&amp;"-"&amp;高难主线关卡!$B$21&amp;"常规宝石L3奖励"</f>
        <v>高难主线4-4常规宝石L3奖励</v>
      </c>
      <c r="E87" s="99" t="str">
        <f>"高难主线"&amp;高难主线关卡!$A$21&amp;"-"&amp;高难主线关卡!$B$21&amp;"常规宝石奖励"</f>
        <v>高难主线4-4常规宝石奖励</v>
      </c>
      <c r="F87" s="98">
        <v>0</v>
      </c>
      <c r="G87" s="98" t="s">
        <v>2560</v>
      </c>
      <c r="H87" s="98">
        <f>高难主线关卡!$J$21</f>
        <v>4</v>
      </c>
      <c r="I87" s="98">
        <f>高难主线关卡!$J$21</f>
        <v>4</v>
      </c>
      <c r="J87" s="98" t="s">
        <v>265</v>
      </c>
      <c r="K87" s="98">
        <f>高难主线关卡!$R$21</f>
        <v>81103</v>
      </c>
      <c r="L87" s="98">
        <v>1</v>
      </c>
      <c r="M87" s="98">
        <v>1</v>
      </c>
      <c r="N87" s="98">
        <f>ROUND(高难主线关卡!$M$21*10000,0)</f>
        <v>0</v>
      </c>
      <c r="O87" s="98">
        <f>高难主线关卡!$R$21</f>
        <v>81103</v>
      </c>
      <c r="P87" s="98" t="b">
        <f>高难主线关卡!$M$21&gt;0</f>
        <v>0</v>
      </c>
      <c r="Q87" s="98" t="s">
        <v>265</v>
      </c>
      <c r="S87" s="92"/>
      <c r="T87" s="92"/>
      <c r="U87" s="92"/>
      <c r="V87" s="92"/>
      <c r="W87" s="92"/>
      <c r="X87" s="92"/>
      <c r="Y87" s="92"/>
      <c r="Z87" s="92"/>
      <c r="AA87" s="92"/>
    </row>
    <row r="88" ht="16.5" customHeight="1" spans="1:27">
      <c r="A88" s="98" t="s">
        <v>265</v>
      </c>
      <c r="B88" s="98">
        <f t="shared" si="1"/>
        <v>300084</v>
      </c>
      <c r="C88" s="98">
        <f>26200000+高难主线关卡!$A$21*100+高难主线关卡!$B$21</f>
        <v>26200404</v>
      </c>
      <c r="D88" s="99" t="str">
        <f>"高难主线"&amp;高难主线关卡!$A$21&amp;"-"&amp;高难主线关卡!$B$21&amp;"常规宝石L4奖励"</f>
        <v>高难主线4-4常规宝石L4奖励</v>
      </c>
      <c r="E88" s="99" t="str">
        <f>"高难主线"&amp;高难主线关卡!$A$21&amp;"-"&amp;高难主线关卡!$B$21&amp;"常规宝石奖励"</f>
        <v>高难主线4-4常规宝石奖励</v>
      </c>
      <c r="F88" s="98">
        <v>0</v>
      </c>
      <c r="G88" s="98" t="s">
        <v>2560</v>
      </c>
      <c r="H88" s="98">
        <f>高难主线关卡!$J$21</f>
        <v>4</v>
      </c>
      <c r="I88" s="98">
        <f>高难主线关卡!$J$21</f>
        <v>4</v>
      </c>
      <c r="J88" s="98" t="s">
        <v>265</v>
      </c>
      <c r="K88" s="98">
        <f>高难主线关卡!$S$21</f>
        <v>81104</v>
      </c>
      <c r="L88" s="98">
        <v>1</v>
      </c>
      <c r="M88" s="98">
        <v>1</v>
      </c>
      <c r="N88" s="98">
        <f>ROUND(高难主线关卡!$N$21*10000,0)</f>
        <v>0</v>
      </c>
      <c r="O88" s="98">
        <f>高难主线关卡!$S$21</f>
        <v>81104</v>
      </c>
      <c r="P88" s="98" t="b">
        <f>高难主线关卡!$N$21&gt;0</f>
        <v>0</v>
      </c>
      <c r="Q88" s="98" t="s">
        <v>265</v>
      </c>
      <c r="S88" s="92"/>
      <c r="T88" s="92"/>
      <c r="U88" s="92"/>
      <c r="V88" s="92"/>
      <c r="W88" s="92"/>
      <c r="X88" s="92"/>
      <c r="Y88" s="92"/>
      <c r="Z88" s="92"/>
      <c r="AA88" s="92"/>
    </row>
    <row r="89" ht="16.5" customHeight="1" spans="1:27">
      <c r="A89" s="98" t="s">
        <v>265</v>
      </c>
      <c r="B89" s="98">
        <f t="shared" si="1"/>
        <v>300085</v>
      </c>
      <c r="C89" s="98">
        <f>26000000+高难主线关卡!$A$22*100+高难主线关卡!$B$22</f>
        <v>26000405</v>
      </c>
      <c r="D89" s="99" t="str">
        <f>"高难主线"&amp;高难主线关卡!$A$22&amp;"-"&amp;高难主线关卡!$B$22&amp;"首通钻石奖励"</f>
        <v>高难主线4-5首通钻石奖励</v>
      </c>
      <c r="E89" s="99" t="str">
        <f>"高难主线"&amp;高难主线关卡!$A$22&amp;"-"&amp;高难主线关卡!$B$22&amp;"首通钻石奖励"</f>
        <v>高难主线4-5首通钻石奖励</v>
      </c>
      <c r="F89" s="98">
        <v>0</v>
      </c>
      <c r="G89" s="98" t="s">
        <v>2559</v>
      </c>
      <c r="H89" s="98">
        <v>1</v>
      </c>
      <c r="I89" s="98">
        <v>1</v>
      </c>
      <c r="J89" s="98" t="s">
        <v>265</v>
      </c>
      <c r="K89" s="98">
        <v>2</v>
      </c>
      <c r="L89" s="98">
        <f>高难主线关卡!$AC$22</f>
        <v>50</v>
      </c>
      <c r="M89" s="98">
        <f>高难主线关卡!$AC$22</f>
        <v>50</v>
      </c>
      <c r="N89" s="98">
        <v>10000</v>
      </c>
      <c r="O89" s="98">
        <v>2</v>
      </c>
      <c r="P89" s="98" t="b">
        <f>高难主线关卡!$AC$22&gt;0</f>
        <v>1</v>
      </c>
      <c r="Q89" s="98" t="s">
        <v>265</v>
      </c>
      <c r="S89" s="92"/>
      <c r="T89" s="92"/>
      <c r="U89" s="92"/>
      <c r="V89" s="92"/>
      <c r="W89" s="92"/>
      <c r="X89" s="92"/>
      <c r="Y89" s="92"/>
      <c r="Z89" s="92"/>
      <c r="AA89" s="92"/>
    </row>
    <row r="90" ht="16.5" customHeight="1" spans="1:27">
      <c r="A90" s="98" t="s">
        <v>265</v>
      </c>
      <c r="B90" s="98">
        <f t="shared" si="1"/>
        <v>300086</v>
      </c>
      <c r="C90" s="98">
        <f>26100000+高难主线关卡!$A$22*100+高难主线关卡!$B$22</f>
        <v>26100405</v>
      </c>
      <c r="D90" s="99" t="str">
        <f>"高难主线"&amp;高难主线关卡!$A$22&amp;"-"&amp;高难主线关卡!$B$22&amp;"首通宝石奖励"</f>
        <v>高难主线4-5首通宝石奖励</v>
      </c>
      <c r="E90" s="99" t="str">
        <f>"高难主线"&amp;高难主线关卡!$A$22&amp;"-"&amp;高难主线关卡!$B$22&amp;"首通宝石奖励"</f>
        <v>高难主线4-5首通宝石奖励</v>
      </c>
      <c r="F90" s="98">
        <v>0</v>
      </c>
      <c r="G90" s="98" t="s">
        <v>2559</v>
      </c>
      <c r="H90" s="98">
        <v>1</v>
      </c>
      <c r="I90" s="98">
        <v>1</v>
      </c>
      <c r="J90" s="98" t="s">
        <v>265</v>
      </c>
      <c r="K90" s="98">
        <f ca="1">INDEX(高难主线关卡!$P$22:高难主线关卡!$S$22,1,高难主线关卡!$T$22)</f>
        <v>81802</v>
      </c>
      <c r="L90" s="98">
        <f>高难主线关卡!$U$22</f>
        <v>2</v>
      </c>
      <c r="M90" s="98">
        <f>高难主线关卡!$U$22</f>
        <v>2</v>
      </c>
      <c r="N90" s="98">
        <v>10000</v>
      </c>
      <c r="O90" s="98">
        <f ca="1">INDEX(高难主线关卡!$P$22:高难主线关卡!$S$22,1,高难主线关卡!$T$22)</f>
        <v>81802</v>
      </c>
      <c r="P90" s="98" t="b">
        <f>高难主线关卡!$U$22&gt;0</f>
        <v>1</v>
      </c>
      <c r="Q90" s="98" t="s">
        <v>265</v>
      </c>
      <c r="S90" s="92"/>
      <c r="T90" s="92"/>
      <c r="U90" s="92"/>
      <c r="V90" s="92"/>
      <c r="W90" s="92"/>
      <c r="X90" s="92"/>
      <c r="Y90" s="92"/>
      <c r="Z90" s="92"/>
      <c r="AA90" s="92"/>
    </row>
    <row r="91" ht="16.5" customHeight="1" spans="1:27">
      <c r="A91" s="98" t="s">
        <v>265</v>
      </c>
      <c r="B91" s="98">
        <f t="shared" si="1"/>
        <v>300087</v>
      </c>
      <c r="C91" s="98">
        <f>26200000+高难主线关卡!$A$22*100+高难主线关卡!$B$22</f>
        <v>26200405</v>
      </c>
      <c r="D91" s="99" t="str">
        <f>"高难主线"&amp;高难主线关卡!$A$22&amp;"-"&amp;高难主线关卡!$B$22&amp;"常规宝石L1奖励"</f>
        <v>高难主线4-5常规宝石L1奖励</v>
      </c>
      <c r="E91" s="99" t="str">
        <f>"高难主线"&amp;高难主线关卡!$A$22&amp;"-"&amp;高难主线关卡!$B$22&amp;"常规宝石奖励"</f>
        <v>高难主线4-5常规宝石奖励</v>
      </c>
      <c r="F91" s="98">
        <v>0</v>
      </c>
      <c r="G91" s="98" t="s">
        <v>2560</v>
      </c>
      <c r="H91" s="98">
        <f>高难主线关卡!$J$22</f>
        <v>4</v>
      </c>
      <c r="I91" s="98">
        <f>高难主线关卡!$J$22</f>
        <v>4</v>
      </c>
      <c r="J91" s="98" t="s">
        <v>265</v>
      </c>
      <c r="K91" s="98">
        <f>高难主线关卡!$P$22</f>
        <v>81801</v>
      </c>
      <c r="L91" s="98">
        <v>1</v>
      </c>
      <c r="M91" s="98">
        <v>1</v>
      </c>
      <c r="N91" s="98">
        <f>ROUND(高难主线关卡!$K$22*10000,0)</f>
        <v>6500</v>
      </c>
      <c r="O91" s="98">
        <f>高难主线关卡!$P$22</f>
        <v>81801</v>
      </c>
      <c r="P91" s="98" t="b">
        <f>高难主线关卡!$K$22&gt;0</f>
        <v>1</v>
      </c>
      <c r="Q91" s="98" t="s">
        <v>265</v>
      </c>
      <c r="S91" s="92"/>
      <c r="T91" s="92"/>
      <c r="U91" s="92"/>
      <c r="V91" s="92"/>
      <c r="W91" s="92"/>
      <c r="X91" s="92"/>
      <c r="Y91" s="92"/>
      <c r="Z91" s="92"/>
      <c r="AA91" s="92"/>
    </row>
    <row r="92" ht="16.5" customHeight="1" spans="1:27">
      <c r="A92" s="98" t="s">
        <v>265</v>
      </c>
      <c r="B92" s="98">
        <f t="shared" si="1"/>
        <v>300088</v>
      </c>
      <c r="C92" s="98">
        <f>26200000+高难主线关卡!$A$22*100+高难主线关卡!$B$22</f>
        <v>26200405</v>
      </c>
      <c r="D92" s="99" t="str">
        <f>"高难主线"&amp;高难主线关卡!$A$22&amp;"-"&amp;高难主线关卡!$B$22&amp;"常规宝石L2奖励"</f>
        <v>高难主线4-5常规宝石L2奖励</v>
      </c>
      <c r="E92" s="99" t="str">
        <f>"高难主线"&amp;高难主线关卡!$A$22&amp;"-"&amp;高难主线关卡!$B$22&amp;"常规宝石奖励"</f>
        <v>高难主线4-5常规宝石奖励</v>
      </c>
      <c r="F92" s="98">
        <v>0</v>
      </c>
      <c r="G92" s="98" t="s">
        <v>2560</v>
      </c>
      <c r="H92" s="98">
        <f>高难主线关卡!$J$22</f>
        <v>4</v>
      </c>
      <c r="I92" s="98">
        <f>高难主线关卡!$J$22</f>
        <v>4</v>
      </c>
      <c r="J92" s="98" t="s">
        <v>265</v>
      </c>
      <c r="K92" s="98">
        <f>高难主线关卡!$Q$22</f>
        <v>81802</v>
      </c>
      <c r="L92" s="98">
        <v>1</v>
      </c>
      <c r="M92" s="98">
        <v>1</v>
      </c>
      <c r="N92" s="98">
        <f>ROUND(高难主线关卡!$L$22*10000,0)</f>
        <v>3500</v>
      </c>
      <c r="O92" s="98">
        <f>高难主线关卡!$Q$22</f>
        <v>81802</v>
      </c>
      <c r="P92" s="98" t="b">
        <f>高难主线关卡!$L$22&gt;0</f>
        <v>1</v>
      </c>
      <c r="Q92" s="98" t="s">
        <v>265</v>
      </c>
      <c r="S92" s="92"/>
      <c r="T92" s="92"/>
      <c r="U92" s="92"/>
      <c r="V92" s="92"/>
      <c r="W92" s="92"/>
      <c r="X92" s="92"/>
      <c r="Y92" s="92"/>
      <c r="Z92" s="92"/>
      <c r="AA92" s="92"/>
    </row>
    <row r="93" ht="16.5" customHeight="1" spans="1:27">
      <c r="A93" s="98" t="s">
        <v>265</v>
      </c>
      <c r="B93" s="98">
        <f t="shared" si="1"/>
        <v>300089</v>
      </c>
      <c r="C93" s="98">
        <f>26200000+高难主线关卡!$A$22*100+高难主线关卡!$B$22</f>
        <v>26200405</v>
      </c>
      <c r="D93" s="99" t="str">
        <f>"高难主线"&amp;高难主线关卡!$A$22&amp;"-"&amp;高难主线关卡!$B$22&amp;"常规宝石L3奖励"</f>
        <v>高难主线4-5常规宝石L3奖励</v>
      </c>
      <c r="E93" s="99" t="str">
        <f>"高难主线"&amp;高难主线关卡!$A$22&amp;"-"&amp;高难主线关卡!$B$22&amp;"常规宝石奖励"</f>
        <v>高难主线4-5常规宝石奖励</v>
      </c>
      <c r="F93" s="98">
        <v>0</v>
      </c>
      <c r="G93" s="98" t="s">
        <v>2560</v>
      </c>
      <c r="H93" s="98">
        <f>高难主线关卡!$J$22</f>
        <v>4</v>
      </c>
      <c r="I93" s="98">
        <f>高难主线关卡!$J$22</f>
        <v>4</v>
      </c>
      <c r="J93" s="98" t="s">
        <v>265</v>
      </c>
      <c r="K93" s="98">
        <f>高难主线关卡!$R$22</f>
        <v>81803</v>
      </c>
      <c r="L93" s="98">
        <v>1</v>
      </c>
      <c r="M93" s="98">
        <v>1</v>
      </c>
      <c r="N93" s="98">
        <f>ROUND(高难主线关卡!$M$22*10000,0)</f>
        <v>0</v>
      </c>
      <c r="O93" s="98">
        <f>高难主线关卡!$R$22</f>
        <v>81803</v>
      </c>
      <c r="P93" s="98" t="b">
        <f>高难主线关卡!$M$22&gt;0</f>
        <v>0</v>
      </c>
      <c r="Q93" s="98" t="s">
        <v>265</v>
      </c>
      <c r="S93" s="92"/>
      <c r="T93" s="92"/>
      <c r="U93" s="92"/>
      <c r="V93" s="92"/>
      <c r="W93" s="92"/>
      <c r="X93" s="92"/>
      <c r="Y93" s="92"/>
      <c r="Z93" s="92"/>
      <c r="AA93" s="92"/>
    </row>
    <row r="94" ht="16.5" customHeight="1" spans="1:27">
      <c r="A94" s="98" t="s">
        <v>265</v>
      </c>
      <c r="B94" s="98">
        <f t="shared" si="1"/>
        <v>300090</v>
      </c>
      <c r="C94" s="98">
        <f>26200000+高难主线关卡!$A$22*100+高难主线关卡!$B$22</f>
        <v>26200405</v>
      </c>
      <c r="D94" s="99" t="str">
        <f>"高难主线"&amp;高难主线关卡!$A$22&amp;"-"&amp;高难主线关卡!$B$22&amp;"常规宝石L4奖励"</f>
        <v>高难主线4-5常规宝石L4奖励</v>
      </c>
      <c r="E94" s="99" t="str">
        <f>"高难主线"&amp;高难主线关卡!$A$22&amp;"-"&amp;高难主线关卡!$B$22&amp;"常规宝石奖励"</f>
        <v>高难主线4-5常规宝石奖励</v>
      </c>
      <c r="F94" s="98">
        <v>0</v>
      </c>
      <c r="G94" s="98" t="s">
        <v>2560</v>
      </c>
      <c r="H94" s="98">
        <f>高难主线关卡!$J$22</f>
        <v>4</v>
      </c>
      <c r="I94" s="98">
        <f>高难主线关卡!$J$22</f>
        <v>4</v>
      </c>
      <c r="J94" s="98" t="s">
        <v>265</v>
      </c>
      <c r="K94" s="98">
        <f>高难主线关卡!$S$22</f>
        <v>81804</v>
      </c>
      <c r="L94" s="98">
        <v>1</v>
      </c>
      <c r="M94" s="98">
        <v>1</v>
      </c>
      <c r="N94" s="98">
        <f>ROUND(高难主线关卡!$N$22*10000,0)</f>
        <v>0</v>
      </c>
      <c r="O94" s="98">
        <f>高难主线关卡!$S$22</f>
        <v>81804</v>
      </c>
      <c r="P94" s="98" t="b">
        <f>高难主线关卡!$N$22&gt;0</f>
        <v>0</v>
      </c>
      <c r="Q94" s="98" t="s">
        <v>265</v>
      </c>
      <c r="S94" s="92"/>
      <c r="T94" s="92"/>
      <c r="U94" s="92"/>
      <c r="V94" s="92"/>
      <c r="W94" s="92"/>
      <c r="X94" s="92"/>
      <c r="Y94" s="92"/>
      <c r="Z94" s="92"/>
      <c r="AA94" s="92"/>
    </row>
  </sheetData>
  <autoFilter xmlns:etc="http://www.wps.cn/officeDocument/2017/etCustomData" ref="A4:Q94" etc:filterBottomFollowUsedRange="0">
    <extLst/>
  </autoFilter>
  <mergeCells count="2">
    <mergeCell ref="S1:AA1"/>
    <mergeCell ref="T19:AA19"/>
  </mergeCell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Q55"/>
  <sheetViews>
    <sheetView topLeftCell="C1" workbookViewId="0">
      <selection activeCell="H9" sqref="H9"/>
    </sheetView>
  </sheetViews>
  <sheetFormatPr defaultColWidth="9" defaultRowHeight="16.5"/>
  <cols>
    <col min="1" max="1" width="10" style="3" customWidth="1"/>
    <col min="2" max="2" width="16" style="14" customWidth="1"/>
    <col min="3" max="3" width="11.5" style="3" customWidth="1"/>
    <col min="4" max="4" width="18" style="3" customWidth="1"/>
    <col min="5" max="5" width="10" style="14" customWidth="1"/>
    <col min="6" max="6" width="10" style="3" customWidth="1"/>
    <col min="7" max="7" width="20" style="3" customWidth="1"/>
    <col min="8" max="8" width="10" style="14" customWidth="1"/>
    <col min="9" max="9" width="13.75" style="3" customWidth="1"/>
    <col min="10" max="10" width="20" style="3" customWidth="1"/>
    <col min="11" max="11" width="13.75" style="14" customWidth="1"/>
    <col min="12" max="12" width="10" style="14" customWidth="1"/>
    <col min="13" max="13" width="20" style="14" customWidth="1"/>
    <col min="14" max="14" width="10" style="14" customWidth="1"/>
    <col min="15" max="15" width="10" style="3" customWidth="1"/>
    <col min="16" max="16" width="18" style="14" customWidth="1"/>
    <col min="17" max="17" width="52" style="14" customWidth="1"/>
    <col min="18" max="16384" width="10" style="3" customWidth="1"/>
  </cols>
  <sheetData>
    <row r="1" ht="19.5" customHeight="1" spans="1:17">
      <c r="A1" s="80" t="s">
        <v>2562</v>
      </c>
    </row>
    <row r="2" spans="1:17">
      <c r="A2" s="81" t="s">
        <v>2563</v>
      </c>
    </row>
    <row r="3" spans="1:17">
      <c r="A3" s="82" t="s">
        <v>2564</v>
      </c>
      <c r="B3" s="82" t="s">
        <v>2565</v>
      </c>
      <c r="C3" s="82" t="s">
        <v>2566</v>
      </c>
      <c r="D3" s="82" t="s">
        <v>2567</v>
      </c>
      <c r="E3" s="82" t="s">
        <v>2568</v>
      </c>
      <c r="F3" s="82" t="s">
        <v>10</v>
      </c>
      <c r="G3" s="82" t="s">
        <v>665</v>
      </c>
      <c r="H3" s="82" t="s">
        <v>701</v>
      </c>
      <c r="I3" s="82" t="s">
        <v>2569</v>
      </c>
      <c r="J3" s="82" t="s">
        <v>2570</v>
      </c>
      <c r="K3" s="82" t="s">
        <v>2571</v>
      </c>
      <c r="L3" s="83"/>
      <c r="M3" s="83"/>
      <c r="N3" s="83"/>
      <c r="O3" s="83"/>
      <c r="P3" s="83"/>
      <c r="Q3" s="84"/>
    </row>
    <row r="4" spans="1:17">
      <c r="A4" s="85">
        <f>SUMIF($D$6:$D$55,"钻石",$E$6:$E$55)+SUMIF($G$6:$G$55,"钻石",$H$6:$H$55)+SUMIF($J$6:$J$55,"钻石",$K$6:$K$55)+SUMIF($M$6:$M$55,"钻石",$N$6:$N$55)</f>
        <v>4750</v>
      </c>
      <c r="B4" s="85">
        <f>SUMIF($D$6:$D$55,"角色抽卡券普通",$E$6:$E$55)+SUMIF($G$6:$G$55,"角色抽卡券普通",$H$6:$H$55)+SUMIF($J$6:$J$55,"角色抽卡券普通",$K$6:$K$55)+SUMIF($M$6:$M$55,"角色抽卡券普通",$N$6:$N$55)</f>
        <v>25</v>
      </c>
      <c r="C4" s="85">
        <f>SUMIF($D$6:$D$55,"专武抽卡券普通",$E$6:$E$55)+SUMIF($G$6:$G$55,"专武抽卡券普通",$H$6:$H$55)+SUMIF($J$6:$J$55,"专武抽卡券普通",$K$6:$K$55)+SUMIF($M$6:$M$55,"专武抽卡券普通",$N$6:$N$55)</f>
        <v>25</v>
      </c>
      <c r="D4" s="85">
        <f>SUMIF($D$6:$D$55,"角色抽卡券限时",$E$6:$E$55)+SUMIF($G$6:$G$55,"角色抽卡券限时",$H$6:$H$55)+SUMIF($J$6:$J$55,"角色抽卡券限时",$K$6:$K$55)+SUMIF($M$6:$M$55,"角色抽卡券限时",$N$6:$N$55)</f>
        <v>0</v>
      </c>
      <c r="E4" s="85">
        <f>SUMIF($D$6:$D$55,"专武抽卡券限时",$E$6:$E$55)+SUMIF($G$6:$G$55,"专武抽卡券限时",$H$6:$H$55)+SUMIF($J$6:$J$55,"专武抽卡券限时",$K$6:$K$55)+SUMIF($M$6:$M$55,"专武抽卡券限时",$N$6:$N$55)</f>
        <v>0</v>
      </c>
      <c r="F4" s="85">
        <f>SUM(B4:E4)</f>
        <v>50</v>
      </c>
      <c r="G4" s="85">
        <f>SUMIF($D$6:$D$55,"额外星盘点",$E$6:$E$55)+SUMIF($G$6:$G$55,"额外星盘点",$H$6:$H$55)+SUMIF($J$6:$J$55,"额外星盘点",$K$6:$K$55)+SUMIF($M$6:$M$55,"额外星盘点",$N$6:$N$55)</f>
        <v>5</v>
      </c>
      <c r="H4" s="85">
        <f>SUMIF($D$6:$D$55,"红旅券",$E$6:$E$55)+SUMIF($G$6:$G$55,"红旅券",$H$6:$H$55)+SUMIF($J$6:$J$55,"红旅券",$K$6:$K$55)+SUMIF($M$6:$M$55,"红旅券",$N$6:$N$55)</f>
        <v>30</v>
      </c>
      <c r="I4" s="85">
        <f>SUMIF($D$6:$D$55,"暗物质时空炮",$E$6:$E$55)+SUMIF($D$6:$D$55,"液态聚合盔甲",$E$6:$E$55)+SUMIF($D$6:$D$55,"神经蔓生手甲",$E$6:$E$55)+SUMIF($D$6:$D$55,"EMP脉冲战靴",$E$6:$E$55)+SUMIF($D$6:$D$55,"全知之眼",$E$6:$E$55)+SUMIF($G$6:$G$55,"暗物质时空炮",$H$6:$H$55)+SUMIF($G$6:$G$55,"液态聚合盔甲",$H$6:$H$55)+SUMIF($G$6:$G$55,"神经蔓生手甲",$H$6:$H$55)+SUMIF($G$6:$G$55,"EMP脉冲战靴",$H$6:$H$55)+SUMIF($G$6:$G$55,"全知之眼",$H$6:$H$55)+SUMIF($J$6:$J$55,"暗物质时空炮",$K$6:$K$55)+SUMIF($J$6:$J$55,"液态聚合盔甲",$K$6:$K$55)+SUMIF($J$6:$J$55,"神经蔓生手甲",$K$6:$K$55)+SUMIF($J$6:$J$55,"EMP脉冲战靴",$K$6:$K$55)+SUMIF($J$6:$J$55,"全知之眼",$K$6:$K$55)+SUMIF($M$6:$M$55,"暗物质时空炮",$N$6:$N$55)+SUMIF($M$6:$M$55,"液态聚合盔甲",$N$6:$N$55)+SUMIF($M$6:$M$55,"神经蔓生手甲",$N$6:$N$55)+SUMIF($M$6:$M$55,"EMP脉冲战靴",$N$6:$N$55)+SUMIF($M$6:$M$55,"全知之眼",$N$6:$N$55)</f>
        <v>5</v>
      </c>
      <c r="J4" s="85">
        <f>G4*500+H4*50+I4*200</f>
        <v>5000</v>
      </c>
      <c r="K4" s="85">
        <f>A4+F4*150+J4</f>
        <v>17250</v>
      </c>
      <c r="L4" s="83"/>
      <c r="M4" s="83"/>
      <c r="N4" s="83"/>
      <c r="O4" s="83"/>
      <c r="P4" s="83"/>
      <c r="Q4" s="84"/>
    </row>
    <row r="5" spans="1:17">
      <c r="A5" s="86" t="s">
        <v>2572</v>
      </c>
      <c r="B5" s="86" t="s">
        <v>2573</v>
      </c>
      <c r="C5" s="86" t="s">
        <v>1540</v>
      </c>
      <c r="D5" s="86" t="s">
        <v>1906</v>
      </c>
      <c r="E5" s="86" t="s">
        <v>1123</v>
      </c>
      <c r="F5" s="86" t="s">
        <v>1697</v>
      </c>
      <c r="G5" s="86" t="s">
        <v>2574</v>
      </c>
      <c r="H5" s="86" t="s">
        <v>1125</v>
      </c>
      <c r="I5" s="86" t="s">
        <v>1699</v>
      </c>
      <c r="J5" s="86" t="s">
        <v>2575</v>
      </c>
      <c r="K5" s="86" t="s">
        <v>1127</v>
      </c>
      <c r="L5" s="86" t="s">
        <v>2576</v>
      </c>
      <c r="M5" s="86" t="s">
        <v>2577</v>
      </c>
      <c r="N5" s="86" t="s">
        <v>1129</v>
      </c>
      <c r="O5" s="86" t="s">
        <v>2578</v>
      </c>
      <c r="P5" s="86" t="s">
        <v>2571</v>
      </c>
      <c r="Q5" s="87" t="s">
        <v>2579</v>
      </c>
    </row>
    <row r="6" spans="1:17">
      <c r="A6" s="88">
        <v>1</v>
      </c>
      <c r="B6" s="88" t="s">
        <v>2580</v>
      </c>
      <c r="C6" s="88">
        <v>1</v>
      </c>
      <c r="D6" s="88" t="s">
        <v>5</v>
      </c>
      <c r="E6" s="88">
        <v>50</v>
      </c>
      <c r="F6" s="88">
        <f>IF(D6="","",IF(D6="钻石",E6,IFERROR(VLOOKUP(D6,道具定价!$C:$F,4,0)*E6,IF(COUNTIF(角色、专武、旅券掉落池!$K:$K,D6)&gt;0,VLOOKUP("主角装备红色",道具定价!$C:$F,4,0)*E6,0))))</f>
        <v>50</v>
      </c>
      <c r="G6" s="88" t="s">
        <v>6</v>
      </c>
      <c r="H6" s="88">
        <v>1</v>
      </c>
      <c r="I6" s="88">
        <f>IF(G6="","",IF(G6="钻石",H6,IFERROR(VLOOKUP(G6,道具定价!$C:$F,4,0)*H6,IF(COUNTIF(角色、专武、旅券掉落池!$K:$K,G6)&gt;0,VLOOKUP("主角装备红色",道具定价!$C:$F,4,0)*H6,0))))</f>
        <v>150</v>
      </c>
      <c r="J6" s="88"/>
      <c r="K6" s="88"/>
      <c r="L6" s="88" t="str">
        <f>IF(J6="","",IF(J6="钻石",K6,IFERROR(VLOOKUP(J6,道具定价!$C:$F,4,0)*K6,IF(COUNTIF(角色、专武、旅券掉落池!$K:$K,J6)&gt;0,VLOOKUP("主角装备红色",道具定价!$C:$F,4,0)*K6,0))))</f>
        <v/>
      </c>
      <c r="M6" s="88"/>
      <c r="N6" s="88"/>
      <c r="O6" s="88" t="str">
        <f>IF(M6="","",IF(M6="钻石",N6,IFERROR(VLOOKUP(M6,道具定价!$C:$F,4,0)*N6,IF(COUNTIF(角色、专武、旅券掉落池!$K:$K,M6)&gt;0,VLOOKUP("主角装备红色",道具定价!$C:$F,4,0)*N6,0))))</f>
        <v/>
      </c>
      <c r="P6" s="88">
        <f t="shared" ref="P6:P55" si="0">SUM(F6,I6,L6,O6)</f>
        <v>200</v>
      </c>
      <c r="Q6" s="89" t="s">
        <v>2581</v>
      </c>
    </row>
    <row r="7" spans="1:17">
      <c r="A7" s="88">
        <v>1</v>
      </c>
      <c r="B7" s="88" t="s">
        <v>2580</v>
      </c>
      <c r="C7" s="88">
        <v>2</v>
      </c>
      <c r="D7" s="88" t="s">
        <v>5</v>
      </c>
      <c r="E7" s="88">
        <v>50</v>
      </c>
      <c r="F7" s="88">
        <f>IF(D7="","",IF(D7="钻石",E7,IFERROR(VLOOKUP(D7,道具定价!$C:$F,4,0)*E7,IF(COUNTIF(角色、专武、旅券掉落池!$K:$K,D7)&gt;0,VLOOKUP("主角装备红色",道具定价!$C:$F,4,0)*E7,0))))</f>
        <v>50</v>
      </c>
      <c r="G7" s="88" t="s">
        <v>6</v>
      </c>
      <c r="H7" s="88">
        <v>2</v>
      </c>
      <c r="I7" s="88">
        <f>IF(G7="","",IF(G7="钻石",H7,IFERROR(VLOOKUP(G7,道具定价!$C:$F,4,0)*H7,IF(COUNTIF(角色、专武、旅券掉落池!$K:$K,G7)&gt;0,VLOOKUP("主角装备红色",道具定价!$C:$F,4,0)*H7,0))))</f>
        <v>300</v>
      </c>
      <c r="J7" s="88"/>
      <c r="K7" s="88"/>
      <c r="L7" s="88" t="str">
        <f>IF(J7="","",IF(J7="钻石",K7,IFERROR(VLOOKUP(J7,道具定价!$C:$F,4,0)*K7,IF(COUNTIF(角色、专武、旅券掉落池!$K:$K,J7)&gt;0,VLOOKUP("主角装备红色",道具定价!$C:$F,4,0)*K7,0))))</f>
        <v/>
      </c>
      <c r="M7" s="88"/>
      <c r="N7" s="88"/>
      <c r="O7" s="88" t="str">
        <f>IF(M7="","",IF(M7="钻石",N7,IFERROR(VLOOKUP(M7,道具定价!$C:$F,4,0)*N7,IF(COUNTIF(角色、专武、旅券掉落池!$K:$K,M7)&gt;0,VLOOKUP("主角装备红色",道具定价!$C:$F,4,0)*N7,0))))</f>
        <v/>
      </c>
      <c r="P7" s="88">
        <f t="shared" si="0"/>
        <v>350</v>
      </c>
      <c r="Q7" s="89" t="s">
        <v>2581</v>
      </c>
    </row>
    <row r="8" spans="1:17">
      <c r="A8" s="88">
        <v>1</v>
      </c>
      <c r="B8" s="88" t="s">
        <v>2580</v>
      </c>
      <c r="C8" s="88">
        <v>3</v>
      </c>
      <c r="D8" s="88" t="s">
        <v>5</v>
      </c>
      <c r="E8" s="88">
        <v>50</v>
      </c>
      <c r="F8" s="88">
        <f>IF(D8="","",IF(D8="钻石",E8,IFERROR(VLOOKUP(D8,道具定价!$C:$F,4,0)*E8,IF(COUNTIF(角色、专武、旅券掉落池!$K:$K,D8)&gt;0,VLOOKUP("主角装备红色",道具定价!$C:$F,4,0)*E8,0))))</f>
        <v>50</v>
      </c>
      <c r="G8" s="88" t="s">
        <v>6</v>
      </c>
      <c r="H8" s="88">
        <v>2</v>
      </c>
      <c r="I8" s="88">
        <f>IF(G8="","",IF(G8="钻石",H8,IFERROR(VLOOKUP(G8,道具定价!$C:$F,4,0)*H8,IF(COUNTIF(角色、专武、旅券掉落池!$K:$K,G8)&gt;0,VLOOKUP("主角装备红色",道具定价!$C:$F,4,0)*H8,0))))</f>
        <v>300</v>
      </c>
      <c r="J8" s="88"/>
      <c r="K8" s="88"/>
      <c r="L8" s="88" t="str">
        <f>IF(J8="","",IF(J8="钻石",K8,IFERROR(VLOOKUP(J8,道具定价!$C:$F,4,0)*K8,IF(COUNTIF(角色、专武、旅券掉落池!$K:$K,J8)&gt;0,VLOOKUP("主角装备红色",道具定价!$C:$F,4,0)*K8,0))))</f>
        <v/>
      </c>
      <c r="M8" s="88"/>
      <c r="N8" s="88"/>
      <c r="O8" s="88" t="str">
        <f>IF(M8="","",IF(M8="钻石",N8,IFERROR(VLOOKUP(M8,道具定价!$C:$F,4,0)*N8,IF(COUNTIF(角色、专武、旅券掉落池!$K:$K,M8)&gt;0,VLOOKUP("主角装备红色",道具定价!$C:$F,4,0)*N8,0))))</f>
        <v/>
      </c>
      <c r="P8" s="88">
        <f t="shared" si="0"/>
        <v>350</v>
      </c>
      <c r="Q8" s="89" t="s">
        <v>2581</v>
      </c>
    </row>
    <row r="9" spans="1:17">
      <c r="A9" s="88">
        <v>1</v>
      </c>
      <c r="B9" s="88" t="s">
        <v>2580</v>
      </c>
      <c r="C9" s="88">
        <v>4</v>
      </c>
      <c r="D9" s="88" t="s">
        <v>5</v>
      </c>
      <c r="E9" s="88">
        <v>50</v>
      </c>
      <c r="F9" s="88">
        <f>IF(D9="","",IF(D9="钻石",E9,IFERROR(VLOOKUP(D9,道具定价!$C:$F,4,0)*E9,IF(COUNTIF(角色、专武、旅券掉落池!$K:$K,D9)&gt;0,VLOOKUP("主角装备红色",道具定价!$C:$F,4,0)*E9,0))))</f>
        <v>50</v>
      </c>
      <c r="G9" s="90" t="s">
        <v>7</v>
      </c>
      <c r="H9" s="88">
        <v>2</v>
      </c>
      <c r="I9" s="88">
        <f>IF(G9="","",IF(G9="钻石",H9,IFERROR(VLOOKUP(G9,道具定价!$C:$F,4,0)*H9,IF(COUNTIF(角色、专武、旅券掉落池!$K:$K,G9)&gt;0,VLOOKUP("主角装备红色",道具定价!$C:$F,4,0)*H9,0))))</f>
        <v>300</v>
      </c>
      <c r="J9" s="88"/>
      <c r="K9" s="88"/>
      <c r="L9" s="88" t="str">
        <f>IF(J9="","",IF(J9="钻石",K9,IFERROR(VLOOKUP(J9,道具定价!$C:$F,4,0)*K9,IF(COUNTIF(角色、专武、旅券掉落池!$K:$K,J9)&gt;0,VLOOKUP("主角装备红色",道具定价!$C:$F,4,0)*K9,0))))</f>
        <v/>
      </c>
      <c r="M9" s="88"/>
      <c r="N9" s="88"/>
      <c r="O9" s="88" t="str">
        <f>IF(M9="","",IF(M9="钻石",N9,IFERROR(VLOOKUP(M9,道具定价!$C:$F,4,0)*N9,IF(COUNTIF(角色、专武、旅券掉落池!$K:$K,M9)&gt;0,VLOOKUP("主角装备红色",道具定价!$C:$F,4,0)*N9,0))))</f>
        <v/>
      </c>
      <c r="P9" s="88">
        <f t="shared" si="0"/>
        <v>350</v>
      </c>
      <c r="Q9" s="89" t="s">
        <v>2581</v>
      </c>
    </row>
    <row r="10" spans="1:17">
      <c r="A10" s="88">
        <v>1</v>
      </c>
      <c r="B10" s="88" t="s">
        <v>2580</v>
      </c>
      <c r="C10" s="88">
        <v>5</v>
      </c>
      <c r="D10" s="88" t="s">
        <v>5</v>
      </c>
      <c r="E10" s="88">
        <v>50</v>
      </c>
      <c r="F10" s="88">
        <f>IF(D10="","",IF(D10="钻石",E10,IFERROR(VLOOKUP(D10,道具定价!$C:$F,4,0)*E10,IF(COUNTIF(角色、专武、旅券掉落池!$K:$K,D10)&gt;0,VLOOKUP("主角装备红色",道具定价!$C:$F,4,0)*E10,0))))</f>
        <v>50</v>
      </c>
      <c r="G10" s="90" t="s">
        <v>7</v>
      </c>
      <c r="H10" s="88">
        <v>3</v>
      </c>
      <c r="I10" s="88">
        <f>IF(G10="","",IF(G10="钻石",H10,IFERROR(VLOOKUP(G10,道具定价!$C:$F,4,0)*H10,IF(COUNTIF(角色、专武、旅券掉落池!$K:$K,G10)&gt;0,VLOOKUP("主角装备红色",道具定价!$C:$F,4,0)*H10,0))))</f>
        <v>450</v>
      </c>
      <c r="J10" s="88"/>
      <c r="K10" s="88"/>
      <c r="L10" s="88" t="str">
        <f>IF(J10="","",IF(J10="钻石",K10,IFERROR(VLOOKUP(J10,道具定价!$C:$F,4,0)*K10,IF(COUNTIF(角色、专武、旅券掉落池!$K:$K,J10)&gt;0,VLOOKUP("主角装备红色",道具定价!$C:$F,4,0)*K10,0))))</f>
        <v/>
      </c>
      <c r="M10" s="88"/>
      <c r="N10" s="88"/>
      <c r="O10" s="88" t="str">
        <f>IF(M10="","",IF(M10="钻石",N10,IFERROR(VLOOKUP(M10,道具定价!$C:$F,4,0)*N10,IF(COUNTIF(角色、专武、旅券掉落池!$K:$K,M10)&gt;0,VLOOKUP("主角装备红色",道具定价!$C:$F,4,0)*N10,0))))</f>
        <v/>
      </c>
      <c r="P10" s="88">
        <f t="shared" si="0"/>
        <v>500</v>
      </c>
      <c r="Q10" s="89" t="s">
        <v>2582</v>
      </c>
    </row>
    <row r="11" spans="1:17">
      <c r="A11" s="88">
        <v>1</v>
      </c>
      <c r="B11" s="88" t="s">
        <v>2580</v>
      </c>
      <c r="C11" s="88">
        <v>6</v>
      </c>
      <c r="D11" s="88" t="s">
        <v>5</v>
      </c>
      <c r="E11" s="88">
        <v>100</v>
      </c>
      <c r="F11" s="88">
        <f>IF(D11="","",IF(D11="钻石",E11,IFERROR(VLOOKUP(D11,道具定价!$C:$F,4,0)*E11,IF(COUNTIF(角色、专武、旅券掉落池!$K:$K,D11)&gt;0,VLOOKUP("主角装备红色",道具定价!$C:$F,4,0)*E11,0))))</f>
        <v>100</v>
      </c>
      <c r="G11" s="90" t="s">
        <v>665</v>
      </c>
      <c r="H11" s="88">
        <v>1</v>
      </c>
      <c r="I11" s="88">
        <f>IF(G11="","",IF(G11="钻石",H11,IFERROR(VLOOKUP(G11,道具定价!$C:$F,4,0)*H11,IF(COUNTIF(角色、专武、旅券掉落池!$K:$K,G11)&gt;0,VLOOKUP("主角装备红色",道具定价!$C:$F,4,0)*H11,0))))</f>
        <v>500</v>
      </c>
      <c r="J11" s="88"/>
      <c r="K11" s="88"/>
      <c r="L11" s="88" t="str">
        <f>IF(J11="","",IF(J11="钻石",K11,IFERROR(VLOOKUP(J11,道具定价!$C:$F,4,0)*K11,IF(COUNTIF(角色、专武、旅券掉落池!$K:$K,J11)&gt;0,VLOOKUP("主角装备红色",道具定价!$C:$F,4,0)*K11,0))))</f>
        <v/>
      </c>
      <c r="M11" s="88"/>
      <c r="N11" s="88"/>
      <c r="O11" s="88" t="str">
        <f>IF(M11="","",IF(M11="钻石",N11,IFERROR(VLOOKUP(M11,道具定价!$C:$F,4,0)*N11,IF(COUNTIF(角色、专武、旅券掉落池!$K:$K,M11)&gt;0,VLOOKUP("主角装备红色",道具定价!$C:$F,4,0)*N11,0))))</f>
        <v/>
      </c>
      <c r="P11" s="88">
        <f t="shared" si="0"/>
        <v>600</v>
      </c>
      <c r="Q11" s="89" t="s">
        <v>2581</v>
      </c>
    </row>
    <row r="12" spans="1:17">
      <c r="A12" s="88">
        <v>1</v>
      </c>
      <c r="B12" s="88" t="s">
        <v>2580</v>
      </c>
      <c r="C12" s="88">
        <v>7</v>
      </c>
      <c r="D12" s="88" t="s">
        <v>5</v>
      </c>
      <c r="E12" s="88">
        <v>100</v>
      </c>
      <c r="F12" s="88">
        <f>IF(D12="","",IF(D12="钻石",E12,IFERROR(VLOOKUP(D12,道具定价!$C:$F,4,0)*E12,IF(COUNTIF(角色、专武、旅券掉落池!$K:$K,D12)&gt;0,VLOOKUP("主角装备红色",道具定价!$C:$F,4,0)*E12,0))))</f>
        <v>100</v>
      </c>
      <c r="G12" s="88" t="s">
        <v>701</v>
      </c>
      <c r="H12" s="88">
        <v>2</v>
      </c>
      <c r="I12" s="88">
        <f>IF(G12="","",IF(G12="钻石",H12,IFERROR(VLOOKUP(G12,道具定价!$C:$F,4,0)*H12,IF(COUNTIF(角色、专武、旅券掉落池!$K:$K,G12)&gt;0,VLOOKUP("主角装备红色",道具定价!$C:$F,4,0)*H12,0))))</f>
        <v>100</v>
      </c>
      <c r="J12" s="88"/>
      <c r="K12" s="88"/>
      <c r="L12" s="88" t="str">
        <f>IF(J12="","",IF(J12="钻石",K12,IFERROR(VLOOKUP(J12,道具定价!$C:$F,4,0)*K12,IF(COUNTIF(角色、专武、旅券掉落池!$K:$K,J12)&gt;0,VLOOKUP("主角装备红色",道具定价!$C:$F,4,0)*K12,0))))</f>
        <v/>
      </c>
      <c r="M12" s="88"/>
      <c r="N12" s="88"/>
      <c r="O12" s="88" t="str">
        <f>IF(M12="","",IF(M12="钻石",N12,IFERROR(VLOOKUP(M12,道具定价!$C:$F,4,0)*N12,IF(COUNTIF(角色、专武、旅券掉落池!$K:$K,M12)&gt;0,VLOOKUP("主角装备红色",道具定价!$C:$F,4,0)*N12,0))))</f>
        <v/>
      </c>
      <c r="P12" s="88">
        <f t="shared" si="0"/>
        <v>200</v>
      </c>
      <c r="Q12" s="91" t="s">
        <v>2583</v>
      </c>
    </row>
    <row r="13" spans="1:17">
      <c r="A13" s="88">
        <v>1</v>
      </c>
      <c r="B13" s="88" t="s">
        <v>2580</v>
      </c>
      <c r="C13" s="88">
        <v>8</v>
      </c>
      <c r="D13" s="88" t="s">
        <v>5</v>
      </c>
      <c r="E13" s="88">
        <v>100</v>
      </c>
      <c r="F13" s="88">
        <f>IF(D13="","",IF(D13="钻石",E13,IFERROR(VLOOKUP(D13,道具定价!$C:$F,4,0)*E13,IF(COUNTIF(角色、专武、旅券掉落池!$K:$K,D13)&gt;0,VLOOKUP("主角装备红色",道具定价!$C:$F,4,0)*E13,0))))</f>
        <v>100</v>
      </c>
      <c r="G13" s="88" t="s">
        <v>701</v>
      </c>
      <c r="H13" s="88">
        <v>2</v>
      </c>
      <c r="I13" s="88">
        <f>IF(G13="","",IF(G13="钻石",H13,IFERROR(VLOOKUP(G13,道具定价!$C:$F,4,0)*H13,IF(COUNTIF(角色、专武、旅券掉落池!$K:$K,G13)&gt;0,VLOOKUP("主角装备红色",道具定价!$C:$F,4,0)*H13,0))))</f>
        <v>100</v>
      </c>
      <c r="J13" s="88"/>
      <c r="K13" s="88"/>
      <c r="L13" s="88" t="str">
        <f>IF(J13="","",IF(J13="钻石",K13,IFERROR(VLOOKUP(J13,道具定价!$C:$F,4,0)*K13,IF(COUNTIF(角色、专武、旅券掉落池!$K:$K,J13)&gt;0,VLOOKUP("主角装备红色",道具定价!$C:$F,4,0)*K13,0))))</f>
        <v/>
      </c>
      <c r="M13" s="88"/>
      <c r="N13" s="88"/>
      <c r="O13" s="88" t="str">
        <f>IF(M13="","",IF(M13="钻石",N13,IFERROR(VLOOKUP(M13,道具定价!$C:$F,4,0)*N13,IF(COUNTIF(角色、专武、旅券掉落池!$K:$K,M13)&gt;0,VLOOKUP("主角装备红色",道具定价!$C:$F,4,0)*N13,0))))</f>
        <v/>
      </c>
      <c r="P13" s="88">
        <f t="shared" si="0"/>
        <v>200</v>
      </c>
      <c r="Q13" s="91" t="s">
        <v>2584</v>
      </c>
    </row>
    <row r="14" spans="1:17">
      <c r="A14" s="88">
        <v>1</v>
      </c>
      <c r="B14" s="88" t="s">
        <v>2580</v>
      </c>
      <c r="C14" s="88">
        <v>9</v>
      </c>
      <c r="D14" s="88" t="s">
        <v>5</v>
      </c>
      <c r="E14" s="88">
        <v>200</v>
      </c>
      <c r="F14" s="88">
        <f>IF(D14="","",IF(D14="钻石",E14,IFERROR(VLOOKUP(D14,道具定价!$C:$F,4,0)*E14,IF(COUNTIF(角色、专武、旅券掉落池!$K:$K,D14)&gt;0,VLOOKUP("主角装备红色",道具定价!$C:$F,4,0)*E14,0))))</f>
        <v>200</v>
      </c>
      <c r="G14" s="88" t="s">
        <v>701</v>
      </c>
      <c r="H14" s="88">
        <v>2</v>
      </c>
      <c r="I14" s="88">
        <f>IF(G14="","",IF(G14="钻石",H14,IFERROR(VLOOKUP(G14,道具定价!$C:$F,4,0)*H14,IF(COUNTIF(角色、专武、旅券掉落池!$K:$K,G14)&gt;0,VLOOKUP("主角装备红色",道具定价!$C:$F,4,0)*H14,0))))</f>
        <v>100</v>
      </c>
      <c r="J14" s="88"/>
      <c r="K14" s="88"/>
      <c r="L14" s="88" t="str">
        <f>IF(J14="","",IF(J14="钻石",K14,IFERROR(VLOOKUP(J14,道具定价!$C:$F,4,0)*K14,IF(COUNTIF(角色、专武、旅券掉落池!$K:$K,J14)&gt;0,VLOOKUP("主角装备红色",道具定价!$C:$F,4,0)*K14,0))))</f>
        <v/>
      </c>
      <c r="M14" s="88"/>
      <c r="N14" s="88"/>
      <c r="O14" s="88" t="str">
        <f>IF(M14="","",IF(M14="钻石",N14,IFERROR(VLOOKUP(M14,道具定价!$C:$F,4,0)*N14,IF(COUNTIF(角色、专武、旅券掉落池!$K:$K,M14)&gt;0,VLOOKUP("主角装备红色",道具定价!$C:$F,4,0)*N14,0))))</f>
        <v/>
      </c>
      <c r="P14" s="88">
        <f t="shared" si="0"/>
        <v>300</v>
      </c>
      <c r="Q14" s="91" t="s">
        <v>2585</v>
      </c>
    </row>
    <row r="15" spans="1:17">
      <c r="A15" s="88">
        <v>1</v>
      </c>
      <c r="B15" s="88" t="s">
        <v>2580</v>
      </c>
      <c r="C15" s="88">
        <v>10</v>
      </c>
      <c r="D15" s="88" t="s">
        <v>5</v>
      </c>
      <c r="E15" s="88">
        <v>200</v>
      </c>
      <c r="F15" s="88">
        <f>IF(D15="","",IF(D15="钻石",E15,IFERROR(VLOOKUP(D15,道具定价!$C:$F,4,0)*E15,IF(COUNTIF(角色、专武、旅券掉落池!$K:$K,D15)&gt;0,VLOOKUP("主角装备红色",道具定价!$C:$F,4,0)*E15,0))))</f>
        <v>200</v>
      </c>
      <c r="G15" s="90" t="s">
        <v>973</v>
      </c>
      <c r="H15" s="88">
        <v>1</v>
      </c>
      <c r="I15" s="88">
        <f>IF(G15="","",IF(G15="钻石",H15,IFERROR(VLOOKUP(G15,道具定价!$C:$F,4,0)*H15,IF(COUNTIF(角色、专武、旅券掉落池!$K:$K,G15)&gt;0,VLOOKUP("主角装备红色",道具定价!$C:$F,4,0)*H15,0))))</f>
        <v>1000</v>
      </c>
      <c r="J15" s="88"/>
      <c r="K15" s="88"/>
      <c r="L15" s="88" t="str">
        <f>IF(J15="","",IF(J15="钻石",K15,IFERROR(VLOOKUP(J15,道具定价!$C:$F,4,0)*K15,IF(COUNTIF(角色、专武、旅券掉落池!$K:$K,J15)&gt;0,VLOOKUP("主角装备红色",道具定价!$C:$F,4,0)*K15,0))))</f>
        <v/>
      </c>
      <c r="M15" s="88"/>
      <c r="N15" s="88"/>
      <c r="O15" s="88" t="str">
        <f>IF(M15="","",IF(M15="钻石",N15,IFERROR(VLOOKUP(M15,道具定价!$C:$F,4,0)*N15,IF(COUNTIF(角色、专武、旅券掉落池!$K:$K,M15)&gt;0,VLOOKUP("主角装备红色",道具定价!$C:$F,4,0)*N15,0))))</f>
        <v/>
      </c>
      <c r="P15" s="88">
        <f t="shared" si="0"/>
        <v>1200</v>
      </c>
      <c r="Q15" s="89" t="s">
        <v>2586</v>
      </c>
    </row>
    <row r="16" spans="1:17">
      <c r="A16" s="88">
        <v>2</v>
      </c>
      <c r="B16" s="88" t="s">
        <v>2587</v>
      </c>
      <c r="C16" s="88">
        <v>1</v>
      </c>
      <c r="D16" s="88" t="s">
        <v>5</v>
      </c>
      <c r="E16" s="88">
        <v>50</v>
      </c>
      <c r="F16" s="88">
        <f>IF(D16="","",IF(D16="钻石",E16,IFERROR(VLOOKUP(D16,道具定价!$C:$F,4,0)*E16,IF(COUNTIF(角色、专武、旅券掉落池!$K:$K,D16)&gt;0,VLOOKUP("主角装备红色",道具定价!$C:$F,4,0)*E16,0))))</f>
        <v>50</v>
      </c>
      <c r="G16" s="88" t="s">
        <v>6</v>
      </c>
      <c r="H16" s="88">
        <v>1</v>
      </c>
      <c r="I16" s="88">
        <f>IF(G16="","",IF(G16="钻石",H16,IFERROR(VLOOKUP(G16,道具定价!$C:$F,4,0)*H16,IF(COUNTIF(角色、专武、旅券掉落池!$K:$K,G16)&gt;0,VLOOKUP("主角装备红色",道具定价!$C:$F,4,0)*H16,0))))</f>
        <v>150</v>
      </c>
      <c r="J16" s="88"/>
      <c r="K16" s="88"/>
      <c r="L16" s="88" t="str">
        <f>IF(J16="","",IF(J16="钻石",K16,IFERROR(VLOOKUP(J16,道具定价!$C:$F,4,0)*K16,IF(COUNTIF(角色、专武、旅券掉落池!$K:$K,J16)&gt;0,VLOOKUP("主角装备红色",道具定价!$C:$F,4,0)*K16,0))))</f>
        <v/>
      </c>
      <c r="M16" s="88"/>
      <c r="N16" s="88"/>
      <c r="O16" s="88" t="str">
        <f>IF(M16="","",IF(M16="钻石",N16,IFERROR(VLOOKUP(M16,道具定价!$C:$F,4,0)*N16,IF(COUNTIF(角色、专武、旅券掉落池!$K:$K,M16)&gt;0,VLOOKUP("主角装备红色",道具定价!$C:$F,4,0)*N16,0))))</f>
        <v/>
      </c>
      <c r="P16" s="88">
        <f t="shared" si="0"/>
        <v>200</v>
      </c>
      <c r="Q16" s="89" t="s">
        <v>2581</v>
      </c>
    </row>
    <row r="17" spans="1:17">
      <c r="A17" s="88">
        <v>2</v>
      </c>
      <c r="B17" s="88" t="s">
        <v>2587</v>
      </c>
      <c r="C17" s="88">
        <v>2</v>
      </c>
      <c r="D17" s="88" t="s">
        <v>5</v>
      </c>
      <c r="E17" s="88">
        <v>50</v>
      </c>
      <c r="F17" s="88">
        <f>IF(D17="","",IF(D17="钻石",E17,IFERROR(VLOOKUP(D17,道具定价!$C:$F,4,0)*E17,IF(COUNTIF(角色、专武、旅券掉落池!$K:$K,D17)&gt;0,VLOOKUP("主角装备红色",道具定价!$C:$F,4,0)*E17,0))))</f>
        <v>50</v>
      </c>
      <c r="G17" s="88" t="s">
        <v>6</v>
      </c>
      <c r="H17" s="88">
        <v>2</v>
      </c>
      <c r="I17" s="88">
        <f>IF(G17="","",IF(G17="钻石",H17,IFERROR(VLOOKUP(G17,道具定价!$C:$F,4,0)*H17,IF(COUNTIF(角色、专武、旅券掉落池!$K:$K,G17)&gt;0,VLOOKUP("主角装备红色",道具定价!$C:$F,4,0)*H17,0))))</f>
        <v>300</v>
      </c>
      <c r="J17" s="88"/>
      <c r="K17" s="88"/>
      <c r="L17" s="88" t="str">
        <f>IF(J17="","",IF(J17="钻石",K17,IFERROR(VLOOKUP(J17,道具定价!$C:$F,4,0)*K17,IF(COUNTIF(角色、专武、旅券掉落池!$K:$K,J17)&gt;0,VLOOKUP("主角装备红色",道具定价!$C:$F,4,0)*K17,0))))</f>
        <v/>
      </c>
      <c r="M17" s="88"/>
      <c r="N17" s="88"/>
      <c r="O17" s="88" t="str">
        <f>IF(M17="","",IF(M17="钻石",N17,IFERROR(VLOOKUP(M17,道具定价!$C:$F,4,0)*N17,IF(COUNTIF(角色、专武、旅券掉落池!$K:$K,M17)&gt;0,VLOOKUP("主角装备红色",道具定价!$C:$F,4,0)*N17,0))))</f>
        <v/>
      </c>
      <c r="P17" s="88">
        <f t="shared" si="0"/>
        <v>350</v>
      </c>
      <c r="Q17" s="89" t="s">
        <v>2581</v>
      </c>
    </row>
    <row r="18" spans="1:17">
      <c r="A18" s="88">
        <v>2</v>
      </c>
      <c r="B18" s="88" t="s">
        <v>2587</v>
      </c>
      <c r="C18" s="88">
        <v>3</v>
      </c>
      <c r="D18" s="88" t="s">
        <v>5</v>
      </c>
      <c r="E18" s="88">
        <v>50</v>
      </c>
      <c r="F18" s="88">
        <f>IF(D18="","",IF(D18="钻石",E18,IFERROR(VLOOKUP(D18,道具定价!$C:$F,4,0)*E18,IF(COUNTIF(角色、专武、旅券掉落池!$K:$K,D18)&gt;0,VLOOKUP("主角装备红色",道具定价!$C:$F,4,0)*E18,0))))</f>
        <v>50</v>
      </c>
      <c r="G18" s="88" t="s">
        <v>6</v>
      </c>
      <c r="H18" s="88">
        <v>2</v>
      </c>
      <c r="I18" s="88">
        <f>IF(G18="","",IF(G18="钻石",H18,IFERROR(VLOOKUP(G18,道具定价!$C:$F,4,0)*H18,IF(COUNTIF(角色、专武、旅券掉落池!$K:$K,G18)&gt;0,VLOOKUP("主角装备红色",道具定价!$C:$F,4,0)*H18,0))))</f>
        <v>300</v>
      </c>
      <c r="J18" s="88"/>
      <c r="K18" s="88"/>
      <c r="L18" s="88" t="str">
        <f>IF(J18="","",IF(J18="钻石",K18,IFERROR(VLOOKUP(J18,道具定价!$C:$F,4,0)*K18,IF(COUNTIF(角色、专武、旅券掉落池!$K:$K,J18)&gt;0,VLOOKUP("主角装备红色",道具定价!$C:$F,4,0)*K18,0))))</f>
        <v/>
      </c>
      <c r="M18" s="88"/>
      <c r="N18" s="88"/>
      <c r="O18" s="88" t="str">
        <f>IF(M18="","",IF(M18="钻石",N18,IFERROR(VLOOKUP(M18,道具定价!$C:$F,4,0)*N18,IF(COUNTIF(角色、专武、旅券掉落池!$K:$K,M18)&gt;0,VLOOKUP("主角装备红色",道具定价!$C:$F,4,0)*N18,0))))</f>
        <v/>
      </c>
      <c r="P18" s="88">
        <f t="shared" si="0"/>
        <v>350</v>
      </c>
      <c r="Q18" s="89" t="s">
        <v>2581</v>
      </c>
    </row>
    <row r="19" spans="1:17">
      <c r="A19" s="88">
        <v>2</v>
      </c>
      <c r="B19" s="88" t="s">
        <v>2587</v>
      </c>
      <c r="C19" s="88">
        <v>4</v>
      </c>
      <c r="D19" s="88" t="s">
        <v>5</v>
      </c>
      <c r="E19" s="88">
        <v>50</v>
      </c>
      <c r="F19" s="88">
        <f>IF(D19="","",IF(D19="钻石",E19,IFERROR(VLOOKUP(D19,道具定价!$C:$F,4,0)*E19,IF(COUNTIF(角色、专武、旅券掉落池!$K:$K,D19)&gt;0,VLOOKUP("主角装备红色",道具定价!$C:$F,4,0)*E19,0))))</f>
        <v>50</v>
      </c>
      <c r="G19" s="90" t="s">
        <v>7</v>
      </c>
      <c r="H19" s="88">
        <v>2</v>
      </c>
      <c r="I19" s="88">
        <f>IF(G19="","",IF(G19="钻石",H19,IFERROR(VLOOKUP(G19,道具定价!$C:$F,4,0)*H19,IF(COUNTIF(角色、专武、旅券掉落池!$K:$K,G19)&gt;0,VLOOKUP("主角装备红色",道具定价!$C:$F,4,0)*H19,0))))</f>
        <v>300</v>
      </c>
      <c r="J19" s="88"/>
      <c r="K19" s="88"/>
      <c r="L19" s="88" t="str">
        <f>IF(J19="","",IF(J19="钻石",K19,IFERROR(VLOOKUP(J19,道具定价!$C:$F,4,0)*K19,IF(COUNTIF(角色、专武、旅券掉落池!$K:$K,J19)&gt;0,VLOOKUP("主角装备红色",道具定价!$C:$F,4,0)*K19,0))))</f>
        <v/>
      </c>
      <c r="M19" s="88"/>
      <c r="N19" s="88"/>
      <c r="O19" s="88" t="str">
        <f>IF(M19="","",IF(M19="钻石",N19,IFERROR(VLOOKUP(M19,道具定价!$C:$F,4,0)*N19,IF(COUNTIF(角色、专武、旅券掉落池!$K:$K,M19)&gt;0,VLOOKUP("主角装备红色",道具定价!$C:$F,4,0)*N19,0))))</f>
        <v/>
      </c>
      <c r="P19" s="88">
        <f t="shared" si="0"/>
        <v>350</v>
      </c>
      <c r="Q19" s="89" t="s">
        <v>2581</v>
      </c>
    </row>
    <row r="20" spans="1:17">
      <c r="A20" s="88">
        <v>2</v>
      </c>
      <c r="B20" s="88" t="s">
        <v>2587</v>
      </c>
      <c r="C20" s="88">
        <v>5</v>
      </c>
      <c r="D20" s="88" t="s">
        <v>5</v>
      </c>
      <c r="E20" s="88">
        <v>50</v>
      </c>
      <c r="F20" s="88">
        <f>IF(D20="","",IF(D20="钻石",E20,IFERROR(VLOOKUP(D20,道具定价!$C:$F,4,0)*E20,IF(COUNTIF(角色、专武、旅券掉落池!$K:$K,D20)&gt;0,VLOOKUP("主角装备红色",道具定价!$C:$F,4,0)*E20,0))))</f>
        <v>50</v>
      </c>
      <c r="G20" s="90" t="s">
        <v>7</v>
      </c>
      <c r="H20" s="88">
        <v>3</v>
      </c>
      <c r="I20" s="88">
        <f>IF(G20="","",IF(G20="钻石",H20,IFERROR(VLOOKUP(G20,道具定价!$C:$F,4,0)*H20,IF(COUNTIF(角色、专武、旅券掉落池!$K:$K,G20)&gt;0,VLOOKUP("主角装备红色",道具定价!$C:$F,4,0)*H20,0))))</f>
        <v>450</v>
      </c>
      <c r="J20" s="88"/>
      <c r="K20" s="88"/>
      <c r="L20" s="88" t="str">
        <f>IF(J20="","",IF(J20="钻石",K20,IFERROR(VLOOKUP(J20,道具定价!$C:$F,4,0)*K20,IF(COUNTIF(角色、专武、旅券掉落池!$K:$K,J20)&gt;0,VLOOKUP("主角装备红色",道具定价!$C:$F,4,0)*K20,0))))</f>
        <v/>
      </c>
      <c r="M20" s="88"/>
      <c r="N20" s="88"/>
      <c r="O20" s="88" t="str">
        <f>IF(M20="","",IF(M20="钻石",N20,IFERROR(VLOOKUP(M20,道具定价!$C:$F,4,0)*N20,IF(COUNTIF(角色、专武、旅券掉落池!$K:$K,M20)&gt;0,VLOOKUP("主角装备红色",道具定价!$C:$F,4,0)*N20,0))))</f>
        <v/>
      </c>
      <c r="P20" s="88">
        <f t="shared" si="0"/>
        <v>500</v>
      </c>
      <c r="Q20" s="89" t="s">
        <v>2582</v>
      </c>
    </row>
    <row r="21" spans="1:17">
      <c r="A21" s="88">
        <v>2</v>
      </c>
      <c r="B21" s="88" t="s">
        <v>2587</v>
      </c>
      <c r="C21" s="88">
        <v>6</v>
      </c>
      <c r="D21" s="88" t="s">
        <v>5</v>
      </c>
      <c r="E21" s="88">
        <v>100</v>
      </c>
      <c r="F21" s="88">
        <f>IF(D21="","",IF(D21="钻石",E21,IFERROR(VLOOKUP(D21,道具定价!$C:$F,4,0)*E21,IF(COUNTIF(角色、专武、旅券掉落池!$K:$K,D21)&gt;0,VLOOKUP("主角装备红色",道具定价!$C:$F,4,0)*E21,0))))</f>
        <v>100</v>
      </c>
      <c r="G21" s="90" t="s">
        <v>665</v>
      </c>
      <c r="H21" s="88">
        <v>1</v>
      </c>
      <c r="I21" s="88">
        <f>IF(G21="","",IF(G21="钻石",H21,IFERROR(VLOOKUP(G21,道具定价!$C:$F,4,0)*H21,IF(COUNTIF(角色、专武、旅券掉落池!$K:$K,G21)&gt;0,VLOOKUP("主角装备红色",道具定价!$C:$F,4,0)*H21,0))))</f>
        <v>500</v>
      </c>
      <c r="J21" s="88"/>
      <c r="K21" s="88"/>
      <c r="L21" s="88" t="str">
        <f>IF(J21="","",IF(J21="钻石",K21,IFERROR(VLOOKUP(J21,道具定价!$C:$F,4,0)*K21,IF(COUNTIF(角色、专武、旅券掉落池!$K:$K,J21)&gt;0,VLOOKUP("主角装备红色",道具定价!$C:$F,4,0)*K21,0))))</f>
        <v/>
      </c>
      <c r="M21" s="88"/>
      <c r="N21" s="88"/>
      <c r="O21" s="88" t="str">
        <f>IF(M21="","",IF(M21="钻石",N21,IFERROR(VLOOKUP(M21,道具定价!$C:$F,4,0)*N21,IF(COUNTIF(角色、专武、旅券掉落池!$K:$K,M21)&gt;0,VLOOKUP("主角装备红色",道具定价!$C:$F,4,0)*N21,0))))</f>
        <v/>
      </c>
      <c r="P21" s="88">
        <f t="shared" si="0"/>
        <v>600</v>
      </c>
      <c r="Q21" s="89" t="s">
        <v>2581</v>
      </c>
    </row>
    <row r="22" spans="1:17">
      <c r="A22" s="88">
        <v>2</v>
      </c>
      <c r="B22" s="88" t="s">
        <v>2587</v>
      </c>
      <c r="C22" s="88">
        <v>7</v>
      </c>
      <c r="D22" s="88" t="s">
        <v>5</v>
      </c>
      <c r="E22" s="88">
        <v>100</v>
      </c>
      <c r="F22" s="88">
        <f>IF(D22="","",IF(D22="钻石",E22,IFERROR(VLOOKUP(D22,道具定价!$C:$F,4,0)*E22,IF(COUNTIF(角色、专武、旅券掉落池!$K:$K,D22)&gt;0,VLOOKUP("主角装备红色",道具定价!$C:$F,4,0)*E22,0))))</f>
        <v>100</v>
      </c>
      <c r="G22" s="88" t="s">
        <v>701</v>
      </c>
      <c r="H22" s="88">
        <v>2</v>
      </c>
      <c r="I22" s="88">
        <f>IF(G22="","",IF(G22="钻石",H22,IFERROR(VLOOKUP(G22,道具定价!$C:$F,4,0)*H22,IF(COUNTIF(角色、专武、旅券掉落池!$K:$K,G22)&gt;0,VLOOKUP("主角装备红色",道具定价!$C:$F,4,0)*H22,0))))</f>
        <v>100</v>
      </c>
      <c r="J22" s="88"/>
      <c r="K22" s="88"/>
      <c r="L22" s="88" t="str">
        <f>IF(J22="","",IF(J22="钻石",K22,IFERROR(VLOOKUP(J22,道具定价!$C:$F,4,0)*K22,IF(COUNTIF(角色、专武、旅券掉落池!$K:$K,J22)&gt;0,VLOOKUP("主角装备红色",道具定价!$C:$F,4,0)*K22,0))))</f>
        <v/>
      </c>
      <c r="M22" s="88"/>
      <c r="N22" s="88"/>
      <c r="O22" s="88" t="str">
        <f>IF(M22="","",IF(M22="钻石",N22,IFERROR(VLOOKUP(M22,道具定价!$C:$F,4,0)*N22,IF(COUNTIF(角色、专武、旅券掉落池!$K:$K,M22)&gt;0,VLOOKUP("主角装备红色",道具定价!$C:$F,4,0)*N22,0))))</f>
        <v/>
      </c>
      <c r="P22" s="88">
        <f t="shared" si="0"/>
        <v>200</v>
      </c>
      <c r="Q22" s="89" t="s">
        <v>2588</v>
      </c>
    </row>
    <row r="23" spans="1:17">
      <c r="A23" s="88">
        <v>2</v>
      </c>
      <c r="B23" s="88" t="s">
        <v>2587</v>
      </c>
      <c r="C23" s="88">
        <v>8</v>
      </c>
      <c r="D23" s="88" t="s">
        <v>5</v>
      </c>
      <c r="E23" s="88">
        <v>100</v>
      </c>
      <c r="F23" s="88">
        <f>IF(D23="","",IF(D23="钻石",E23,IFERROR(VLOOKUP(D23,道具定价!$C:$F,4,0)*E23,IF(COUNTIF(角色、专武、旅券掉落池!$K:$K,D23)&gt;0,VLOOKUP("主角装备红色",道具定价!$C:$F,4,0)*E23,0))))</f>
        <v>100</v>
      </c>
      <c r="G23" s="88" t="s">
        <v>701</v>
      </c>
      <c r="H23" s="88">
        <v>2</v>
      </c>
      <c r="I23" s="88">
        <f>IF(G23="","",IF(G23="钻石",H23,IFERROR(VLOOKUP(G23,道具定价!$C:$F,4,0)*H23,IF(COUNTIF(角色、专武、旅券掉落池!$K:$K,G23)&gt;0,VLOOKUP("主角装备红色",道具定价!$C:$F,4,0)*H23,0))))</f>
        <v>100</v>
      </c>
      <c r="J23" s="88"/>
      <c r="K23" s="88"/>
      <c r="L23" s="88" t="str">
        <f>IF(J23="","",IF(J23="钻石",K23,IFERROR(VLOOKUP(J23,道具定价!$C:$F,4,0)*K23,IF(COUNTIF(角色、专武、旅券掉落池!$K:$K,J23)&gt;0,VLOOKUP("主角装备红色",道具定价!$C:$F,4,0)*K23,0))))</f>
        <v/>
      </c>
      <c r="M23" s="88"/>
      <c r="N23" s="88"/>
      <c r="O23" s="88" t="str">
        <f>IF(M23="","",IF(M23="钻石",N23,IFERROR(VLOOKUP(M23,道具定价!$C:$F,4,0)*N23,IF(COUNTIF(角色、专武、旅券掉落池!$K:$K,M23)&gt;0,VLOOKUP("主角装备红色",道具定价!$C:$F,4,0)*N23,0))))</f>
        <v/>
      </c>
      <c r="P23" s="88">
        <f t="shared" si="0"/>
        <v>200</v>
      </c>
      <c r="Q23" s="89" t="s">
        <v>2589</v>
      </c>
    </row>
    <row r="24" ht="28.5" customHeight="1" spans="1:17">
      <c r="A24" s="88">
        <v>2</v>
      </c>
      <c r="B24" s="88" t="s">
        <v>2587</v>
      </c>
      <c r="C24" s="88">
        <v>9</v>
      </c>
      <c r="D24" s="88" t="s">
        <v>5</v>
      </c>
      <c r="E24" s="88">
        <v>200</v>
      </c>
      <c r="F24" s="88">
        <f>IF(D24="","",IF(D24="钻石",E24,IFERROR(VLOOKUP(D24,道具定价!$C:$F,4,0)*E24,IF(COUNTIF(角色、专武、旅券掉落池!$K:$K,D24)&gt;0,VLOOKUP("主角装备红色",道具定价!$C:$F,4,0)*E24,0))))</f>
        <v>200</v>
      </c>
      <c r="G24" s="88" t="s">
        <v>701</v>
      </c>
      <c r="H24" s="88">
        <v>2</v>
      </c>
      <c r="I24" s="88">
        <f>IF(G24="","",IF(G24="钻石",H24,IFERROR(VLOOKUP(G24,道具定价!$C:$F,4,0)*H24,IF(COUNTIF(角色、专武、旅券掉落池!$K:$K,G24)&gt;0,VLOOKUP("主角装备红色",道具定价!$C:$F,4,0)*H24,0))))</f>
        <v>100</v>
      </c>
      <c r="J24" s="88"/>
      <c r="K24" s="88"/>
      <c r="L24" s="88" t="str">
        <f>IF(J24="","",IF(J24="钻石",K24,IFERROR(VLOOKUP(J24,道具定价!$C:$F,4,0)*K24,IF(COUNTIF(角色、专武、旅券掉落池!$K:$K,J24)&gt;0,VLOOKUP("主角装备红色",道具定价!$C:$F,4,0)*K24,0))))</f>
        <v/>
      </c>
      <c r="M24" s="88"/>
      <c r="N24" s="88"/>
      <c r="O24" s="88" t="str">
        <f>IF(M24="","",IF(M24="钻石",N24,IFERROR(VLOOKUP(M24,道具定价!$C:$F,4,0)*N24,IF(COUNTIF(角色、专武、旅券掉落池!$K:$K,M24)&gt;0,VLOOKUP("主角装备红色",道具定价!$C:$F,4,0)*N24,0))))</f>
        <v/>
      </c>
      <c r="P24" s="88">
        <f t="shared" si="0"/>
        <v>300</v>
      </c>
      <c r="Q24" s="89" t="s">
        <v>2590</v>
      </c>
    </row>
    <row r="25" spans="1:17">
      <c r="A25" s="88">
        <v>2</v>
      </c>
      <c r="B25" s="88" t="s">
        <v>2587</v>
      </c>
      <c r="C25" s="88">
        <v>10</v>
      </c>
      <c r="D25" s="88" t="s">
        <v>5</v>
      </c>
      <c r="E25" s="88">
        <v>200</v>
      </c>
      <c r="F25" s="88">
        <f>IF(D25="","",IF(D25="钻石",E25,IFERROR(VLOOKUP(D25,道具定价!$C:$F,4,0)*E25,IF(COUNTIF(角色、专武、旅券掉落池!$K:$K,D25)&gt;0,VLOOKUP("主角装备红色",道具定价!$C:$F,4,0)*E25,0))))</f>
        <v>200</v>
      </c>
      <c r="G25" s="90" t="s">
        <v>986</v>
      </c>
      <c r="H25" s="88">
        <v>1</v>
      </c>
      <c r="I25" s="88">
        <f>IF(G25="","",IF(G25="钻石",H25,IFERROR(VLOOKUP(G25,道具定价!$C:$F,4,0)*H25,IF(COUNTIF(角色、专武、旅券掉落池!$K:$K,G25)&gt;0,VLOOKUP("主角装备红色",道具定价!$C:$F,4,0)*H25,0))))</f>
        <v>1000</v>
      </c>
      <c r="J25" s="88"/>
      <c r="K25" s="88"/>
      <c r="L25" s="88" t="str">
        <f>IF(J25="","",IF(J25="钻石",K25,IFERROR(VLOOKUP(J25,道具定价!$C:$F,4,0)*K25,IF(COUNTIF(角色、专武、旅券掉落池!$K:$K,J25)&gt;0,VLOOKUP("主角装备红色",道具定价!$C:$F,4,0)*K25,0))))</f>
        <v/>
      </c>
      <c r="M25" s="88"/>
      <c r="N25" s="88"/>
      <c r="O25" s="88" t="str">
        <f>IF(M25="","",IF(M25="钻石",N25,IFERROR(VLOOKUP(M25,道具定价!$C:$F,4,0)*N25,IF(COUNTIF(角色、专武、旅券掉落池!$K:$K,M25)&gt;0,VLOOKUP("主角装备红色",道具定价!$C:$F,4,0)*N25,0))))</f>
        <v/>
      </c>
      <c r="P25" s="88">
        <f t="shared" si="0"/>
        <v>1200</v>
      </c>
      <c r="Q25" s="89" t="s">
        <v>2591</v>
      </c>
    </row>
    <row r="26" spans="1:17">
      <c r="A26" s="88">
        <v>3</v>
      </c>
      <c r="B26" s="88" t="s">
        <v>2592</v>
      </c>
      <c r="C26" s="88">
        <v>1</v>
      </c>
      <c r="D26" s="88" t="s">
        <v>5</v>
      </c>
      <c r="E26" s="88">
        <v>50</v>
      </c>
      <c r="F26" s="88">
        <f>IF(D26="","",IF(D26="钻石",E26,IFERROR(VLOOKUP(D26,道具定价!$C:$F,4,0)*E26,IF(COUNTIF(角色、专武、旅券掉落池!$K:$K,D26)&gt;0,VLOOKUP("主角装备红色",道具定价!$C:$F,4,0)*E26,0))))</f>
        <v>50</v>
      </c>
      <c r="G26" s="88" t="s">
        <v>6</v>
      </c>
      <c r="H26" s="88">
        <v>1</v>
      </c>
      <c r="I26" s="88">
        <f>IF(G26="","",IF(G26="钻石",H26,IFERROR(VLOOKUP(G26,道具定价!$C:$F,4,0)*H26,IF(COUNTIF(角色、专武、旅券掉落池!$K:$K,G26)&gt;0,VLOOKUP("主角装备红色",道具定价!$C:$F,4,0)*H26,0))))</f>
        <v>150</v>
      </c>
      <c r="J26" s="88"/>
      <c r="K26" s="88"/>
      <c r="L26" s="88" t="str">
        <f>IF(J26="","",IF(J26="钻石",K26,IFERROR(VLOOKUP(J26,道具定价!$C:$F,4,0)*K26,IF(COUNTIF(角色、专武、旅券掉落池!$K:$K,J26)&gt;0,VLOOKUP("主角装备红色",道具定价!$C:$F,4,0)*K26,0))))</f>
        <v/>
      </c>
      <c r="M26" s="88"/>
      <c r="N26" s="88"/>
      <c r="O26" s="88" t="str">
        <f>IF(M26="","",IF(M26="钻石",N26,IFERROR(VLOOKUP(M26,道具定价!$C:$F,4,0)*N26,IF(COUNTIF(角色、专武、旅券掉落池!$K:$K,M26)&gt;0,VLOOKUP("主角装备红色",道具定价!$C:$F,4,0)*N26,0))))</f>
        <v/>
      </c>
      <c r="P26" s="88">
        <f t="shared" si="0"/>
        <v>200</v>
      </c>
      <c r="Q26" s="89" t="s">
        <v>2581</v>
      </c>
    </row>
    <row r="27" spans="1:17">
      <c r="A27" s="88">
        <v>3</v>
      </c>
      <c r="B27" s="88" t="s">
        <v>2592</v>
      </c>
      <c r="C27" s="88">
        <v>2</v>
      </c>
      <c r="D27" s="88" t="s">
        <v>5</v>
      </c>
      <c r="E27" s="88">
        <v>50</v>
      </c>
      <c r="F27" s="88">
        <f>IF(D27="","",IF(D27="钻石",E27,IFERROR(VLOOKUP(D27,道具定价!$C:$F,4,0)*E27,IF(COUNTIF(角色、专武、旅券掉落池!$K:$K,D27)&gt;0,VLOOKUP("主角装备红色",道具定价!$C:$F,4,0)*E27,0))))</f>
        <v>50</v>
      </c>
      <c r="G27" s="88" t="s">
        <v>6</v>
      </c>
      <c r="H27" s="88">
        <v>2</v>
      </c>
      <c r="I27" s="88">
        <f>IF(G27="","",IF(G27="钻石",H27,IFERROR(VLOOKUP(G27,道具定价!$C:$F,4,0)*H27,IF(COUNTIF(角色、专武、旅券掉落池!$K:$K,G27)&gt;0,VLOOKUP("主角装备红色",道具定价!$C:$F,4,0)*H27,0))))</f>
        <v>300</v>
      </c>
      <c r="J27" s="88"/>
      <c r="K27" s="88"/>
      <c r="L27" s="88" t="str">
        <f>IF(J27="","",IF(J27="钻石",K27,IFERROR(VLOOKUP(J27,道具定价!$C:$F,4,0)*K27,IF(COUNTIF(角色、专武、旅券掉落池!$K:$K,J27)&gt;0,VLOOKUP("主角装备红色",道具定价!$C:$F,4,0)*K27,0))))</f>
        <v/>
      </c>
      <c r="M27" s="88"/>
      <c r="N27" s="88"/>
      <c r="O27" s="88" t="str">
        <f>IF(M27="","",IF(M27="钻石",N27,IFERROR(VLOOKUP(M27,道具定价!$C:$F,4,0)*N27,IF(COUNTIF(角色、专武、旅券掉落池!$K:$K,M27)&gt;0,VLOOKUP("主角装备红色",道具定价!$C:$F,4,0)*N27,0))))</f>
        <v/>
      </c>
      <c r="P27" s="88">
        <f t="shared" si="0"/>
        <v>350</v>
      </c>
      <c r="Q27" s="89" t="s">
        <v>2581</v>
      </c>
    </row>
    <row r="28" spans="1:17">
      <c r="A28" s="88">
        <v>3</v>
      </c>
      <c r="B28" s="88" t="s">
        <v>2592</v>
      </c>
      <c r="C28" s="88">
        <v>3</v>
      </c>
      <c r="D28" s="88" t="s">
        <v>5</v>
      </c>
      <c r="E28" s="88">
        <v>50</v>
      </c>
      <c r="F28" s="88">
        <f>IF(D28="","",IF(D28="钻石",E28,IFERROR(VLOOKUP(D28,道具定价!$C:$F,4,0)*E28,IF(COUNTIF(角色、专武、旅券掉落池!$K:$K,D28)&gt;0,VLOOKUP("主角装备红色",道具定价!$C:$F,4,0)*E28,0))))</f>
        <v>50</v>
      </c>
      <c r="G28" s="88" t="s">
        <v>6</v>
      </c>
      <c r="H28" s="88">
        <v>2</v>
      </c>
      <c r="I28" s="88">
        <f>IF(G28="","",IF(G28="钻石",H28,IFERROR(VLOOKUP(G28,道具定价!$C:$F,4,0)*H28,IF(COUNTIF(角色、专武、旅券掉落池!$K:$K,G28)&gt;0,VLOOKUP("主角装备红色",道具定价!$C:$F,4,0)*H28,0))))</f>
        <v>300</v>
      </c>
      <c r="J28" s="88"/>
      <c r="K28" s="88"/>
      <c r="L28" s="88" t="str">
        <f>IF(J28="","",IF(J28="钻石",K28,IFERROR(VLOOKUP(J28,道具定价!$C:$F,4,0)*K28,IF(COUNTIF(角色、专武、旅券掉落池!$K:$K,J28)&gt;0,VLOOKUP("主角装备红色",道具定价!$C:$F,4,0)*K28,0))))</f>
        <v/>
      </c>
      <c r="M28" s="88"/>
      <c r="N28" s="88"/>
      <c r="O28" s="88" t="str">
        <f>IF(M28="","",IF(M28="钻石",N28,IFERROR(VLOOKUP(M28,道具定价!$C:$F,4,0)*N28,IF(COUNTIF(角色、专武、旅券掉落池!$K:$K,M28)&gt;0,VLOOKUP("主角装备红色",道具定价!$C:$F,4,0)*N28,0))))</f>
        <v/>
      </c>
      <c r="P28" s="88">
        <f t="shared" si="0"/>
        <v>350</v>
      </c>
      <c r="Q28" s="89" t="s">
        <v>2581</v>
      </c>
    </row>
    <row r="29" spans="1:17">
      <c r="A29" s="88">
        <v>3</v>
      </c>
      <c r="B29" s="88" t="s">
        <v>2592</v>
      </c>
      <c r="C29" s="88">
        <v>4</v>
      </c>
      <c r="D29" s="88" t="s">
        <v>5</v>
      </c>
      <c r="E29" s="88">
        <v>50</v>
      </c>
      <c r="F29" s="88">
        <f>IF(D29="","",IF(D29="钻石",E29,IFERROR(VLOOKUP(D29,道具定价!$C:$F,4,0)*E29,IF(COUNTIF(角色、专武、旅券掉落池!$K:$K,D29)&gt;0,VLOOKUP("主角装备红色",道具定价!$C:$F,4,0)*E29,0))))</f>
        <v>50</v>
      </c>
      <c r="G29" s="90" t="s">
        <v>7</v>
      </c>
      <c r="H29" s="88">
        <v>2</v>
      </c>
      <c r="I29" s="88">
        <f>IF(G29="","",IF(G29="钻石",H29,IFERROR(VLOOKUP(G29,道具定价!$C:$F,4,0)*H29,IF(COUNTIF(角色、专武、旅券掉落池!$K:$K,G29)&gt;0,VLOOKUP("主角装备红色",道具定价!$C:$F,4,0)*H29,0))))</f>
        <v>300</v>
      </c>
      <c r="J29" s="88"/>
      <c r="K29" s="88"/>
      <c r="L29" s="88" t="str">
        <f>IF(J29="","",IF(J29="钻石",K29,IFERROR(VLOOKUP(J29,道具定价!$C:$F,4,0)*K29,IF(COUNTIF(角色、专武、旅券掉落池!$K:$K,J29)&gt;0,VLOOKUP("主角装备红色",道具定价!$C:$F,4,0)*K29,0))))</f>
        <v/>
      </c>
      <c r="M29" s="88"/>
      <c r="N29" s="88"/>
      <c r="O29" s="88" t="str">
        <f>IF(M29="","",IF(M29="钻石",N29,IFERROR(VLOOKUP(M29,道具定价!$C:$F,4,0)*N29,IF(COUNTIF(角色、专武、旅券掉落池!$K:$K,M29)&gt;0,VLOOKUP("主角装备红色",道具定价!$C:$F,4,0)*N29,0))))</f>
        <v/>
      </c>
      <c r="P29" s="88">
        <f t="shared" si="0"/>
        <v>350</v>
      </c>
      <c r="Q29" s="89" t="s">
        <v>2581</v>
      </c>
    </row>
    <row r="30" spans="1:17">
      <c r="A30" s="88">
        <v>3</v>
      </c>
      <c r="B30" s="88" t="s">
        <v>2592</v>
      </c>
      <c r="C30" s="88">
        <v>5</v>
      </c>
      <c r="D30" s="88" t="s">
        <v>5</v>
      </c>
      <c r="E30" s="88">
        <v>50</v>
      </c>
      <c r="F30" s="88">
        <f>IF(D30="","",IF(D30="钻石",E30,IFERROR(VLOOKUP(D30,道具定价!$C:$F,4,0)*E30,IF(COUNTIF(角色、专武、旅券掉落池!$K:$K,D30)&gt;0,VLOOKUP("主角装备红色",道具定价!$C:$F,4,0)*E30,0))))</f>
        <v>50</v>
      </c>
      <c r="G30" s="90" t="s">
        <v>7</v>
      </c>
      <c r="H30" s="88">
        <v>3</v>
      </c>
      <c r="I30" s="88">
        <f>IF(G30="","",IF(G30="钻石",H30,IFERROR(VLOOKUP(G30,道具定价!$C:$F,4,0)*H30,IF(COUNTIF(角色、专武、旅券掉落池!$K:$K,G30)&gt;0,VLOOKUP("主角装备红色",道具定价!$C:$F,4,0)*H30,0))))</f>
        <v>450</v>
      </c>
      <c r="J30" s="88"/>
      <c r="K30" s="88"/>
      <c r="L30" s="88" t="str">
        <f>IF(J30="","",IF(J30="钻石",K30,IFERROR(VLOOKUP(J30,道具定价!$C:$F,4,0)*K30,IF(COUNTIF(角色、专武、旅券掉落池!$K:$K,J30)&gt;0,VLOOKUP("主角装备红色",道具定价!$C:$F,4,0)*K30,0))))</f>
        <v/>
      </c>
      <c r="M30" s="88"/>
      <c r="N30" s="88"/>
      <c r="O30" s="88" t="str">
        <f>IF(M30="","",IF(M30="钻石",N30,IFERROR(VLOOKUP(M30,道具定价!$C:$F,4,0)*N30,IF(COUNTIF(角色、专武、旅券掉落池!$K:$K,M30)&gt;0,VLOOKUP("主角装备红色",道具定价!$C:$F,4,0)*N30,0))))</f>
        <v/>
      </c>
      <c r="P30" s="88">
        <f t="shared" si="0"/>
        <v>500</v>
      </c>
      <c r="Q30" s="89" t="s">
        <v>2582</v>
      </c>
    </row>
    <row r="31" spans="1:17">
      <c r="A31" s="88">
        <v>3</v>
      </c>
      <c r="B31" s="88" t="s">
        <v>2592</v>
      </c>
      <c r="C31" s="88">
        <v>6</v>
      </c>
      <c r="D31" s="88" t="s">
        <v>5</v>
      </c>
      <c r="E31" s="88">
        <v>100</v>
      </c>
      <c r="F31" s="88">
        <f>IF(D31="","",IF(D31="钻石",E31,IFERROR(VLOOKUP(D31,道具定价!$C:$F,4,0)*E31,IF(COUNTIF(角色、专武、旅券掉落池!$K:$K,D31)&gt;0,VLOOKUP("主角装备红色",道具定价!$C:$F,4,0)*E31,0))))</f>
        <v>100</v>
      </c>
      <c r="G31" s="90" t="s">
        <v>665</v>
      </c>
      <c r="H31" s="88">
        <v>1</v>
      </c>
      <c r="I31" s="88">
        <f>IF(G31="","",IF(G31="钻石",H31,IFERROR(VLOOKUP(G31,道具定价!$C:$F,4,0)*H31,IF(COUNTIF(角色、专武、旅券掉落池!$K:$K,G31)&gt;0,VLOOKUP("主角装备红色",道具定价!$C:$F,4,0)*H31,0))))</f>
        <v>500</v>
      </c>
      <c r="J31" s="88"/>
      <c r="K31" s="88"/>
      <c r="L31" s="88" t="str">
        <f>IF(J31="","",IF(J31="钻石",K31,IFERROR(VLOOKUP(J31,道具定价!$C:$F,4,0)*K31,IF(COUNTIF(角色、专武、旅券掉落池!$K:$K,J31)&gt;0,VLOOKUP("主角装备红色",道具定价!$C:$F,4,0)*K31,0))))</f>
        <v/>
      </c>
      <c r="M31" s="88"/>
      <c r="N31" s="88"/>
      <c r="O31" s="88" t="str">
        <f>IF(M31="","",IF(M31="钻石",N31,IFERROR(VLOOKUP(M31,道具定价!$C:$F,4,0)*N31,IF(COUNTIF(角色、专武、旅券掉落池!$K:$K,M31)&gt;0,VLOOKUP("主角装备红色",道具定价!$C:$F,4,0)*N31,0))))</f>
        <v/>
      </c>
      <c r="P31" s="88">
        <f t="shared" si="0"/>
        <v>600</v>
      </c>
      <c r="Q31" s="89" t="s">
        <v>2581</v>
      </c>
    </row>
    <row r="32" spans="1:17">
      <c r="A32" s="88">
        <v>3</v>
      </c>
      <c r="B32" s="88" t="s">
        <v>2592</v>
      </c>
      <c r="C32" s="88">
        <v>7</v>
      </c>
      <c r="D32" s="88" t="s">
        <v>5</v>
      </c>
      <c r="E32" s="88">
        <v>100</v>
      </c>
      <c r="F32" s="88">
        <f>IF(D32="","",IF(D32="钻石",E32,IFERROR(VLOOKUP(D32,道具定价!$C:$F,4,0)*E32,IF(COUNTIF(角色、专武、旅券掉落池!$K:$K,D32)&gt;0,VLOOKUP("主角装备红色",道具定价!$C:$F,4,0)*E32,0))))</f>
        <v>100</v>
      </c>
      <c r="G32" s="88" t="s">
        <v>701</v>
      </c>
      <c r="H32" s="88">
        <v>2</v>
      </c>
      <c r="I32" s="88">
        <f>IF(G32="","",IF(G32="钻石",H32,IFERROR(VLOOKUP(G32,道具定价!$C:$F,4,0)*H32,IF(COUNTIF(角色、专武、旅券掉落池!$K:$K,G32)&gt;0,VLOOKUP("主角装备红色",道具定价!$C:$F,4,0)*H32,0))))</f>
        <v>100</v>
      </c>
      <c r="J32" s="88"/>
      <c r="K32" s="88"/>
      <c r="L32" s="88" t="str">
        <f>IF(J32="","",IF(J32="钻石",K32,IFERROR(VLOOKUP(J32,道具定价!$C:$F,4,0)*K32,IF(COUNTIF(角色、专武、旅券掉落池!$K:$K,J32)&gt;0,VLOOKUP("主角装备红色",道具定价!$C:$F,4,0)*K32,0))))</f>
        <v/>
      </c>
      <c r="M32" s="88"/>
      <c r="N32" s="88"/>
      <c r="O32" s="88" t="str">
        <f>IF(M32="","",IF(M32="钻石",N32,IFERROR(VLOOKUP(M32,道具定价!$C:$F,4,0)*N32,IF(COUNTIF(角色、专武、旅券掉落池!$K:$K,M32)&gt;0,VLOOKUP("主角装备红色",道具定价!$C:$F,4,0)*N32,0))))</f>
        <v/>
      </c>
      <c r="P32" s="88">
        <f t="shared" si="0"/>
        <v>200</v>
      </c>
      <c r="Q32" s="89" t="s">
        <v>2593</v>
      </c>
    </row>
    <row r="33" spans="1:17">
      <c r="A33" s="88">
        <v>3</v>
      </c>
      <c r="B33" s="88" t="s">
        <v>2592</v>
      </c>
      <c r="C33" s="88">
        <v>8</v>
      </c>
      <c r="D33" s="88" t="s">
        <v>5</v>
      </c>
      <c r="E33" s="88">
        <v>100</v>
      </c>
      <c r="F33" s="88">
        <f>IF(D33="","",IF(D33="钻石",E33,IFERROR(VLOOKUP(D33,道具定价!$C:$F,4,0)*E33,IF(COUNTIF(角色、专武、旅券掉落池!$K:$K,D33)&gt;0,VLOOKUP("主角装备红色",道具定价!$C:$F,4,0)*E33,0))))</f>
        <v>100</v>
      </c>
      <c r="G33" s="88" t="s">
        <v>701</v>
      </c>
      <c r="H33" s="88">
        <v>2</v>
      </c>
      <c r="I33" s="88">
        <f>IF(G33="","",IF(G33="钻石",H33,IFERROR(VLOOKUP(G33,道具定价!$C:$F,4,0)*H33,IF(COUNTIF(角色、专武、旅券掉落池!$K:$K,G33)&gt;0,VLOOKUP("主角装备红色",道具定价!$C:$F,4,0)*H33,0))))</f>
        <v>100</v>
      </c>
      <c r="J33" s="88"/>
      <c r="K33" s="88"/>
      <c r="L33" s="88" t="str">
        <f>IF(J33="","",IF(J33="钻石",K33,IFERROR(VLOOKUP(J33,道具定价!$C:$F,4,0)*K33,IF(COUNTIF(角色、专武、旅券掉落池!$K:$K,J33)&gt;0,VLOOKUP("主角装备红色",道具定价!$C:$F,4,0)*K33,0))))</f>
        <v/>
      </c>
      <c r="M33" s="88"/>
      <c r="N33" s="88"/>
      <c r="O33" s="88" t="str">
        <f>IF(M33="","",IF(M33="钻石",N33,IFERROR(VLOOKUP(M33,道具定价!$C:$F,4,0)*N33,IF(COUNTIF(角色、专武、旅券掉落池!$K:$K,M33)&gt;0,VLOOKUP("主角装备红色",道具定价!$C:$F,4,0)*N33,0))))</f>
        <v/>
      </c>
      <c r="P33" s="88">
        <f t="shared" si="0"/>
        <v>200</v>
      </c>
      <c r="Q33" s="89" t="s">
        <v>2594</v>
      </c>
    </row>
    <row r="34" ht="28.5" customHeight="1" spans="1:17">
      <c r="A34" s="88">
        <v>3</v>
      </c>
      <c r="B34" s="88" t="s">
        <v>2592</v>
      </c>
      <c r="C34" s="88">
        <v>9</v>
      </c>
      <c r="D34" s="88" t="s">
        <v>5</v>
      </c>
      <c r="E34" s="88">
        <v>200</v>
      </c>
      <c r="F34" s="88">
        <f>IF(D34="","",IF(D34="钻石",E34,IFERROR(VLOOKUP(D34,道具定价!$C:$F,4,0)*E34,IF(COUNTIF(角色、专武、旅券掉落池!$K:$K,D34)&gt;0,VLOOKUP("主角装备红色",道具定价!$C:$F,4,0)*E34,0))))</f>
        <v>200</v>
      </c>
      <c r="G34" s="88" t="s">
        <v>701</v>
      </c>
      <c r="H34" s="88">
        <v>2</v>
      </c>
      <c r="I34" s="88">
        <f>IF(G34="","",IF(G34="钻石",H34,IFERROR(VLOOKUP(G34,道具定价!$C:$F,4,0)*H34,IF(COUNTIF(角色、专武、旅券掉落池!$K:$K,G34)&gt;0,VLOOKUP("主角装备红色",道具定价!$C:$F,4,0)*H34,0))))</f>
        <v>100</v>
      </c>
      <c r="J34" s="88"/>
      <c r="K34" s="88"/>
      <c r="L34" s="88" t="str">
        <f>IF(J34="","",IF(J34="钻石",K34,IFERROR(VLOOKUP(J34,道具定价!$C:$F,4,0)*K34,IF(COUNTIF(角色、专武、旅券掉落池!$K:$K,J34)&gt;0,VLOOKUP("主角装备红色",道具定价!$C:$F,4,0)*K34,0))))</f>
        <v/>
      </c>
      <c r="M34" s="88"/>
      <c r="N34" s="88"/>
      <c r="O34" s="88" t="str">
        <f>IF(M34="","",IF(M34="钻石",N34,IFERROR(VLOOKUP(M34,道具定价!$C:$F,4,0)*N34,IF(COUNTIF(角色、专武、旅券掉落池!$K:$K,M34)&gt;0,VLOOKUP("主角装备红色",道具定价!$C:$F,4,0)*N34,0))))</f>
        <v/>
      </c>
      <c r="P34" s="88">
        <f t="shared" si="0"/>
        <v>300</v>
      </c>
      <c r="Q34" s="89" t="s">
        <v>2595</v>
      </c>
    </row>
    <row r="35" spans="1:17">
      <c r="A35" s="88">
        <v>3</v>
      </c>
      <c r="B35" s="88" t="s">
        <v>2592</v>
      </c>
      <c r="C35" s="88">
        <v>10</v>
      </c>
      <c r="D35" s="88" t="s">
        <v>5</v>
      </c>
      <c r="E35" s="88">
        <v>200</v>
      </c>
      <c r="F35" s="88">
        <f>IF(D35="","",IF(D35="钻石",E35,IFERROR(VLOOKUP(D35,道具定价!$C:$F,4,0)*E35,IF(COUNTIF(角色、专武、旅券掉落池!$K:$K,D35)&gt;0,VLOOKUP("主角装备红色",道具定价!$C:$F,4,0)*E35,0))))</f>
        <v>200</v>
      </c>
      <c r="G35" s="90" t="s">
        <v>991</v>
      </c>
      <c r="H35" s="88">
        <v>1</v>
      </c>
      <c r="I35" s="88">
        <f>IF(G35="","",IF(G35="钻石",H35,IFERROR(VLOOKUP(G35,道具定价!$C:$F,4,0)*H35,IF(COUNTIF(角色、专武、旅券掉落池!$K:$K,G35)&gt;0,VLOOKUP("主角装备红色",道具定价!$C:$F,4,0)*H35,0))))</f>
        <v>1000</v>
      </c>
      <c r="J35" s="88"/>
      <c r="K35" s="88"/>
      <c r="L35" s="88" t="str">
        <f>IF(J35="","",IF(J35="钻石",K35,IFERROR(VLOOKUP(J35,道具定价!$C:$F,4,0)*K35,IF(COUNTIF(角色、专武、旅券掉落池!$K:$K,J35)&gt;0,VLOOKUP("主角装备红色",道具定价!$C:$F,4,0)*K35,0))))</f>
        <v/>
      </c>
      <c r="M35" s="88"/>
      <c r="N35" s="88"/>
      <c r="O35" s="88" t="str">
        <f>IF(M35="","",IF(M35="钻石",N35,IFERROR(VLOOKUP(M35,道具定价!$C:$F,4,0)*N35,IF(COUNTIF(角色、专武、旅券掉落池!$K:$K,M35)&gt;0,VLOOKUP("主角装备红色",道具定价!$C:$F,4,0)*N35,0))))</f>
        <v/>
      </c>
      <c r="P35" s="88">
        <f t="shared" si="0"/>
        <v>1200</v>
      </c>
      <c r="Q35" s="89" t="s">
        <v>2596</v>
      </c>
    </row>
    <row r="36" spans="1:17">
      <c r="A36" s="88">
        <v>4</v>
      </c>
      <c r="B36" s="88" t="s">
        <v>2597</v>
      </c>
      <c r="C36" s="88">
        <v>1</v>
      </c>
      <c r="D36" s="88" t="s">
        <v>5</v>
      </c>
      <c r="E36" s="88">
        <v>50</v>
      </c>
      <c r="F36" s="88">
        <f>IF(D36="","",IF(D36="钻石",E36,IFERROR(VLOOKUP(D36,道具定价!$C:$F,4,0)*E36,IF(COUNTIF(角色、专武、旅券掉落池!$K:$K,D36)&gt;0,VLOOKUP("主角装备红色",道具定价!$C:$F,4,0)*E36,0))))</f>
        <v>50</v>
      </c>
      <c r="G36" s="88" t="s">
        <v>6</v>
      </c>
      <c r="H36" s="88">
        <v>1</v>
      </c>
      <c r="I36" s="88">
        <f>IF(G36="","",IF(G36="钻石",H36,IFERROR(VLOOKUP(G36,道具定价!$C:$F,4,0)*H36,IF(COUNTIF(角色、专武、旅券掉落池!$K:$K,G36)&gt;0,VLOOKUP("主角装备红色",道具定价!$C:$F,4,0)*H36,0))))</f>
        <v>150</v>
      </c>
      <c r="J36" s="88"/>
      <c r="K36" s="88"/>
      <c r="L36" s="88" t="str">
        <f>IF(J36="","",IF(J36="钻石",K36,IFERROR(VLOOKUP(J36,道具定价!$C:$F,4,0)*K36,IF(COUNTIF(角色、专武、旅券掉落池!$K:$K,J36)&gt;0,VLOOKUP("主角装备红色",道具定价!$C:$F,4,0)*K36,0))))</f>
        <v/>
      </c>
      <c r="M36" s="88"/>
      <c r="N36" s="88"/>
      <c r="O36" s="88" t="str">
        <f>IF(M36="","",IF(M36="钻石",N36,IFERROR(VLOOKUP(M36,道具定价!$C:$F,4,0)*N36,IF(COUNTIF(角色、专武、旅券掉落池!$K:$K,M36)&gt;0,VLOOKUP("主角装备红色",道具定价!$C:$F,4,0)*N36,0))))</f>
        <v/>
      </c>
      <c r="P36" s="88">
        <f t="shared" si="0"/>
        <v>200</v>
      </c>
      <c r="Q36" s="89" t="s">
        <v>2581</v>
      </c>
    </row>
    <row r="37" spans="1:17">
      <c r="A37" s="88">
        <v>4</v>
      </c>
      <c r="B37" s="88" t="s">
        <v>2597</v>
      </c>
      <c r="C37" s="88">
        <v>2</v>
      </c>
      <c r="D37" s="88" t="s">
        <v>5</v>
      </c>
      <c r="E37" s="88">
        <v>50</v>
      </c>
      <c r="F37" s="88">
        <f>IF(D37="","",IF(D37="钻石",E37,IFERROR(VLOOKUP(D37,道具定价!$C:$F,4,0)*E37,IF(COUNTIF(角色、专武、旅券掉落池!$K:$K,D37)&gt;0,VLOOKUP("主角装备红色",道具定价!$C:$F,4,0)*E37,0))))</f>
        <v>50</v>
      </c>
      <c r="G37" s="88" t="s">
        <v>6</v>
      </c>
      <c r="H37" s="88">
        <v>2</v>
      </c>
      <c r="I37" s="88">
        <f>IF(G37="","",IF(G37="钻石",H37,IFERROR(VLOOKUP(G37,道具定价!$C:$F,4,0)*H37,IF(COUNTIF(角色、专武、旅券掉落池!$K:$K,G37)&gt;0,VLOOKUP("主角装备红色",道具定价!$C:$F,4,0)*H37,0))))</f>
        <v>300</v>
      </c>
      <c r="J37" s="88"/>
      <c r="K37" s="88"/>
      <c r="L37" s="88" t="str">
        <f>IF(J37="","",IF(J37="钻石",K37,IFERROR(VLOOKUP(J37,道具定价!$C:$F,4,0)*K37,IF(COUNTIF(角色、专武、旅券掉落池!$K:$K,J37)&gt;0,VLOOKUP("主角装备红色",道具定价!$C:$F,4,0)*K37,0))))</f>
        <v/>
      </c>
      <c r="M37" s="88"/>
      <c r="N37" s="88"/>
      <c r="O37" s="88" t="str">
        <f>IF(M37="","",IF(M37="钻石",N37,IFERROR(VLOOKUP(M37,道具定价!$C:$F,4,0)*N37,IF(COUNTIF(角色、专武、旅券掉落池!$K:$K,M37)&gt;0,VLOOKUP("主角装备红色",道具定价!$C:$F,4,0)*N37,0))))</f>
        <v/>
      </c>
      <c r="P37" s="88">
        <f t="shared" si="0"/>
        <v>350</v>
      </c>
      <c r="Q37" s="89" t="s">
        <v>2581</v>
      </c>
    </row>
    <row r="38" spans="1:17">
      <c r="A38" s="88">
        <v>4</v>
      </c>
      <c r="B38" s="88" t="s">
        <v>2597</v>
      </c>
      <c r="C38" s="88">
        <v>3</v>
      </c>
      <c r="D38" s="88" t="s">
        <v>5</v>
      </c>
      <c r="E38" s="88">
        <v>50</v>
      </c>
      <c r="F38" s="88">
        <f>IF(D38="","",IF(D38="钻石",E38,IFERROR(VLOOKUP(D38,道具定价!$C:$F,4,0)*E38,IF(COUNTIF(角色、专武、旅券掉落池!$K:$K,D38)&gt;0,VLOOKUP("主角装备红色",道具定价!$C:$F,4,0)*E38,0))))</f>
        <v>50</v>
      </c>
      <c r="G38" s="88" t="s">
        <v>6</v>
      </c>
      <c r="H38" s="88">
        <v>2</v>
      </c>
      <c r="I38" s="88">
        <f>IF(G38="","",IF(G38="钻石",H38,IFERROR(VLOOKUP(G38,道具定价!$C:$F,4,0)*H38,IF(COUNTIF(角色、专武、旅券掉落池!$K:$K,G38)&gt;0,VLOOKUP("主角装备红色",道具定价!$C:$F,4,0)*H38,0))))</f>
        <v>300</v>
      </c>
      <c r="J38" s="88"/>
      <c r="K38" s="88"/>
      <c r="L38" s="88" t="str">
        <f>IF(J38="","",IF(J38="钻石",K38,IFERROR(VLOOKUP(J38,道具定价!$C:$F,4,0)*K38,IF(COUNTIF(角色、专武、旅券掉落池!$K:$K,J38)&gt;0,VLOOKUP("主角装备红色",道具定价!$C:$F,4,0)*K38,0))))</f>
        <v/>
      </c>
      <c r="M38" s="88"/>
      <c r="N38" s="88"/>
      <c r="O38" s="88" t="str">
        <f>IF(M38="","",IF(M38="钻石",N38,IFERROR(VLOOKUP(M38,道具定价!$C:$F,4,0)*N38,IF(COUNTIF(角色、专武、旅券掉落池!$K:$K,M38)&gt;0,VLOOKUP("主角装备红色",道具定价!$C:$F,4,0)*N38,0))))</f>
        <v/>
      </c>
      <c r="P38" s="88">
        <f t="shared" si="0"/>
        <v>350</v>
      </c>
      <c r="Q38" s="89" t="s">
        <v>2581</v>
      </c>
    </row>
    <row r="39" spans="1:17">
      <c r="A39" s="88">
        <v>4</v>
      </c>
      <c r="B39" s="88" t="s">
        <v>2597</v>
      </c>
      <c r="C39" s="88">
        <v>4</v>
      </c>
      <c r="D39" s="88" t="s">
        <v>5</v>
      </c>
      <c r="E39" s="88">
        <v>50</v>
      </c>
      <c r="F39" s="88">
        <f>IF(D39="","",IF(D39="钻石",E39,IFERROR(VLOOKUP(D39,道具定价!$C:$F,4,0)*E39,IF(COUNTIF(角色、专武、旅券掉落池!$K:$K,D39)&gt;0,VLOOKUP("主角装备红色",道具定价!$C:$F,4,0)*E39,0))))</f>
        <v>50</v>
      </c>
      <c r="G39" s="90" t="s">
        <v>7</v>
      </c>
      <c r="H39" s="88">
        <v>2</v>
      </c>
      <c r="I39" s="88">
        <f>IF(G39="","",IF(G39="钻石",H39,IFERROR(VLOOKUP(G39,道具定价!$C:$F,4,0)*H39,IF(COUNTIF(角色、专武、旅券掉落池!$K:$K,G39)&gt;0,VLOOKUP("主角装备红色",道具定价!$C:$F,4,0)*H39,0))))</f>
        <v>300</v>
      </c>
      <c r="J39" s="88"/>
      <c r="K39" s="88"/>
      <c r="L39" s="88" t="str">
        <f>IF(J39="","",IF(J39="钻石",K39,IFERROR(VLOOKUP(J39,道具定价!$C:$F,4,0)*K39,IF(COUNTIF(角色、专武、旅券掉落池!$K:$K,J39)&gt;0,VLOOKUP("主角装备红色",道具定价!$C:$F,4,0)*K39,0))))</f>
        <v/>
      </c>
      <c r="M39" s="88"/>
      <c r="N39" s="88"/>
      <c r="O39" s="88" t="str">
        <f>IF(M39="","",IF(M39="钻石",N39,IFERROR(VLOOKUP(M39,道具定价!$C:$F,4,0)*N39,IF(COUNTIF(角色、专武、旅券掉落池!$K:$K,M39)&gt;0,VLOOKUP("主角装备红色",道具定价!$C:$F,4,0)*N39,0))))</f>
        <v/>
      </c>
      <c r="P39" s="88">
        <f t="shared" si="0"/>
        <v>350</v>
      </c>
      <c r="Q39" s="89" t="s">
        <v>2581</v>
      </c>
    </row>
    <row r="40" spans="1:17">
      <c r="A40" s="88">
        <v>4</v>
      </c>
      <c r="B40" s="88" t="s">
        <v>2597</v>
      </c>
      <c r="C40" s="88">
        <v>5</v>
      </c>
      <c r="D40" s="88" t="s">
        <v>5</v>
      </c>
      <c r="E40" s="88">
        <v>50</v>
      </c>
      <c r="F40" s="88">
        <f>IF(D40="","",IF(D40="钻石",E40,IFERROR(VLOOKUP(D40,道具定价!$C:$F,4,0)*E40,IF(COUNTIF(角色、专武、旅券掉落池!$K:$K,D40)&gt;0,VLOOKUP("主角装备红色",道具定价!$C:$F,4,0)*E40,0))))</f>
        <v>50</v>
      </c>
      <c r="G40" s="90" t="s">
        <v>7</v>
      </c>
      <c r="H40" s="88">
        <v>3</v>
      </c>
      <c r="I40" s="88">
        <f>IF(G40="","",IF(G40="钻石",H40,IFERROR(VLOOKUP(G40,道具定价!$C:$F,4,0)*H40,IF(COUNTIF(角色、专武、旅券掉落池!$K:$K,G40)&gt;0,VLOOKUP("主角装备红色",道具定价!$C:$F,4,0)*H40,0))))</f>
        <v>450</v>
      </c>
      <c r="J40" s="88"/>
      <c r="K40" s="88"/>
      <c r="L40" s="88" t="str">
        <f>IF(J40="","",IF(J40="钻石",K40,IFERROR(VLOOKUP(J40,道具定价!$C:$F,4,0)*K40,IF(COUNTIF(角色、专武、旅券掉落池!$K:$K,J40)&gt;0,VLOOKUP("主角装备红色",道具定价!$C:$F,4,0)*K40,0))))</f>
        <v/>
      </c>
      <c r="M40" s="88"/>
      <c r="N40" s="88"/>
      <c r="O40" s="88" t="str">
        <f>IF(M40="","",IF(M40="钻石",N40,IFERROR(VLOOKUP(M40,道具定价!$C:$F,4,0)*N40,IF(COUNTIF(角色、专武、旅券掉落池!$K:$K,M40)&gt;0,VLOOKUP("主角装备红色",道具定价!$C:$F,4,0)*N40,0))))</f>
        <v/>
      </c>
      <c r="P40" s="88">
        <f t="shared" si="0"/>
        <v>500</v>
      </c>
      <c r="Q40" s="89" t="s">
        <v>2582</v>
      </c>
    </row>
    <row r="41" spans="1:17">
      <c r="A41" s="88">
        <v>4</v>
      </c>
      <c r="B41" s="88" t="s">
        <v>2597</v>
      </c>
      <c r="C41" s="88">
        <v>6</v>
      </c>
      <c r="D41" s="88" t="s">
        <v>5</v>
      </c>
      <c r="E41" s="88">
        <v>100</v>
      </c>
      <c r="F41" s="88">
        <f>IF(D41="","",IF(D41="钻石",E41,IFERROR(VLOOKUP(D41,道具定价!$C:$F,4,0)*E41,IF(COUNTIF(角色、专武、旅券掉落池!$K:$K,D41)&gt;0,VLOOKUP("主角装备红色",道具定价!$C:$F,4,0)*E41,0))))</f>
        <v>100</v>
      </c>
      <c r="G41" s="90" t="s">
        <v>665</v>
      </c>
      <c r="H41" s="88">
        <v>1</v>
      </c>
      <c r="I41" s="88">
        <f>IF(G41="","",IF(G41="钻石",H41,IFERROR(VLOOKUP(G41,道具定价!$C:$F,4,0)*H41,IF(COUNTIF(角色、专武、旅券掉落池!$K:$K,G41)&gt;0,VLOOKUP("主角装备红色",道具定价!$C:$F,4,0)*H41,0))))</f>
        <v>500</v>
      </c>
      <c r="J41" s="88"/>
      <c r="K41" s="88"/>
      <c r="L41" s="88" t="str">
        <f>IF(J41="","",IF(J41="钻石",K41,IFERROR(VLOOKUP(J41,道具定价!$C:$F,4,0)*K41,IF(COUNTIF(角色、专武、旅券掉落池!$K:$K,J41)&gt;0,VLOOKUP("主角装备红色",道具定价!$C:$F,4,0)*K41,0))))</f>
        <v/>
      </c>
      <c r="M41" s="88"/>
      <c r="N41" s="88"/>
      <c r="O41" s="88" t="str">
        <f>IF(M41="","",IF(M41="钻石",N41,IFERROR(VLOOKUP(M41,道具定价!$C:$F,4,0)*N41,IF(COUNTIF(角色、专武、旅券掉落池!$K:$K,M41)&gt;0,VLOOKUP("主角装备红色",道具定价!$C:$F,4,0)*N41,0))))</f>
        <v/>
      </c>
      <c r="P41" s="88">
        <f t="shared" si="0"/>
        <v>600</v>
      </c>
      <c r="Q41" s="89" t="s">
        <v>2581</v>
      </c>
    </row>
    <row r="42" spans="1:17">
      <c r="A42" s="88">
        <v>4</v>
      </c>
      <c r="B42" s="88" t="s">
        <v>2597</v>
      </c>
      <c r="C42" s="88">
        <v>7</v>
      </c>
      <c r="D42" s="88" t="s">
        <v>5</v>
      </c>
      <c r="E42" s="88">
        <v>100</v>
      </c>
      <c r="F42" s="88">
        <f>IF(D42="","",IF(D42="钻石",E42,IFERROR(VLOOKUP(D42,道具定价!$C:$F,4,0)*E42,IF(COUNTIF(角色、专武、旅券掉落池!$K:$K,D42)&gt;0,VLOOKUP("主角装备红色",道具定价!$C:$F,4,0)*E42,0))))</f>
        <v>100</v>
      </c>
      <c r="G42" s="88" t="s">
        <v>701</v>
      </c>
      <c r="H42" s="88">
        <v>2</v>
      </c>
      <c r="I42" s="88">
        <f>IF(G42="","",IF(G42="钻石",H42,IFERROR(VLOOKUP(G42,道具定价!$C:$F,4,0)*H42,IF(COUNTIF(角色、专武、旅券掉落池!$K:$K,G42)&gt;0,VLOOKUP("主角装备红色",道具定价!$C:$F,4,0)*H42,0))))</f>
        <v>100</v>
      </c>
      <c r="J42" s="88"/>
      <c r="K42" s="88"/>
      <c r="L42" s="88" t="str">
        <f>IF(J42="","",IF(J42="钻石",K42,IFERROR(VLOOKUP(J42,道具定价!$C:$F,4,0)*K42,IF(COUNTIF(角色、专武、旅券掉落池!$K:$K,J42)&gt;0,VLOOKUP("主角装备红色",道具定价!$C:$F,4,0)*K42,0))))</f>
        <v/>
      </c>
      <c r="M42" s="88"/>
      <c r="N42" s="88"/>
      <c r="O42" s="88" t="str">
        <f>IF(M42="","",IF(M42="钻石",N42,IFERROR(VLOOKUP(M42,道具定价!$C:$F,4,0)*N42,IF(COUNTIF(角色、专武、旅券掉落池!$K:$K,M42)&gt;0,VLOOKUP("主角装备红色",道具定价!$C:$F,4,0)*N42,0))))</f>
        <v/>
      </c>
      <c r="P42" s="88">
        <f t="shared" si="0"/>
        <v>200</v>
      </c>
      <c r="Q42" s="89" t="s">
        <v>2598</v>
      </c>
    </row>
    <row r="43" spans="1:17">
      <c r="A43" s="88">
        <v>4</v>
      </c>
      <c r="B43" s="88" t="s">
        <v>2597</v>
      </c>
      <c r="C43" s="88">
        <v>8</v>
      </c>
      <c r="D43" s="88" t="s">
        <v>5</v>
      </c>
      <c r="E43" s="88">
        <v>100</v>
      </c>
      <c r="F43" s="88">
        <f>IF(D43="","",IF(D43="钻石",E43,IFERROR(VLOOKUP(D43,道具定价!$C:$F,4,0)*E43,IF(COUNTIF(角色、专武、旅券掉落池!$K:$K,D43)&gt;0,VLOOKUP("主角装备红色",道具定价!$C:$F,4,0)*E43,0))))</f>
        <v>100</v>
      </c>
      <c r="G43" s="88" t="s">
        <v>701</v>
      </c>
      <c r="H43" s="88">
        <v>2</v>
      </c>
      <c r="I43" s="88">
        <f>IF(G43="","",IF(G43="钻石",H43,IFERROR(VLOOKUP(G43,道具定价!$C:$F,4,0)*H43,IF(COUNTIF(角色、专武、旅券掉落池!$K:$K,G43)&gt;0,VLOOKUP("主角装备红色",道具定价!$C:$F,4,0)*H43,0))))</f>
        <v>100</v>
      </c>
      <c r="J43" s="88"/>
      <c r="K43" s="88"/>
      <c r="L43" s="88" t="str">
        <f>IF(J43="","",IF(J43="钻石",K43,IFERROR(VLOOKUP(J43,道具定价!$C:$F,4,0)*K43,IF(COUNTIF(角色、专武、旅券掉落池!$K:$K,J43)&gt;0,VLOOKUP("主角装备红色",道具定价!$C:$F,4,0)*K43,0))))</f>
        <v/>
      </c>
      <c r="M43" s="88"/>
      <c r="N43" s="88"/>
      <c r="O43" s="88" t="str">
        <f>IF(M43="","",IF(M43="钻石",N43,IFERROR(VLOOKUP(M43,道具定价!$C:$F,4,0)*N43,IF(COUNTIF(角色、专武、旅券掉落池!$K:$K,M43)&gt;0,VLOOKUP("主角装备红色",道具定价!$C:$F,4,0)*N43,0))))</f>
        <v/>
      </c>
      <c r="P43" s="88">
        <f t="shared" si="0"/>
        <v>200</v>
      </c>
      <c r="Q43" s="89" t="s">
        <v>2599</v>
      </c>
    </row>
    <row r="44" ht="28.5" customHeight="1" spans="1:17">
      <c r="A44" s="88">
        <v>4</v>
      </c>
      <c r="B44" s="88" t="s">
        <v>2597</v>
      </c>
      <c r="C44" s="88">
        <v>9</v>
      </c>
      <c r="D44" s="88" t="s">
        <v>5</v>
      </c>
      <c r="E44" s="88">
        <v>200</v>
      </c>
      <c r="F44" s="88">
        <f>IF(D44="","",IF(D44="钻石",E44,IFERROR(VLOOKUP(D44,道具定价!$C:$F,4,0)*E44,IF(COUNTIF(角色、专武、旅券掉落池!$K:$K,D44)&gt;0,VLOOKUP("主角装备红色",道具定价!$C:$F,4,0)*E44,0))))</f>
        <v>200</v>
      </c>
      <c r="G44" s="88" t="s">
        <v>701</v>
      </c>
      <c r="H44" s="88">
        <v>2</v>
      </c>
      <c r="I44" s="88">
        <f>IF(G44="","",IF(G44="钻石",H44,IFERROR(VLOOKUP(G44,道具定价!$C:$F,4,0)*H44,IF(COUNTIF(角色、专武、旅券掉落池!$K:$K,G44)&gt;0,VLOOKUP("主角装备红色",道具定价!$C:$F,4,0)*H44,0))))</f>
        <v>100</v>
      </c>
      <c r="J44" s="88"/>
      <c r="K44" s="88"/>
      <c r="L44" s="88" t="str">
        <f>IF(J44="","",IF(J44="钻石",K44,IFERROR(VLOOKUP(J44,道具定价!$C:$F,4,0)*K44,IF(COUNTIF(角色、专武、旅券掉落池!$K:$K,J44)&gt;0,VLOOKUP("主角装备红色",道具定价!$C:$F,4,0)*K44,0))))</f>
        <v/>
      </c>
      <c r="M44" s="88"/>
      <c r="N44" s="88"/>
      <c r="O44" s="88" t="str">
        <f>IF(M44="","",IF(M44="钻石",N44,IFERROR(VLOOKUP(M44,道具定价!$C:$F,4,0)*N44,IF(COUNTIF(角色、专武、旅券掉落池!$K:$K,M44)&gt;0,VLOOKUP("主角装备红色",道具定价!$C:$F,4,0)*N44,0))))</f>
        <v/>
      </c>
      <c r="P44" s="88">
        <f t="shared" si="0"/>
        <v>300</v>
      </c>
      <c r="Q44" s="89" t="s">
        <v>2600</v>
      </c>
    </row>
    <row r="45" spans="1:17">
      <c r="A45" s="88">
        <v>4</v>
      </c>
      <c r="B45" s="88" t="s">
        <v>2597</v>
      </c>
      <c r="C45" s="88">
        <v>10</v>
      </c>
      <c r="D45" s="88" t="s">
        <v>5</v>
      </c>
      <c r="E45" s="88">
        <v>200</v>
      </c>
      <c r="F45" s="88">
        <f>IF(D45="","",IF(D45="钻石",E45,IFERROR(VLOOKUP(D45,道具定价!$C:$F,4,0)*E45,IF(COUNTIF(角色、专武、旅券掉落池!$K:$K,D45)&gt;0,VLOOKUP("主角装备红色",道具定价!$C:$F,4,0)*E45,0))))</f>
        <v>200</v>
      </c>
      <c r="G45" s="90" t="s">
        <v>999</v>
      </c>
      <c r="H45" s="88">
        <v>1</v>
      </c>
      <c r="I45" s="88">
        <f>IF(G45="","",IF(G45="钻石",H45,IFERROR(VLOOKUP(G45,道具定价!$C:$F,4,0)*H45,IF(COUNTIF(角色、专武、旅券掉落池!$K:$K,G45)&gt;0,VLOOKUP("主角装备红色",道具定价!$C:$F,4,0)*H45,0))))</f>
        <v>1000</v>
      </c>
      <c r="J45" s="88"/>
      <c r="K45" s="88"/>
      <c r="L45" s="88" t="str">
        <f>IF(J45="","",IF(J45="钻石",K45,IFERROR(VLOOKUP(J45,道具定价!$C:$F,4,0)*K45,IF(COUNTIF(角色、专武、旅券掉落池!$K:$K,J45)&gt;0,VLOOKUP("主角装备红色",道具定价!$C:$F,4,0)*K45,0))))</f>
        <v/>
      </c>
      <c r="M45" s="88"/>
      <c r="N45" s="88"/>
      <c r="O45" s="88" t="str">
        <f>IF(M45="","",IF(M45="钻石",N45,IFERROR(VLOOKUP(M45,道具定价!$C:$F,4,0)*N45,IF(COUNTIF(角色、专武、旅券掉落池!$K:$K,M45)&gt;0,VLOOKUP("主角装备红色",道具定价!$C:$F,4,0)*N45,0))))</f>
        <v/>
      </c>
      <c r="P45" s="88">
        <f t="shared" si="0"/>
        <v>1200</v>
      </c>
      <c r="Q45" s="89" t="s">
        <v>2601</v>
      </c>
    </row>
    <row r="46" spans="1:17">
      <c r="A46" s="88">
        <v>5</v>
      </c>
      <c r="B46" s="88" t="s">
        <v>2602</v>
      </c>
      <c r="C46" s="88">
        <v>1</v>
      </c>
      <c r="D46" s="88" t="s">
        <v>5</v>
      </c>
      <c r="E46" s="88">
        <v>50</v>
      </c>
      <c r="F46" s="88">
        <f>IF(D46="","",IF(D46="钻石",E46,IFERROR(VLOOKUP(D46,道具定价!$C:$F,4,0)*E46,IF(COUNTIF(角色、专武、旅券掉落池!$K:$K,D46)&gt;0,VLOOKUP("主角装备红色",道具定价!$C:$F,4,0)*E46,0))))</f>
        <v>50</v>
      </c>
      <c r="G46" s="88" t="s">
        <v>6</v>
      </c>
      <c r="H46" s="88">
        <v>1</v>
      </c>
      <c r="I46" s="88">
        <f>IF(G46="","",IF(G46="钻石",H46,IFERROR(VLOOKUP(G46,道具定价!$C:$F,4,0)*H46,IF(COUNTIF(角色、专武、旅券掉落池!$K:$K,G46)&gt;0,VLOOKUP("主角装备红色",道具定价!$C:$F,4,0)*H46,0))))</f>
        <v>150</v>
      </c>
      <c r="J46" s="88"/>
      <c r="K46" s="88"/>
      <c r="L46" s="88" t="str">
        <f>IF(J46="","",IF(J46="钻石",K46,IFERROR(VLOOKUP(J46,道具定价!$C:$F,4,0)*K46,IF(COUNTIF(角色、专武、旅券掉落池!$K:$K,J46)&gt;0,VLOOKUP("主角装备红色",道具定价!$C:$F,4,0)*K46,0))))</f>
        <v/>
      </c>
      <c r="M46" s="88"/>
      <c r="N46" s="88"/>
      <c r="O46" s="88" t="str">
        <f>IF(M46="","",IF(M46="钻石",N46,IFERROR(VLOOKUP(M46,道具定价!$C:$F,4,0)*N46,IF(COUNTIF(角色、专武、旅券掉落池!$K:$K,M46)&gt;0,VLOOKUP("主角装备红色",道具定价!$C:$F,4,0)*N46,0))))</f>
        <v/>
      </c>
      <c r="P46" s="88">
        <f t="shared" si="0"/>
        <v>200</v>
      </c>
      <c r="Q46" s="89" t="s">
        <v>2581</v>
      </c>
    </row>
    <row r="47" spans="1:17">
      <c r="A47" s="88">
        <v>5</v>
      </c>
      <c r="B47" s="88" t="s">
        <v>2602</v>
      </c>
      <c r="C47" s="88">
        <v>2</v>
      </c>
      <c r="D47" s="88" t="s">
        <v>5</v>
      </c>
      <c r="E47" s="88">
        <v>50</v>
      </c>
      <c r="F47" s="88">
        <f>IF(D47="","",IF(D47="钻石",E47,IFERROR(VLOOKUP(D47,道具定价!$C:$F,4,0)*E47,IF(COUNTIF(角色、专武、旅券掉落池!$K:$K,D47)&gt;0,VLOOKUP("主角装备红色",道具定价!$C:$F,4,0)*E47,0))))</f>
        <v>50</v>
      </c>
      <c r="G47" s="88" t="s">
        <v>6</v>
      </c>
      <c r="H47" s="88">
        <v>2</v>
      </c>
      <c r="I47" s="88">
        <f>IF(G47="","",IF(G47="钻石",H47,IFERROR(VLOOKUP(G47,道具定价!$C:$F,4,0)*H47,IF(COUNTIF(角色、专武、旅券掉落池!$K:$K,G47)&gt;0,VLOOKUP("主角装备红色",道具定价!$C:$F,4,0)*H47,0))))</f>
        <v>300</v>
      </c>
      <c r="J47" s="88"/>
      <c r="K47" s="88"/>
      <c r="L47" s="88" t="str">
        <f>IF(J47="","",IF(J47="钻石",K47,IFERROR(VLOOKUP(J47,道具定价!$C:$F,4,0)*K47,IF(COUNTIF(角色、专武、旅券掉落池!$K:$K,J47)&gt;0,VLOOKUP("主角装备红色",道具定价!$C:$F,4,0)*K47,0))))</f>
        <v/>
      </c>
      <c r="M47" s="88"/>
      <c r="N47" s="88"/>
      <c r="O47" s="88" t="str">
        <f>IF(M47="","",IF(M47="钻石",N47,IFERROR(VLOOKUP(M47,道具定价!$C:$F,4,0)*N47,IF(COUNTIF(角色、专武、旅券掉落池!$K:$K,M47)&gt;0,VLOOKUP("主角装备红色",道具定价!$C:$F,4,0)*N47,0))))</f>
        <v/>
      </c>
      <c r="P47" s="88">
        <f t="shared" si="0"/>
        <v>350</v>
      </c>
      <c r="Q47" s="89" t="s">
        <v>2581</v>
      </c>
    </row>
    <row r="48" spans="1:17">
      <c r="A48" s="88">
        <v>5</v>
      </c>
      <c r="B48" s="88" t="s">
        <v>2602</v>
      </c>
      <c r="C48" s="88">
        <v>3</v>
      </c>
      <c r="D48" s="88" t="s">
        <v>5</v>
      </c>
      <c r="E48" s="88">
        <v>50</v>
      </c>
      <c r="F48" s="88">
        <f>IF(D48="","",IF(D48="钻石",E48,IFERROR(VLOOKUP(D48,道具定价!$C:$F,4,0)*E48,IF(COUNTIF(角色、专武、旅券掉落池!$K:$K,D48)&gt;0,VLOOKUP("主角装备红色",道具定价!$C:$F,4,0)*E48,0))))</f>
        <v>50</v>
      </c>
      <c r="G48" s="88" t="s">
        <v>6</v>
      </c>
      <c r="H48" s="88">
        <v>2</v>
      </c>
      <c r="I48" s="88">
        <f>IF(G48="","",IF(G48="钻石",H48,IFERROR(VLOOKUP(G48,道具定价!$C:$F,4,0)*H48,IF(COUNTIF(角色、专武、旅券掉落池!$K:$K,G48)&gt;0,VLOOKUP("主角装备红色",道具定价!$C:$F,4,0)*H48,0))))</f>
        <v>300</v>
      </c>
      <c r="J48" s="88"/>
      <c r="K48" s="88"/>
      <c r="L48" s="88" t="str">
        <f>IF(J48="","",IF(J48="钻石",K48,IFERROR(VLOOKUP(J48,道具定价!$C:$F,4,0)*K48,IF(COUNTIF(角色、专武、旅券掉落池!$K:$K,J48)&gt;0,VLOOKUP("主角装备红色",道具定价!$C:$F,4,0)*K48,0))))</f>
        <v/>
      </c>
      <c r="M48" s="88"/>
      <c r="N48" s="88"/>
      <c r="O48" s="88" t="str">
        <f>IF(M48="","",IF(M48="钻石",N48,IFERROR(VLOOKUP(M48,道具定价!$C:$F,4,0)*N48,IF(COUNTIF(角色、专武、旅券掉落池!$K:$K,M48)&gt;0,VLOOKUP("主角装备红色",道具定价!$C:$F,4,0)*N48,0))))</f>
        <v/>
      </c>
      <c r="P48" s="88">
        <f t="shared" si="0"/>
        <v>350</v>
      </c>
      <c r="Q48" s="89" t="s">
        <v>2581</v>
      </c>
    </row>
    <row r="49" spans="1:17">
      <c r="A49" s="88">
        <v>5</v>
      </c>
      <c r="B49" s="88" t="s">
        <v>2602</v>
      </c>
      <c r="C49" s="88">
        <v>4</v>
      </c>
      <c r="D49" s="88" t="s">
        <v>5</v>
      </c>
      <c r="E49" s="88">
        <v>50</v>
      </c>
      <c r="F49" s="88">
        <f>IF(D49="","",IF(D49="钻石",E49,IFERROR(VLOOKUP(D49,道具定价!$C:$F,4,0)*E49,IF(COUNTIF(角色、专武、旅券掉落池!$K:$K,D49)&gt;0,VLOOKUP("主角装备红色",道具定价!$C:$F,4,0)*E49,0))))</f>
        <v>50</v>
      </c>
      <c r="G49" s="90" t="s">
        <v>7</v>
      </c>
      <c r="H49" s="88">
        <v>2</v>
      </c>
      <c r="I49" s="88">
        <f>IF(G49="","",IF(G49="钻石",H49,IFERROR(VLOOKUP(G49,道具定价!$C:$F,4,0)*H49,IF(COUNTIF(角色、专武、旅券掉落池!$K:$K,G49)&gt;0,VLOOKUP("主角装备红色",道具定价!$C:$F,4,0)*H49,0))))</f>
        <v>300</v>
      </c>
      <c r="J49" s="88"/>
      <c r="K49" s="88"/>
      <c r="L49" s="88" t="str">
        <f>IF(J49="","",IF(J49="钻石",K49,IFERROR(VLOOKUP(J49,道具定价!$C:$F,4,0)*K49,IF(COUNTIF(角色、专武、旅券掉落池!$K:$K,J49)&gt;0,VLOOKUP("主角装备红色",道具定价!$C:$F,4,0)*K49,0))))</f>
        <v/>
      </c>
      <c r="M49" s="88"/>
      <c r="N49" s="88"/>
      <c r="O49" s="88" t="str">
        <f>IF(M49="","",IF(M49="钻石",N49,IFERROR(VLOOKUP(M49,道具定价!$C:$F,4,0)*N49,IF(COUNTIF(角色、专武、旅券掉落池!$K:$K,M49)&gt;0,VLOOKUP("主角装备红色",道具定价!$C:$F,4,0)*N49,0))))</f>
        <v/>
      </c>
      <c r="P49" s="88">
        <f t="shared" si="0"/>
        <v>350</v>
      </c>
      <c r="Q49" s="89" t="s">
        <v>2581</v>
      </c>
    </row>
    <row r="50" spans="1:17">
      <c r="A50" s="88">
        <v>5</v>
      </c>
      <c r="B50" s="88" t="s">
        <v>2602</v>
      </c>
      <c r="C50" s="88">
        <v>5</v>
      </c>
      <c r="D50" s="88" t="s">
        <v>5</v>
      </c>
      <c r="E50" s="88">
        <v>50</v>
      </c>
      <c r="F50" s="88">
        <f>IF(D50="","",IF(D50="钻石",E50,IFERROR(VLOOKUP(D50,道具定价!$C:$F,4,0)*E50,IF(COUNTIF(角色、专武、旅券掉落池!$K:$K,D50)&gt;0,VLOOKUP("主角装备红色",道具定价!$C:$F,4,0)*E50,0))))</f>
        <v>50</v>
      </c>
      <c r="G50" s="90" t="s">
        <v>7</v>
      </c>
      <c r="H50" s="88">
        <v>3</v>
      </c>
      <c r="I50" s="88">
        <f>IF(G50="","",IF(G50="钻石",H50,IFERROR(VLOOKUP(G50,道具定价!$C:$F,4,0)*H50,IF(COUNTIF(角色、专武、旅券掉落池!$K:$K,G50)&gt;0,VLOOKUP("主角装备红色",道具定价!$C:$F,4,0)*H50,0))))</f>
        <v>450</v>
      </c>
      <c r="J50" s="88"/>
      <c r="K50" s="88"/>
      <c r="L50" s="88" t="str">
        <f>IF(J50="","",IF(J50="钻石",K50,IFERROR(VLOOKUP(J50,道具定价!$C:$F,4,0)*K50,IF(COUNTIF(角色、专武、旅券掉落池!$K:$K,J50)&gt;0,VLOOKUP("主角装备红色",道具定价!$C:$F,4,0)*K50,0))))</f>
        <v/>
      </c>
      <c r="M50" s="88"/>
      <c r="N50" s="88"/>
      <c r="O50" s="88" t="str">
        <f>IF(M50="","",IF(M50="钻石",N50,IFERROR(VLOOKUP(M50,道具定价!$C:$F,4,0)*N50,IF(COUNTIF(角色、专武、旅券掉落池!$K:$K,M50)&gt;0,VLOOKUP("主角装备红色",道具定价!$C:$F,4,0)*N50,0))))</f>
        <v/>
      </c>
      <c r="P50" s="88">
        <f t="shared" si="0"/>
        <v>500</v>
      </c>
      <c r="Q50" s="89" t="s">
        <v>2582</v>
      </c>
    </row>
    <row r="51" spans="1:17">
      <c r="A51" s="88">
        <v>5</v>
      </c>
      <c r="B51" s="88" t="s">
        <v>2602</v>
      </c>
      <c r="C51" s="88">
        <v>6</v>
      </c>
      <c r="D51" s="88" t="s">
        <v>5</v>
      </c>
      <c r="E51" s="88">
        <v>100</v>
      </c>
      <c r="F51" s="88">
        <f>IF(D51="","",IF(D51="钻石",E51,IFERROR(VLOOKUP(D51,道具定价!$C:$F,4,0)*E51,IF(COUNTIF(角色、专武、旅券掉落池!$K:$K,D51)&gt;0,VLOOKUP("主角装备红色",道具定价!$C:$F,4,0)*E51,0))))</f>
        <v>100</v>
      </c>
      <c r="G51" s="90" t="s">
        <v>665</v>
      </c>
      <c r="H51" s="88">
        <v>1</v>
      </c>
      <c r="I51" s="88">
        <f>IF(G51="","",IF(G51="钻石",H51,IFERROR(VLOOKUP(G51,道具定价!$C:$F,4,0)*H51,IF(COUNTIF(角色、专武、旅券掉落池!$K:$K,G51)&gt;0,VLOOKUP("主角装备红色",道具定价!$C:$F,4,0)*H51,0))))</f>
        <v>500</v>
      </c>
      <c r="J51" s="88"/>
      <c r="K51" s="88"/>
      <c r="L51" s="88" t="str">
        <f>IF(J51="","",IF(J51="钻石",K51,IFERROR(VLOOKUP(J51,道具定价!$C:$F,4,0)*K51,IF(COUNTIF(角色、专武、旅券掉落池!$K:$K,J51)&gt;0,VLOOKUP("主角装备红色",道具定价!$C:$F,4,0)*K51,0))))</f>
        <v/>
      </c>
      <c r="M51" s="88"/>
      <c r="N51" s="88"/>
      <c r="O51" s="88" t="str">
        <f>IF(M51="","",IF(M51="钻石",N51,IFERROR(VLOOKUP(M51,道具定价!$C:$F,4,0)*N51,IF(COUNTIF(角色、专武、旅券掉落池!$K:$K,M51)&gt;0,VLOOKUP("主角装备红色",道具定价!$C:$F,4,0)*N51,0))))</f>
        <v/>
      </c>
      <c r="P51" s="88">
        <f t="shared" si="0"/>
        <v>600</v>
      </c>
      <c r="Q51" s="89" t="s">
        <v>2581</v>
      </c>
    </row>
    <row r="52" spans="1:17">
      <c r="A52" s="88">
        <v>5</v>
      </c>
      <c r="B52" s="88" t="s">
        <v>2602</v>
      </c>
      <c r="C52" s="88">
        <v>7</v>
      </c>
      <c r="D52" s="88" t="s">
        <v>5</v>
      </c>
      <c r="E52" s="88">
        <v>100</v>
      </c>
      <c r="F52" s="88">
        <f>IF(D52="","",IF(D52="钻石",E52,IFERROR(VLOOKUP(D52,道具定价!$C:$F,4,0)*E52,IF(COUNTIF(角色、专武、旅券掉落池!$K:$K,D52)&gt;0,VLOOKUP("主角装备红色",道具定价!$C:$F,4,0)*E52,0))))</f>
        <v>100</v>
      </c>
      <c r="G52" s="88" t="s">
        <v>701</v>
      </c>
      <c r="H52" s="88">
        <v>2</v>
      </c>
      <c r="I52" s="88">
        <f>IF(G52="","",IF(G52="钻石",H52,IFERROR(VLOOKUP(G52,道具定价!$C:$F,4,0)*H52,IF(COUNTIF(角色、专武、旅券掉落池!$K:$K,G52)&gt;0,VLOOKUP("主角装备红色",道具定价!$C:$F,4,0)*H52,0))))</f>
        <v>100</v>
      </c>
      <c r="J52" s="88"/>
      <c r="K52" s="88"/>
      <c r="L52" s="88" t="str">
        <f>IF(J52="","",IF(J52="钻石",K52,IFERROR(VLOOKUP(J52,道具定价!$C:$F,4,0)*K52,IF(COUNTIF(角色、专武、旅券掉落池!$K:$K,J52)&gt;0,VLOOKUP("主角装备红色",道具定价!$C:$F,4,0)*K52,0))))</f>
        <v/>
      </c>
      <c r="M52" s="88"/>
      <c r="N52" s="88"/>
      <c r="O52" s="88" t="str">
        <f>IF(M52="","",IF(M52="钻石",N52,IFERROR(VLOOKUP(M52,道具定价!$C:$F,4,0)*N52,IF(COUNTIF(角色、专武、旅券掉落池!$K:$K,M52)&gt;0,VLOOKUP("主角装备红色",道具定价!$C:$F,4,0)*N52,0))))</f>
        <v/>
      </c>
      <c r="P52" s="88">
        <f t="shared" si="0"/>
        <v>200</v>
      </c>
      <c r="Q52" s="89" t="s">
        <v>2603</v>
      </c>
    </row>
    <row r="53" spans="1:17">
      <c r="A53" s="88">
        <v>5</v>
      </c>
      <c r="B53" s="88" t="s">
        <v>2602</v>
      </c>
      <c r="C53" s="88">
        <v>8</v>
      </c>
      <c r="D53" s="88" t="s">
        <v>5</v>
      </c>
      <c r="E53" s="88">
        <v>100</v>
      </c>
      <c r="F53" s="88">
        <f>IF(D53="","",IF(D53="钻石",E53,IFERROR(VLOOKUP(D53,道具定价!$C:$F,4,0)*E53,IF(COUNTIF(角色、专武、旅券掉落池!$K:$K,D53)&gt;0,VLOOKUP("主角装备红色",道具定价!$C:$F,4,0)*E53,0))))</f>
        <v>100</v>
      </c>
      <c r="G53" s="88" t="s">
        <v>701</v>
      </c>
      <c r="H53" s="88">
        <v>2</v>
      </c>
      <c r="I53" s="88">
        <f>IF(G53="","",IF(G53="钻石",H53,IFERROR(VLOOKUP(G53,道具定价!$C:$F,4,0)*H53,IF(COUNTIF(角色、专武、旅券掉落池!$K:$K,G53)&gt;0,VLOOKUP("主角装备红色",道具定价!$C:$F,4,0)*H53,0))))</f>
        <v>100</v>
      </c>
      <c r="J53" s="88"/>
      <c r="K53" s="88"/>
      <c r="L53" s="88" t="str">
        <f>IF(J53="","",IF(J53="钻石",K53,IFERROR(VLOOKUP(J53,道具定价!$C:$F,4,0)*K53,IF(COUNTIF(角色、专武、旅券掉落池!$K:$K,J53)&gt;0,VLOOKUP("主角装备红色",道具定价!$C:$F,4,0)*K53,0))))</f>
        <v/>
      </c>
      <c r="M53" s="88"/>
      <c r="N53" s="88"/>
      <c r="O53" s="88" t="str">
        <f>IF(M53="","",IF(M53="钻石",N53,IFERROR(VLOOKUP(M53,道具定价!$C:$F,4,0)*N53,IF(COUNTIF(角色、专武、旅券掉落池!$K:$K,M53)&gt;0,VLOOKUP("主角装备红色",道具定价!$C:$F,4,0)*N53,0))))</f>
        <v/>
      </c>
      <c r="P53" s="88">
        <f t="shared" si="0"/>
        <v>200</v>
      </c>
      <c r="Q53" s="89" t="s">
        <v>2604</v>
      </c>
    </row>
    <row r="54" ht="28.5" customHeight="1" spans="1:17">
      <c r="A54" s="88">
        <v>5</v>
      </c>
      <c r="B54" s="88" t="s">
        <v>2602</v>
      </c>
      <c r="C54" s="88">
        <v>9</v>
      </c>
      <c r="D54" s="88" t="s">
        <v>5</v>
      </c>
      <c r="E54" s="88">
        <v>200</v>
      </c>
      <c r="F54" s="88">
        <f>IF(D54="","",IF(D54="钻石",E54,IFERROR(VLOOKUP(D54,道具定价!$C:$F,4,0)*E54,IF(COUNTIF(角色、专武、旅券掉落池!$K:$K,D54)&gt;0,VLOOKUP("主角装备红色",道具定价!$C:$F,4,0)*E54,0))))</f>
        <v>200</v>
      </c>
      <c r="G54" s="88" t="s">
        <v>701</v>
      </c>
      <c r="H54" s="88">
        <v>2</v>
      </c>
      <c r="I54" s="88">
        <f>IF(G54="","",IF(G54="钻石",H54,IFERROR(VLOOKUP(G54,道具定价!$C:$F,4,0)*H54,IF(COUNTIF(角色、专武、旅券掉落池!$K:$K,G54)&gt;0,VLOOKUP("主角装备红色",道具定价!$C:$F,4,0)*H54,0))))</f>
        <v>100</v>
      </c>
      <c r="J54" s="88"/>
      <c r="K54" s="88"/>
      <c r="L54" s="88" t="str">
        <f>IF(J54="","",IF(J54="钻石",K54,IFERROR(VLOOKUP(J54,道具定价!$C:$F,4,0)*K54,IF(COUNTIF(角色、专武、旅券掉落池!$K:$K,J54)&gt;0,VLOOKUP("主角装备红色",道具定价!$C:$F,4,0)*K54,0))))</f>
        <v/>
      </c>
      <c r="M54" s="88"/>
      <c r="N54" s="88"/>
      <c r="O54" s="88" t="str">
        <f>IF(M54="","",IF(M54="钻石",N54,IFERROR(VLOOKUP(M54,道具定价!$C:$F,4,0)*N54,IF(COUNTIF(角色、专武、旅券掉落池!$K:$K,M54)&gt;0,VLOOKUP("主角装备红色",道具定价!$C:$F,4,0)*N54,0))))</f>
        <v/>
      </c>
      <c r="P54" s="88">
        <f t="shared" si="0"/>
        <v>300</v>
      </c>
      <c r="Q54" s="89" t="s">
        <v>2605</v>
      </c>
    </row>
    <row r="55" spans="1:17">
      <c r="A55" s="88">
        <v>5</v>
      </c>
      <c r="B55" s="88" t="s">
        <v>2602</v>
      </c>
      <c r="C55" s="88">
        <v>10</v>
      </c>
      <c r="D55" s="88" t="s">
        <v>5</v>
      </c>
      <c r="E55" s="88">
        <v>200</v>
      </c>
      <c r="F55" s="88">
        <f>IF(D55="","",IF(D55="钻石",E55,IFERROR(VLOOKUP(D55,道具定价!$C:$F,4,0)*E55,IF(COUNTIF(角色、专武、旅券掉落池!$K:$K,D55)&gt;0,VLOOKUP("主角装备红色",道具定价!$C:$F,4,0)*E55,0))))</f>
        <v>200</v>
      </c>
      <c r="G55" s="90" t="s">
        <v>1006</v>
      </c>
      <c r="H55" s="88">
        <v>1</v>
      </c>
      <c r="I55" s="88">
        <f>IF(G55="","",IF(G55="钻石",H55,IFERROR(VLOOKUP(G55,道具定价!$C:$F,4,0)*H55,IF(COUNTIF(角色、专武、旅券掉落池!$K:$K,G55)&gt;0,VLOOKUP("主角装备红色",道具定价!$C:$F,4,0)*H55,0))))</f>
        <v>1000</v>
      </c>
      <c r="J55" s="88"/>
      <c r="K55" s="88"/>
      <c r="L55" s="88" t="str">
        <f>IF(J55="","",IF(J55="钻石",K55,IFERROR(VLOOKUP(J55,道具定价!$C:$F,4,0)*K55,IF(COUNTIF(角色、专武、旅券掉落池!$K:$K,J55)&gt;0,VLOOKUP("主角装备红色",道具定价!$C:$F,4,0)*K55,0))))</f>
        <v/>
      </c>
      <c r="M55" s="88"/>
      <c r="N55" s="88"/>
      <c r="O55" s="88" t="str">
        <f>IF(M55="","",IF(M55="钻石",N55,IFERROR(VLOOKUP(M55,道具定价!$C:$F,4,0)*N55,IF(COUNTIF(角色、专武、旅券掉落池!$K:$K,M55)&gt;0,VLOOKUP("主角装备红色",道具定价!$C:$F,4,0)*N55,0))))</f>
        <v/>
      </c>
      <c r="P55" s="88">
        <f t="shared" si="0"/>
        <v>1200</v>
      </c>
      <c r="Q55" s="89" t="s">
        <v>2606</v>
      </c>
    </row>
  </sheetData>
  <mergeCells count="2">
    <mergeCell ref="A1:Q1"/>
    <mergeCell ref="A2:Q2"/>
  </mergeCell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B2:W113"/>
  <sheetViews>
    <sheetView topLeftCell="A38" workbookViewId="0">
      <selection activeCell="J59" sqref="J59"/>
    </sheetView>
  </sheetViews>
  <sheetFormatPr defaultColWidth="9" defaultRowHeight="16.5"/>
  <cols>
    <col min="1" max="4" width="18.25" style="3" customWidth="1"/>
    <col min="5" max="5" width="20.75" style="3" customWidth="1"/>
    <col min="6" max="6" width="18.25" style="3" customWidth="1"/>
    <col min="7" max="7" width="9" style="3" customWidth="1"/>
    <col min="8" max="8" width="13.875" style="3" customWidth="1"/>
    <col min="9" max="9" width="9" style="3" customWidth="1"/>
    <col min="10" max="10" width="14.75" style="3" customWidth="1"/>
    <col min="11" max="11" width="9" style="3" customWidth="1"/>
    <col min="12" max="12" width="9.25" style="3" customWidth="1"/>
    <col min="13" max="13" width="21" style="3" customWidth="1"/>
    <col min="14" max="14" width="12.875" style="3" customWidth="1"/>
    <col min="15" max="15" width="9" style="3" customWidth="1"/>
    <col min="16" max="16" width="9.25" style="3" customWidth="1"/>
    <col min="17" max="16384" width="9" style="3" customWidth="1"/>
  </cols>
  <sheetData>
    <row r="2" spans="2:23">
      <c r="B2" s="18" t="s">
        <v>154</v>
      </c>
    </row>
    <row r="3" spans="2:23">
      <c r="T3" s="3" t="s">
        <v>2607</v>
      </c>
    </row>
    <row r="4" spans="2:23">
      <c r="B4" s="11" t="s">
        <v>2608</v>
      </c>
      <c r="C4" s="23" t="s">
        <v>2609</v>
      </c>
      <c r="D4" s="24" t="s">
        <v>2610</v>
      </c>
      <c r="E4" s="24" t="s">
        <v>1123</v>
      </c>
      <c r="F4" s="24" t="s">
        <v>2611</v>
      </c>
      <c r="G4" s="24" t="s">
        <v>1125</v>
      </c>
      <c r="H4" s="24" t="s">
        <v>2612</v>
      </c>
      <c r="I4" s="24" t="s">
        <v>1127</v>
      </c>
      <c r="J4" s="24" t="s">
        <v>2576</v>
      </c>
      <c r="M4" s="16" t="s">
        <v>2613</v>
      </c>
      <c r="N4" s="16" t="s">
        <v>2614</v>
      </c>
      <c r="O4" s="3" t="s">
        <v>1740</v>
      </c>
      <c r="P4" s="3" t="s">
        <v>1123</v>
      </c>
      <c r="Q4" s="3" t="s">
        <v>1444</v>
      </c>
      <c r="R4" s="3" t="s">
        <v>1125</v>
      </c>
      <c r="S4" s="16" t="s">
        <v>2615</v>
      </c>
      <c r="T4" s="25" t="s">
        <v>2616</v>
      </c>
    </row>
    <row r="5" spans="2:23">
      <c r="B5" s="11">
        <v>1</v>
      </c>
      <c r="C5" s="11">
        <v>100</v>
      </c>
      <c r="D5" s="11" t="s">
        <v>2617</v>
      </c>
      <c r="E5" s="16">
        <v>300</v>
      </c>
      <c r="F5" s="24" t="s">
        <v>2618</v>
      </c>
      <c r="G5" s="24">
        <v>1</v>
      </c>
      <c r="H5" s="26" t="s">
        <v>669</v>
      </c>
      <c r="I5" s="27">
        <v>5</v>
      </c>
      <c r="J5" s="3">
        <f>VLOOKUP(H5,道具定价!$C:$F,4,0)*I5</f>
        <v>10</v>
      </c>
      <c r="M5" s="16" t="s">
        <v>2619</v>
      </c>
      <c r="O5" s="3" t="s">
        <v>2620</v>
      </c>
      <c r="P5" s="25">
        <v>100</v>
      </c>
      <c r="T5" s="25" t="s">
        <v>2621</v>
      </c>
      <c r="W5" s="25"/>
    </row>
    <row r="6" spans="2:23">
      <c r="B6" s="11">
        <v>2</v>
      </c>
      <c r="C6" s="11">
        <v>200</v>
      </c>
      <c r="D6" s="11" t="s">
        <v>2617</v>
      </c>
      <c r="E6" s="16">
        <v>300</v>
      </c>
      <c r="F6" s="24" t="s">
        <v>2618</v>
      </c>
      <c r="G6" s="24">
        <v>1</v>
      </c>
      <c r="H6" s="28" t="s">
        <v>613</v>
      </c>
      <c r="I6" s="29">
        <v>5</v>
      </c>
      <c r="J6" s="3">
        <f>VLOOKUP(H6,道具定价!$C:$F,4,0)*I6</f>
        <v>10</v>
      </c>
      <c r="M6" s="16" t="s">
        <v>2622</v>
      </c>
      <c r="N6" s="3">
        <v>1</v>
      </c>
      <c r="O6" s="3" t="s">
        <v>2620</v>
      </c>
      <c r="P6" s="25">
        <v>100</v>
      </c>
      <c r="T6" s="25" t="s">
        <v>2623</v>
      </c>
      <c r="W6" s="25"/>
    </row>
    <row r="7" spans="2:23">
      <c r="B7" s="23">
        <v>3</v>
      </c>
      <c r="C7" s="11">
        <v>300</v>
      </c>
      <c r="D7" s="11" t="s">
        <v>2617</v>
      </c>
      <c r="E7" s="16">
        <v>300</v>
      </c>
      <c r="F7" s="24" t="s">
        <v>2618</v>
      </c>
      <c r="G7" s="24">
        <v>1</v>
      </c>
      <c r="H7" s="28" t="s">
        <v>5</v>
      </c>
      <c r="I7" s="29">
        <v>50</v>
      </c>
      <c r="J7" s="3">
        <f>VLOOKUP(H7,道具定价!$C:$F,4,0)*I7</f>
        <v>50</v>
      </c>
      <c r="M7" s="16" t="s">
        <v>2624</v>
      </c>
      <c r="N7" s="3">
        <v>160</v>
      </c>
      <c r="O7" s="3" t="s">
        <v>2620</v>
      </c>
      <c r="P7" s="25">
        <v>200</v>
      </c>
      <c r="S7" s="16" t="s">
        <v>19</v>
      </c>
      <c r="T7" s="25" t="s">
        <v>2625</v>
      </c>
    </row>
    <row r="8" spans="2:23">
      <c r="B8" s="11">
        <v>4</v>
      </c>
      <c r="C8" s="11">
        <v>400</v>
      </c>
      <c r="D8" s="11" t="s">
        <v>2617</v>
      </c>
      <c r="E8" s="16">
        <v>300</v>
      </c>
      <c r="F8" s="24" t="s">
        <v>2618</v>
      </c>
      <c r="G8" s="24">
        <v>1</v>
      </c>
      <c r="H8" s="30" t="s">
        <v>731</v>
      </c>
      <c r="I8" s="29">
        <v>2</v>
      </c>
      <c r="J8" s="3">
        <f>VLOOKUP(H8,道具定价!$C:$F,4,0)*I8</f>
        <v>120</v>
      </c>
      <c r="M8" s="16" t="s">
        <v>2621</v>
      </c>
      <c r="N8" s="3">
        <v>1</v>
      </c>
      <c r="O8" s="3" t="s">
        <v>2620</v>
      </c>
      <c r="P8" s="25">
        <v>100</v>
      </c>
      <c r="T8" s="25" t="s">
        <v>2626</v>
      </c>
    </row>
    <row r="9" spans="2:23">
      <c r="B9" s="11">
        <v>5</v>
      </c>
      <c r="C9" s="11">
        <v>500</v>
      </c>
      <c r="D9" s="11" t="s">
        <v>2617</v>
      </c>
      <c r="E9" s="16">
        <v>300</v>
      </c>
      <c r="F9" s="24" t="s">
        <v>2618</v>
      </c>
      <c r="G9" s="24">
        <v>2</v>
      </c>
      <c r="H9" s="28" t="s">
        <v>5</v>
      </c>
      <c r="I9" s="29">
        <v>50</v>
      </c>
      <c r="J9" s="3">
        <f>VLOOKUP(H9,道具定价!$C:$F,4,0)*I9</f>
        <v>50</v>
      </c>
      <c r="M9" s="16" t="s">
        <v>2627</v>
      </c>
      <c r="N9" s="3">
        <v>1</v>
      </c>
      <c r="O9" s="3" t="s">
        <v>2620</v>
      </c>
      <c r="P9" s="25">
        <v>100</v>
      </c>
      <c r="T9" s="25" t="s">
        <v>2628</v>
      </c>
    </row>
    <row r="10" spans="2:23">
      <c r="G10" s="16">
        <f>SUM(G5:G9)</f>
        <v>6</v>
      </c>
      <c r="M10" s="16" t="s">
        <v>2629</v>
      </c>
      <c r="N10" s="3">
        <v>1</v>
      </c>
      <c r="O10" s="3" t="s">
        <v>2620</v>
      </c>
      <c r="P10" s="25">
        <v>100</v>
      </c>
      <c r="S10" s="16" t="s">
        <v>17</v>
      </c>
      <c r="T10" s="25" t="s">
        <v>2630</v>
      </c>
    </row>
    <row r="11" spans="2:23">
      <c r="G11" s="16">
        <f>7*G10</f>
        <v>42</v>
      </c>
      <c r="M11" s="16" t="s">
        <v>2616</v>
      </c>
      <c r="N11" s="3">
        <v>2</v>
      </c>
      <c r="O11" s="3" t="s">
        <v>2620</v>
      </c>
      <c r="P11" s="25">
        <v>100</v>
      </c>
      <c r="T11" s="25" t="s">
        <v>2631</v>
      </c>
    </row>
    <row r="12" spans="2:23">
      <c r="M12" s="16" t="s">
        <v>2632</v>
      </c>
      <c r="N12" s="3">
        <v>1</v>
      </c>
      <c r="O12" s="3" t="s">
        <v>2620</v>
      </c>
      <c r="P12" s="25">
        <v>100</v>
      </c>
      <c r="T12" s="25" t="s">
        <v>2633</v>
      </c>
    </row>
    <row r="13" spans="2:23">
      <c r="M13" s="16" t="s">
        <v>2634</v>
      </c>
      <c r="N13" s="3">
        <v>1</v>
      </c>
      <c r="O13" s="3" t="s">
        <v>2620</v>
      </c>
      <c r="P13" s="25">
        <v>100</v>
      </c>
      <c r="S13" s="16" t="s">
        <v>20</v>
      </c>
      <c r="T13" s="3" t="s">
        <v>2635</v>
      </c>
    </row>
    <row r="14" spans="2:23">
      <c r="B14" s="18" t="s">
        <v>2636</v>
      </c>
      <c r="C14" s="3" t="s">
        <v>2637</v>
      </c>
      <c r="D14" s="16">
        <f>G10*7+P41</f>
        <v>90</v>
      </c>
      <c r="T14" s="3" t="s">
        <v>2638</v>
      </c>
    </row>
    <row r="15" spans="2:23">
      <c r="T15" s="3" t="s">
        <v>2639</v>
      </c>
    </row>
    <row r="16" spans="2:23">
      <c r="B16" s="11" t="s">
        <v>152</v>
      </c>
      <c r="C16" s="23" t="s">
        <v>2609</v>
      </c>
      <c r="D16" s="24" t="s">
        <v>2610</v>
      </c>
      <c r="E16" s="24" t="s">
        <v>1123</v>
      </c>
      <c r="F16" s="24" t="s">
        <v>2611</v>
      </c>
      <c r="G16" s="24" t="s">
        <v>1125</v>
      </c>
      <c r="H16" s="24" t="s">
        <v>2640</v>
      </c>
      <c r="M16" s="16" t="s">
        <v>2641</v>
      </c>
      <c r="N16" s="16" t="s">
        <v>2641</v>
      </c>
      <c r="O16" s="3" t="s">
        <v>1740</v>
      </c>
      <c r="P16" s="3" t="s">
        <v>1123</v>
      </c>
      <c r="Q16" s="3" t="s">
        <v>1444</v>
      </c>
      <c r="R16" s="3" t="s">
        <v>1125</v>
      </c>
      <c r="S16" s="16" t="s">
        <v>18</v>
      </c>
      <c r="T16" s="3" t="s">
        <v>2642</v>
      </c>
    </row>
    <row r="17" spans="2:20">
      <c r="B17" s="11">
        <v>1</v>
      </c>
      <c r="C17" s="11">
        <v>10</v>
      </c>
      <c r="D17" s="31" t="s">
        <v>5</v>
      </c>
      <c r="E17" s="27">
        <v>50</v>
      </c>
      <c r="F17" s="26" t="s">
        <v>670</v>
      </c>
      <c r="G17" s="29">
        <v>5</v>
      </c>
      <c r="H17" s="3">
        <f>VLOOKUP(F17,道具定价!$C:$F,4,0)*G17</f>
        <v>50</v>
      </c>
      <c r="M17" s="16" t="s">
        <v>2643</v>
      </c>
      <c r="N17" s="3">
        <v>2</v>
      </c>
      <c r="O17" s="3" t="s">
        <v>2644</v>
      </c>
      <c r="P17" s="3">
        <v>1</v>
      </c>
      <c r="T17" s="3" t="s">
        <v>2645</v>
      </c>
    </row>
    <row r="18" spans="2:20">
      <c r="B18" s="11">
        <v>2</v>
      </c>
      <c r="C18" s="11">
        <v>20</v>
      </c>
      <c r="D18" s="31" t="s">
        <v>5</v>
      </c>
      <c r="E18" s="27">
        <v>50</v>
      </c>
      <c r="F18" s="32" t="s">
        <v>731</v>
      </c>
      <c r="G18" s="29">
        <v>5</v>
      </c>
      <c r="H18" s="3">
        <f>VLOOKUP(F18,道具定价!$C:$F,4,0)*G18</f>
        <v>300</v>
      </c>
      <c r="M18" s="16" t="s">
        <v>2643</v>
      </c>
      <c r="N18" s="3">
        <v>3</v>
      </c>
      <c r="O18" s="3" t="s">
        <v>2644</v>
      </c>
      <c r="P18" s="3">
        <v>2</v>
      </c>
      <c r="T18" s="3" t="s">
        <v>2646</v>
      </c>
    </row>
    <row r="19" spans="2:20">
      <c r="B19" s="23">
        <v>3</v>
      </c>
      <c r="C19" s="11">
        <v>30</v>
      </c>
      <c r="D19" s="31" t="s">
        <v>5</v>
      </c>
      <c r="E19" s="27">
        <v>100</v>
      </c>
      <c r="F19" s="26" t="s">
        <v>614</v>
      </c>
      <c r="G19" s="29">
        <v>5</v>
      </c>
      <c r="H19" s="3">
        <f>VLOOKUP(F19,道具定价!$C:$F,4,0)*G19</f>
        <v>50</v>
      </c>
      <c r="M19" s="16" t="s">
        <v>2643</v>
      </c>
      <c r="N19" s="3">
        <v>5</v>
      </c>
      <c r="O19" s="3" t="s">
        <v>2644</v>
      </c>
      <c r="P19" s="3">
        <v>3</v>
      </c>
      <c r="S19" s="16" t="s">
        <v>699</v>
      </c>
      <c r="T19" s="25" t="s">
        <v>2632</v>
      </c>
    </row>
    <row r="20" spans="2:20">
      <c r="B20" s="11">
        <v>4</v>
      </c>
      <c r="C20" s="11">
        <v>40</v>
      </c>
      <c r="D20" s="31" t="s">
        <v>5</v>
      </c>
      <c r="E20" s="27">
        <v>100</v>
      </c>
      <c r="F20" s="32" t="s">
        <v>731</v>
      </c>
      <c r="G20" s="29">
        <v>5</v>
      </c>
      <c r="H20" s="3">
        <f>VLOOKUP(F20,道具定价!$C:$F,4,0)*G20</f>
        <v>300</v>
      </c>
      <c r="M20" s="16" t="s">
        <v>2624</v>
      </c>
      <c r="N20" s="3">
        <v>300</v>
      </c>
      <c r="O20" s="3" t="s">
        <v>2644</v>
      </c>
      <c r="P20" s="3">
        <v>1</v>
      </c>
      <c r="T20" s="3" t="s">
        <v>2647</v>
      </c>
    </row>
    <row r="21" spans="2:20">
      <c r="B21" s="11">
        <v>5</v>
      </c>
      <c r="C21" s="11">
        <v>50</v>
      </c>
      <c r="D21" s="32" t="s">
        <v>5</v>
      </c>
      <c r="E21" s="29">
        <v>150</v>
      </c>
      <c r="F21" s="26" t="s">
        <v>728</v>
      </c>
      <c r="G21" s="29">
        <v>5000</v>
      </c>
      <c r="H21" s="3">
        <f>VLOOKUP(F21,道具定价!$C:$F,4,0)*G21</f>
        <v>50</v>
      </c>
      <c r="M21" s="16" t="s">
        <v>2624</v>
      </c>
      <c r="N21" s="3">
        <v>600</v>
      </c>
      <c r="O21" s="3" t="s">
        <v>2644</v>
      </c>
      <c r="P21" s="3">
        <v>2</v>
      </c>
      <c r="T21" s="3" t="s">
        <v>2648</v>
      </c>
    </row>
    <row r="22" spans="2:20">
      <c r="B22" s="11">
        <v>6</v>
      </c>
      <c r="C22" s="11">
        <v>60</v>
      </c>
      <c r="D22" s="32" t="s">
        <v>5</v>
      </c>
      <c r="E22" s="29">
        <v>150</v>
      </c>
      <c r="F22" s="26" t="s">
        <v>606</v>
      </c>
      <c r="G22" s="29">
        <v>2</v>
      </c>
      <c r="H22" s="3">
        <f>VLOOKUP(F22,道具定价!$C:$F,4,0)*G22</f>
        <v>480</v>
      </c>
      <c r="M22" s="16" t="s">
        <v>2624</v>
      </c>
      <c r="N22" s="3">
        <v>1000</v>
      </c>
      <c r="O22" s="3" t="s">
        <v>2644</v>
      </c>
      <c r="P22" s="3">
        <v>3</v>
      </c>
      <c r="T22" s="3" t="s">
        <v>2649</v>
      </c>
    </row>
    <row r="23" spans="2:20">
      <c r="D23" s="16"/>
      <c r="E23" s="16">
        <f>SUM(E17:E22)</f>
        <v>600</v>
      </c>
      <c r="M23" s="16" t="s">
        <v>2650</v>
      </c>
      <c r="N23" s="3">
        <v>100</v>
      </c>
      <c r="O23" s="3" t="s">
        <v>2644</v>
      </c>
      <c r="P23" s="3">
        <v>1</v>
      </c>
      <c r="S23" s="3" t="s">
        <v>2049</v>
      </c>
      <c r="T23" s="25" t="s">
        <v>2651</v>
      </c>
    </row>
    <row r="24" spans="2:20">
      <c r="D24" s="16"/>
      <c r="M24" s="16" t="s">
        <v>2650</v>
      </c>
      <c r="N24" s="3">
        <v>200</v>
      </c>
      <c r="O24" s="3" t="s">
        <v>2644</v>
      </c>
      <c r="P24" s="3">
        <v>2</v>
      </c>
    </row>
    <row r="25" spans="2:20">
      <c r="D25" s="16"/>
      <c r="M25" s="16" t="s">
        <v>2650</v>
      </c>
      <c r="N25" s="3">
        <v>400</v>
      </c>
      <c r="O25" s="3" t="s">
        <v>2644</v>
      </c>
      <c r="P25" s="3">
        <v>3</v>
      </c>
    </row>
    <row r="26" spans="2:20">
      <c r="M26" s="16" t="s">
        <v>2652</v>
      </c>
      <c r="N26" s="3">
        <v>200000</v>
      </c>
      <c r="O26" s="3" t="s">
        <v>2644</v>
      </c>
      <c r="P26" s="3">
        <v>1</v>
      </c>
    </row>
    <row r="27" spans="2:20">
      <c r="M27" s="16" t="s">
        <v>2652</v>
      </c>
      <c r="N27" s="3">
        <v>400000</v>
      </c>
      <c r="O27" s="3" t="s">
        <v>2644</v>
      </c>
      <c r="P27" s="3">
        <v>2</v>
      </c>
    </row>
    <row r="28" spans="2:20">
      <c r="M28" s="16" t="s">
        <v>2652</v>
      </c>
      <c r="N28" s="3">
        <v>600000</v>
      </c>
      <c r="O28" s="3" t="s">
        <v>2644</v>
      </c>
      <c r="P28" s="3">
        <v>3</v>
      </c>
    </row>
    <row r="29" spans="2:20">
      <c r="M29" s="16" t="s">
        <v>2642</v>
      </c>
      <c r="N29" s="3">
        <v>1</v>
      </c>
      <c r="O29" s="3" t="s">
        <v>2644</v>
      </c>
      <c r="P29" s="3">
        <v>1</v>
      </c>
    </row>
    <row r="30" spans="2:20">
      <c r="M30" s="16" t="s">
        <v>2642</v>
      </c>
      <c r="N30" s="3">
        <v>2</v>
      </c>
      <c r="O30" s="3" t="s">
        <v>2644</v>
      </c>
      <c r="P30" s="3">
        <v>2</v>
      </c>
    </row>
    <row r="31" spans="2:20">
      <c r="M31" s="16" t="s">
        <v>2642</v>
      </c>
      <c r="N31" s="3">
        <v>4</v>
      </c>
      <c r="O31" s="3" t="s">
        <v>2644</v>
      </c>
      <c r="P31" s="3">
        <v>3</v>
      </c>
    </row>
    <row r="32" spans="2:20">
      <c r="M32" s="16" t="s">
        <v>2625</v>
      </c>
      <c r="N32" s="3">
        <v>5</v>
      </c>
      <c r="O32" s="3" t="s">
        <v>2644</v>
      </c>
      <c r="P32" s="3">
        <v>1</v>
      </c>
    </row>
    <row r="33" spans="2:16">
      <c r="M33" s="16" t="s">
        <v>2625</v>
      </c>
      <c r="N33" s="3">
        <v>10</v>
      </c>
      <c r="O33" s="3" t="s">
        <v>2644</v>
      </c>
      <c r="P33" s="3">
        <v>2</v>
      </c>
    </row>
    <row r="34" spans="2:16">
      <c r="B34" s="18" t="s">
        <v>158</v>
      </c>
      <c r="M34" s="16" t="s">
        <v>2625</v>
      </c>
      <c r="N34" s="3">
        <v>20</v>
      </c>
      <c r="O34" s="3" t="s">
        <v>2644</v>
      </c>
      <c r="P34" s="3">
        <v>3</v>
      </c>
    </row>
    <row r="35" spans="2:16">
      <c r="M35" s="16" t="s">
        <v>2630</v>
      </c>
      <c r="N35" s="3">
        <v>2</v>
      </c>
      <c r="O35" s="3" t="s">
        <v>2644</v>
      </c>
      <c r="P35" s="3">
        <v>1</v>
      </c>
    </row>
    <row r="36" spans="2:16">
      <c r="B36" s="33" t="s">
        <v>2653</v>
      </c>
      <c r="C36" s="34" t="s">
        <v>2654</v>
      </c>
      <c r="D36" s="35"/>
      <c r="E36" s="36" t="s">
        <v>16</v>
      </c>
      <c r="F36" s="37" t="s">
        <v>1441</v>
      </c>
      <c r="G36" s="37" t="s">
        <v>270</v>
      </c>
      <c r="H36" s="37" t="s">
        <v>1062</v>
      </c>
      <c r="M36" s="16" t="s">
        <v>2630</v>
      </c>
      <c r="N36" s="3">
        <v>3</v>
      </c>
      <c r="O36" s="3" t="s">
        <v>2644</v>
      </c>
      <c r="P36" s="3">
        <v>2</v>
      </c>
    </row>
    <row r="37" spans="2:16">
      <c r="B37" s="38" t="s">
        <v>2655</v>
      </c>
      <c r="C37" s="39"/>
      <c r="D37" s="40"/>
      <c r="E37" s="40"/>
      <c r="F37" s="1"/>
      <c r="G37" s="41"/>
      <c r="H37" s="42"/>
      <c r="M37" s="16" t="s">
        <v>2630</v>
      </c>
      <c r="N37" s="3">
        <v>5</v>
      </c>
      <c r="O37" s="3" t="s">
        <v>2644</v>
      </c>
      <c r="P37" s="3">
        <v>3</v>
      </c>
    </row>
    <row r="38" spans="2:16">
      <c r="B38" s="43"/>
      <c r="C38" s="44"/>
      <c r="D38" s="45"/>
      <c r="E38" s="40"/>
      <c r="F38" s="1"/>
      <c r="G38" s="46"/>
      <c r="H38" s="42"/>
      <c r="M38" s="16" t="s">
        <v>2656</v>
      </c>
      <c r="N38" s="3">
        <v>15</v>
      </c>
      <c r="O38" s="3" t="s">
        <v>2644</v>
      </c>
      <c r="P38" s="3">
        <v>1</v>
      </c>
    </row>
    <row r="39" spans="2:16">
      <c r="B39" s="43"/>
      <c r="C39" s="44"/>
      <c r="D39" s="45"/>
      <c r="E39" s="45"/>
      <c r="F39" s="1"/>
      <c r="G39" s="46"/>
      <c r="H39" s="42"/>
      <c r="M39" s="16" t="s">
        <v>2656</v>
      </c>
      <c r="N39" s="3">
        <v>30</v>
      </c>
      <c r="O39" s="3" t="s">
        <v>2644</v>
      </c>
      <c r="P39" s="3">
        <v>2</v>
      </c>
    </row>
    <row r="40" spans="2:16">
      <c r="B40" s="43"/>
      <c r="C40" s="44"/>
      <c r="D40" s="45"/>
      <c r="E40" s="47"/>
      <c r="F40" s="1"/>
      <c r="G40" s="46"/>
      <c r="H40" s="42"/>
      <c r="M40" s="16" t="s">
        <v>2656</v>
      </c>
      <c r="N40" s="3">
        <v>50</v>
      </c>
      <c r="O40" s="3" t="s">
        <v>2644</v>
      </c>
      <c r="P40" s="3">
        <v>3</v>
      </c>
    </row>
    <row r="41" spans="2:16">
      <c r="B41" s="48"/>
      <c r="C41" s="49"/>
      <c r="D41" s="50"/>
      <c r="E41" s="51"/>
      <c r="F41" s="52"/>
      <c r="G41" s="53"/>
      <c r="H41" s="54"/>
      <c r="P41" s="3">
        <f>SUM(P17:P40)</f>
        <v>48</v>
      </c>
    </row>
    <row r="42" spans="2:16">
      <c r="B42" s="55">
        <v>2</v>
      </c>
      <c r="C42" s="56" t="s">
        <v>8</v>
      </c>
      <c r="D42" s="57">
        <v>10</v>
      </c>
      <c r="E42" s="58" t="s">
        <v>2657</v>
      </c>
      <c r="F42" s="3" t="s">
        <v>5</v>
      </c>
      <c r="G42" s="59">
        <v>30</v>
      </c>
      <c r="H42" s="16">
        <f>VLOOKUP(F42,道具定价!$C:$F,4,0)*G42</f>
        <v>30</v>
      </c>
    </row>
    <row r="43" spans="2:16">
      <c r="B43" s="43"/>
      <c r="C43" s="60" t="s">
        <v>614</v>
      </c>
      <c r="D43" s="61">
        <v>5</v>
      </c>
      <c r="E43" s="58" t="s">
        <v>2137</v>
      </c>
      <c r="F43" s="3" t="s">
        <v>5</v>
      </c>
      <c r="G43" s="62">
        <v>50</v>
      </c>
      <c r="H43" s="16">
        <f>VLOOKUP(F43,道具定价!$C:$F,4,0)*G43</f>
        <v>50</v>
      </c>
    </row>
    <row r="44" spans="2:16">
      <c r="B44" s="43"/>
      <c r="C44" s="60" t="s">
        <v>670</v>
      </c>
      <c r="D44" s="61">
        <v>5</v>
      </c>
      <c r="E44" s="63" t="s">
        <v>2658</v>
      </c>
      <c r="F44" s="3" t="s">
        <v>601</v>
      </c>
      <c r="G44" s="62">
        <v>30000</v>
      </c>
      <c r="H44" s="16">
        <f>VLOOKUP(F44,道具定价!$C:$F,4,0)*G44</f>
        <v>30</v>
      </c>
    </row>
    <row r="45" spans="2:16">
      <c r="B45" s="43"/>
      <c r="C45" s="60" t="s">
        <v>601</v>
      </c>
      <c r="D45" s="61">
        <v>50000</v>
      </c>
      <c r="E45" s="64" t="s">
        <v>2659</v>
      </c>
      <c r="F45" s="3" t="s">
        <v>613</v>
      </c>
      <c r="G45" s="62">
        <v>10</v>
      </c>
      <c r="H45" s="16">
        <f>VLOOKUP(F45,道具定价!$C:$F,4,0)*G45</f>
        <v>20</v>
      </c>
    </row>
    <row r="46" spans="2:16">
      <c r="B46" s="43"/>
      <c r="C46" s="60" t="s">
        <v>665</v>
      </c>
      <c r="D46" s="61">
        <v>1</v>
      </c>
      <c r="E46" s="64" t="s">
        <v>2660</v>
      </c>
      <c r="F46" s="3" t="s">
        <v>5</v>
      </c>
      <c r="G46" s="62">
        <v>50</v>
      </c>
      <c r="H46" s="16">
        <f>VLOOKUP(F46,道具定价!$C:$F,4,0)*G46</f>
        <v>50</v>
      </c>
    </row>
    <row r="47" spans="2:16">
      <c r="B47" s="48"/>
      <c r="C47" s="65"/>
      <c r="D47" s="66"/>
      <c r="E47" s="67" t="s">
        <v>2661</v>
      </c>
      <c r="F47" s="3" t="s">
        <v>601</v>
      </c>
      <c r="G47" s="62">
        <v>30000</v>
      </c>
      <c r="H47" s="68">
        <f>VLOOKUP(F47,道具定价!$C:$F,4,0)*G47</f>
        <v>30</v>
      </c>
    </row>
    <row r="48" spans="2:16">
      <c r="B48" s="33">
        <v>3</v>
      </c>
      <c r="C48" s="56" t="s">
        <v>8</v>
      </c>
      <c r="D48" s="57">
        <v>10</v>
      </c>
      <c r="E48" s="58" t="s">
        <v>2173</v>
      </c>
      <c r="F48" s="3" t="s">
        <v>5</v>
      </c>
      <c r="G48" s="59">
        <v>20</v>
      </c>
      <c r="H48" s="16">
        <f>VLOOKUP(F48,道具定价!$C:$F,4,0)*G48</f>
        <v>20</v>
      </c>
    </row>
    <row r="49" spans="2:13">
      <c r="B49" s="69"/>
      <c r="C49" s="60" t="s">
        <v>601</v>
      </c>
      <c r="D49" s="61">
        <v>100000</v>
      </c>
      <c r="E49" s="58" t="s">
        <v>2662</v>
      </c>
      <c r="F49" s="3" t="s">
        <v>5</v>
      </c>
      <c r="G49" s="62">
        <v>30</v>
      </c>
      <c r="H49" s="16">
        <f>VLOOKUP(F49,道具定价!$C:$F,4,0)*G49</f>
        <v>30</v>
      </c>
    </row>
    <row r="50" spans="2:13">
      <c r="B50" s="69"/>
      <c r="C50" s="70" t="s">
        <v>2663</v>
      </c>
      <c r="D50" s="61">
        <v>1</v>
      </c>
      <c r="E50" s="58" t="s">
        <v>2206</v>
      </c>
      <c r="F50" s="3" t="s">
        <v>5</v>
      </c>
      <c r="G50" s="62">
        <v>50</v>
      </c>
      <c r="H50" s="16">
        <f>VLOOKUP(F50,道具定价!$C:$F,4,0)*G50</f>
        <v>50</v>
      </c>
    </row>
    <row r="51" spans="2:13">
      <c r="B51" s="69"/>
      <c r="C51" s="70" t="s">
        <v>2448</v>
      </c>
      <c r="D51" s="61">
        <v>2</v>
      </c>
      <c r="E51" s="64" t="s">
        <v>2664</v>
      </c>
      <c r="F51" s="3" t="s">
        <v>601</v>
      </c>
      <c r="G51" s="62">
        <v>30000</v>
      </c>
      <c r="H51" s="16">
        <v>30</v>
      </c>
    </row>
    <row r="52" spans="2:13">
      <c r="B52" s="69"/>
      <c r="C52" s="70" t="s">
        <v>2663</v>
      </c>
      <c r="D52" s="61">
        <v>1</v>
      </c>
      <c r="E52" s="64" t="s">
        <v>2145</v>
      </c>
      <c r="F52" s="3" t="s">
        <v>614</v>
      </c>
      <c r="G52" s="71">
        <v>3</v>
      </c>
      <c r="H52" s="16">
        <f>VLOOKUP(F52,道具定价!$C:$F,4,0)*G52</f>
        <v>30</v>
      </c>
      <c r="M52" s="16"/>
    </row>
    <row r="53" spans="2:13">
      <c r="B53" s="69"/>
      <c r="C53" s="61"/>
      <c r="D53" s="61"/>
      <c r="E53" s="64" t="s">
        <v>2665</v>
      </c>
      <c r="F53" s="3" t="s">
        <v>601</v>
      </c>
      <c r="G53" s="62">
        <v>30000</v>
      </c>
      <c r="H53" s="16">
        <f>VLOOKUP(F53,道具定价!$C:$F,4,0)*G53</f>
        <v>30</v>
      </c>
      <c r="M53" s="16"/>
    </row>
    <row r="54" spans="2:13">
      <c r="B54" s="69"/>
      <c r="C54" s="61"/>
      <c r="D54" s="61"/>
      <c r="E54" s="64" t="s">
        <v>2666</v>
      </c>
      <c r="F54" s="3" t="s">
        <v>5</v>
      </c>
      <c r="G54" s="62">
        <v>50</v>
      </c>
      <c r="H54" s="16">
        <f>VLOOKUP(F54,道具定价!$C:$F,4,0)*G54</f>
        <v>50</v>
      </c>
      <c r="M54" s="16"/>
    </row>
    <row r="55" spans="2:13">
      <c r="B55" s="72"/>
      <c r="C55" s="73"/>
      <c r="D55" s="66"/>
      <c r="E55" s="67" t="s">
        <v>2667</v>
      </c>
      <c r="F55" s="74" t="s">
        <v>728</v>
      </c>
      <c r="G55" s="75">
        <v>20000</v>
      </c>
      <c r="H55" s="16">
        <f>VLOOKUP(F55,道具定价!$C:$F,4,0)*G55</f>
        <v>200</v>
      </c>
      <c r="M55" s="16"/>
    </row>
    <row r="56" spans="2:13">
      <c r="B56" s="33">
        <v>4</v>
      </c>
      <c r="C56" s="56" t="s">
        <v>8</v>
      </c>
      <c r="D56" s="57">
        <v>10</v>
      </c>
      <c r="E56" s="58" t="s">
        <v>2240</v>
      </c>
      <c r="F56" s="3" t="s">
        <v>5</v>
      </c>
      <c r="G56" s="59">
        <v>20</v>
      </c>
      <c r="H56" s="16">
        <f>VLOOKUP(F56,道具定价!$C:$F,4,0)*G56</f>
        <v>20</v>
      </c>
    </row>
    <row r="57" spans="2:13">
      <c r="B57" s="69"/>
      <c r="C57" s="70" t="s">
        <v>728</v>
      </c>
      <c r="D57" s="61">
        <v>15000</v>
      </c>
      <c r="E57" s="58" t="s">
        <v>2668</v>
      </c>
      <c r="F57" s="3" t="s">
        <v>5</v>
      </c>
      <c r="G57" s="59">
        <v>30</v>
      </c>
      <c r="H57" s="16">
        <f>VLOOKUP(F57,道具定价!$C:$F,4,0)*G57</f>
        <v>30</v>
      </c>
    </row>
    <row r="58" spans="2:13">
      <c r="B58" s="69"/>
      <c r="C58" s="60" t="s">
        <v>601</v>
      </c>
      <c r="D58" s="61">
        <v>100000</v>
      </c>
      <c r="E58" s="58" t="s">
        <v>2273</v>
      </c>
      <c r="F58" s="3" t="s">
        <v>5</v>
      </c>
      <c r="G58" s="59">
        <v>50</v>
      </c>
      <c r="H58" s="16">
        <f>VLOOKUP(F58,道具定价!$C:$F,4,0)*G58</f>
        <v>50</v>
      </c>
    </row>
    <row r="59" spans="2:13">
      <c r="B59" s="69"/>
      <c r="C59" s="70" t="s">
        <v>2669</v>
      </c>
      <c r="D59" s="70">
        <v>4</v>
      </c>
      <c r="E59" s="63" t="s">
        <v>2670</v>
      </c>
      <c r="F59" s="3" t="s">
        <v>601</v>
      </c>
      <c r="G59" s="62">
        <v>30000</v>
      </c>
      <c r="H59" s="16">
        <f>VLOOKUP(F59,道具定价!$C:$F,4,0)*G59</f>
        <v>30</v>
      </c>
    </row>
    <row r="60" spans="2:13">
      <c r="B60" s="69"/>
      <c r="C60" s="70" t="s">
        <v>2450</v>
      </c>
      <c r="D60" s="61">
        <v>2</v>
      </c>
      <c r="E60" s="64" t="s">
        <v>2671</v>
      </c>
      <c r="F60" s="3" t="s">
        <v>614</v>
      </c>
      <c r="G60" s="62">
        <v>3</v>
      </c>
      <c r="H60" s="16">
        <f>VLOOKUP(F60,道具定价!$C:$F,4,0)*G60</f>
        <v>30</v>
      </c>
    </row>
    <row r="61" spans="2:13">
      <c r="B61" s="69"/>
      <c r="C61" s="61"/>
      <c r="D61" s="61"/>
      <c r="E61" s="64" t="s">
        <v>2672</v>
      </c>
      <c r="F61" s="3" t="s">
        <v>601</v>
      </c>
      <c r="G61" s="71">
        <v>50000</v>
      </c>
      <c r="H61" s="16">
        <f>VLOOKUP(F61,道具定价!$C:$F,4,0)*G61</f>
        <v>50</v>
      </c>
    </row>
    <row r="62" spans="2:13">
      <c r="B62" s="69"/>
      <c r="C62" s="70"/>
      <c r="D62" s="61"/>
      <c r="E62" s="64" t="s">
        <v>2673</v>
      </c>
      <c r="F62" s="3" t="s">
        <v>5</v>
      </c>
      <c r="G62" s="62">
        <v>50</v>
      </c>
      <c r="H62" s="16">
        <f>VLOOKUP(F62,道具定价!$C:$F,4,0)*G62</f>
        <v>50</v>
      </c>
    </row>
    <row r="63" spans="2:13">
      <c r="B63" s="72"/>
      <c r="C63" s="76"/>
      <c r="D63" s="66"/>
      <c r="E63" s="67" t="s">
        <v>2674</v>
      </c>
      <c r="F63" s="74" t="s">
        <v>728</v>
      </c>
      <c r="G63" s="75">
        <v>20000</v>
      </c>
      <c r="H63" s="68">
        <f>VLOOKUP(F63,道具定价!$C:$F,4,0)*G63</f>
        <v>200</v>
      </c>
    </row>
    <row r="64" spans="2:13">
      <c r="B64" s="33">
        <v>5</v>
      </c>
      <c r="C64" s="56" t="s">
        <v>8</v>
      </c>
      <c r="D64" s="57">
        <v>10</v>
      </c>
      <c r="E64" s="58" t="s">
        <v>2303</v>
      </c>
      <c r="F64" s="3" t="s">
        <v>5</v>
      </c>
      <c r="G64" s="59">
        <v>20</v>
      </c>
      <c r="H64" s="16">
        <f>VLOOKUP(F64,道具定价!$C:$F,4,0)*G64</f>
        <v>20</v>
      </c>
    </row>
    <row r="65" spans="2:8">
      <c r="B65" s="69"/>
      <c r="C65" s="56" t="s">
        <v>9</v>
      </c>
      <c r="D65" s="57">
        <v>10</v>
      </c>
      <c r="E65" s="58" t="s">
        <v>2675</v>
      </c>
      <c r="F65" s="3" t="s">
        <v>5</v>
      </c>
      <c r="G65" s="59">
        <v>30</v>
      </c>
      <c r="H65" s="16">
        <f>VLOOKUP(F65,道具定价!$C:$F,4,0)*G65</f>
        <v>30</v>
      </c>
    </row>
    <row r="66" spans="2:8">
      <c r="B66" s="69"/>
      <c r="C66" s="70" t="s">
        <v>728</v>
      </c>
      <c r="D66" s="61">
        <v>20000</v>
      </c>
      <c r="E66" s="58" t="s">
        <v>2334</v>
      </c>
      <c r="F66" s="3" t="s">
        <v>5</v>
      </c>
      <c r="G66" s="59">
        <v>50</v>
      </c>
      <c r="H66" s="16">
        <f>VLOOKUP(F66,道具定价!$C:$F,4,0)*G66</f>
        <v>50</v>
      </c>
    </row>
    <row r="67" spans="2:8">
      <c r="B67" s="69"/>
      <c r="C67" s="60" t="s">
        <v>601</v>
      </c>
      <c r="D67" s="61">
        <v>100000</v>
      </c>
      <c r="E67" s="63" t="s">
        <v>2676</v>
      </c>
      <c r="F67" s="3" t="s">
        <v>601</v>
      </c>
      <c r="G67" s="62">
        <v>30000</v>
      </c>
      <c r="H67" s="16">
        <f>VLOOKUP(F67,道具定价!$C:$F,4,0)*G67</f>
        <v>30</v>
      </c>
    </row>
    <row r="68" spans="2:8">
      <c r="B68" s="69"/>
      <c r="C68" s="70" t="s">
        <v>2677</v>
      </c>
      <c r="D68" s="70">
        <v>2</v>
      </c>
      <c r="E68" s="64" t="s">
        <v>2678</v>
      </c>
      <c r="F68" s="3" t="s">
        <v>614</v>
      </c>
      <c r="G68" s="62">
        <v>3</v>
      </c>
      <c r="H68" s="16">
        <f>VLOOKUP(F68,道具定价!$C:$F,4,0)*G68</f>
        <v>30</v>
      </c>
    </row>
    <row r="69" spans="2:8">
      <c r="B69" s="69"/>
      <c r="C69" s="70" t="s">
        <v>2451</v>
      </c>
      <c r="D69" s="61">
        <v>2</v>
      </c>
      <c r="E69" s="64" t="s">
        <v>2679</v>
      </c>
      <c r="F69" s="3" t="s">
        <v>601</v>
      </c>
      <c r="G69" s="71">
        <v>50000</v>
      </c>
      <c r="H69" s="16">
        <f>VLOOKUP(F69,道具定价!$C:$F,4,0)*G69</f>
        <v>50</v>
      </c>
    </row>
    <row r="70" spans="2:8">
      <c r="B70" s="69"/>
      <c r="C70" s="70"/>
      <c r="D70" s="61"/>
      <c r="E70" s="64" t="s">
        <v>2680</v>
      </c>
      <c r="F70" s="3" t="s">
        <v>5</v>
      </c>
      <c r="G70" s="62">
        <v>50</v>
      </c>
      <c r="H70" s="16">
        <f>VLOOKUP(F70,道具定价!$C:$F,4,0)*G70</f>
        <v>50</v>
      </c>
    </row>
    <row r="71" spans="2:8">
      <c r="B71" s="72"/>
      <c r="C71" s="73"/>
      <c r="D71" s="66"/>
      <c r="E71" s="67" t="s">
        <v>2179</v>
      </c>
      <c r="F71" s="74" t="s">
        <v>728</v>
      </c>
      <c r="G71" s="75">
        <v>20000</v>
      </c>
      <c r="H71" s="68">
        <f>VLOOKUP(F71,道具定价!$C:$F,4,0)*G71</f>
        <v>200</v>
      </c>
    </row>
    <row r="72" spans="2:8">
      <c r="B72" s="77"/>
    </row>
    <row r="73" spans="2:8">
      <c r="B73" s="77"/>
      <c r="C73" s="77"/>
      <c r="D73" s="77"/>
      <c r="F73" s="77"/>
      <c r="G73" s="59"/>
    </row>
    <row r="74" spans="2:8">
      <c r="B74" s="77"/>
      <c r="C74" s="77"/>
      <c r="D74" s="77"/>
      <c r="E74" s="77"/>
      <c r="F74" s="77"/>
      <c r="G74" s="62"/>
    </row>
    <row r="75" spans="2:8">
      <c r="B75" s="77"/>
      <c r="C75" s="77"/>
      <c r="D75" s="77"/>
      <c r="E75" s="77"/>
      <c r="F75" s="77"/>
      <c r="G75" s="62"/>
    </row>
    <row r="76" spans="2:8">
      <c r="B76" s="77"/>
      <c r="C76" s="77"/>
      <c r="D76" s="77"/>
      <c r="E76" s="77"/>
      <c r="F76" s="77"/>
      <c r="G76" s="62"/>
    </row>
    <row r="77" spans="2:8">
      <c r="B77" s="77"/>
      <c r="C77" s="77"/>
      <c r="D77" s="77"/>
      <c r="E77" s="77"/>
      <c r="F77" s="77"/>
      <c r="G77" s="62"/>
    </row>
    <row r="78" spans="2:8">
      <c r="B78" s="77"/>
      <c r="C78" s="77"/>
      <c r="D78" s="77"/>
      <c r="E78" s="77"/>
      <c r="F78" s="77"/>
      <c r="G78" s="62"/>
    </row>
    <row r="79" spans="2:8">
      <c r="B79" s="77"/>
      <c r="C79" s="77"/>
      <c r="D79" s="77"/>
      <c r="E79" s="77"/>
      <c r="F79" s="77"/>
      <c r="G79" s="62"/>
    </row>
    <row r="80" spans="2:8">
      <c r="B80" s="77"/>
      <c r="C80" s="77"/>
      <c r="D80" s="77"/>
      <c r="E80" s="77"/>
      <c r="F80" s="77"/>
      <c r="G80" s="78"/>
    </row>
    <row r="81" spans="2:7">
      <c r="B81" s="77"/>
      <c r="C81" s="77"/>
      <c r="D81" s="77"/>
      <c r="E81" s="77"/>
      <c r="F81" s="77"/>
      <c r="G81" s="62"/>
    </row>
    <row r="82" spans="2:7">
      <c r="B82" s="77"/>
      <c r="C82" s="77"/>
      <c r="D82" s="77"/>
      <c r="E82" s="77"/>
      <c r="F82" s="77"/>
      <c r="G82" s="62"/>
    </row>
    <row r="83" spans="2:7">
      <c r="B83" s="77"/>
      <c r="C83" s="77"/>
      <c r="D83" s="77"/>
      <c r="E83" s="77"/>
      <c r="F83" s="77"/>
      <c r="G83" s="62"/>
    </row>
    <row r="84" spans="2:7">
      <c r="B84" s="77"/>
      <c r="C84" s="77"/>
      <c r="D84" s="77"/>
      <c r="E84" s="77"/>
      <c r="F84" s="77"/>
      <c r="G84" s="62"/>
    </row>
    <row r="85" spans="2:7">
      <c r="B85" s="77"/>
      <c r="C85" s="77"/>
      <c r="D85" s="77"/>
      <c r="E85" s="77"/>
      <c r="F85" s="77"/>
      <c r="G85" s="62"/>
    </row>
    <row r="86" spans="2:7">
      <c r="B86" s="77"/>
      <c r="C86" s="77"/>
      <c r="D86" s="77"/>
      <c r="E86" s="77"/>
      <c r="F86" s="77"/>
      <c r="G86" s="79"/>
    </row>
    <row r="87" spans="2:7">
      <c r="B87" s="77"/>
      <c r="C87" s="77"/>
      <c r="D87" s="77"/>
      <c r="E87" s="77"/>
      <c r="F87" s="77"/>
      <c r="G87" s="79"/>
    </row>
    <row r="88" spans="2:7">
      <c r="B88" s="77"/>
      <c r="C88" s="77"/>
      <c r="D88" s="77"/>
      <c r="E88" s="77"/>
      <c r="F88" s="77"/>
      <c r="G88" s="79"/>
    </row>
    <row r="89" spans="2:7">
      <c r="B89" s="77"/>
      <c r="C89" s="77"/>
      <c r="D89" s="77"/>
      <c r="E89" s="77"/>
      <c r="F89" s="77"/>
      <c r="G89" s="62"/>
    </row>
    <row r="90" spans="2:7">
      <c r="B90" s="77"/>
      <c r="C90" s="77"/>
      <c r="D90" s="77"/>
      <c r="E90" s="77"/>
      <c r="F90" s="77"/>
      <c r="G90" s="62"/>
    </row>
    <row r="91" spans="2:7">
      <c r="B91" s="77"/>
      <c r="C91" s="77"/>
      <c r="D91" s="77"/>
      <c r="E91" s="77"/>
      <c r="F91" s="77"/>
      <c r="G91" s="62"/>
    </row>
    <row r="92" spans="2:7">
      <c r="B92" s="77"/>
      <c r="C92" s="77"/>
      <c r="D92" s="77"/>
      <c r="E92" s="77"/>
      <c r="F92" s="77"/>
      <c r="G92" s="62"/>
    </row>
    <row r="93" spans="2:7">
      <c r="B93" s="77"/>
      <c r="C93" s="77"/>
      <c r="D93" s="77"/>
      <c r="E93" s="77"/>
      <c r="F93" s="77"/>
      <c r="G93" s="62"/>
    </row>
    <row r="94" spans="2:7">
      <c r="B94" s="77"/>
      <c r="C94" s="77"/>
      <c r="D94" s="77"/>
      <c r="E94" s="77"/>
      <c r="F94" s="77"/>
      <c r="G94" s="62"/>
    </row>
    <row r="95" spans="2:7">
      <c r="B95" s="77"/>
      <c r="C95" s="77"/>
      <c r="D95" s="77"/>
      <c r="E95" s="77"/>
      <c r="F95" s="77"/>
      <c r="G95" s="62"/>
    </row>
    <row r="96" spans="2:7">
      <c r="B96" s="77"/>
      <c r="C96" s="77"/>
      <c r="D96" s="77"/>
      <c r="E96" s="77"/>
      <c r="F96" s="77"/>
      <c r="G96" s="62"/>
    </row>
    <row r="97" spans="2:7">
      <c r="B97" s="77"/>
      <c r="C97" s="77"/>
      <c r="D97" s="77"/>
      <c r="E97" s="77"/>
      <c r="F97" s="77"/>
      <c r="G97" s="62"/>
    </row>
    <row r="98" spans="2:7">
      <c r="B98" s="77"/>
      <c r="C98" s="77"/>
      <c r="D98" s="77"/>
      <c r="E98" s="77"/>
      <c r="F98" s="77"/>
      <c r="G98" s="62"/>
    </row>
    <row r="99" spans="2:7">
      <c r="B99" s="77"/>
      <c r="C99" s="77"/>
      <c r="D99" s="77"/>
      <c r="E99" s="77"/>
      <c r="F99" s="77"/>
      <c r="G99" s="62"/>
    </row>
    <row r="100" spans="2:7">
      <c r="B100" s="77"/>
      <c r="C100" s="77"/>
      <c r="D100" s="77"/>
      <c r="E100" s="77"/>
      <c r="F100" s="77"/>
      <c r="G100" s="62"/>
    </row>
    <row r="101" spans="2:7">
      <c r="B101" s="77"/>
      <c r="C101" s="77"/>
      <c r="D101" s="77"/>
      <c r="E101" s="77"/>
      <c r="F101" s="77"/>
      <c r="G101" s="62"/>
    </row>
    <row r="102" spans="2:7">
      <c r="B102" s="77"/>
      <c r="C102" s="77"/>
      <c r="D102" s="77"/>
      <c r="E102" s="77"/>
      <c r="F102" s="77"/>
      <c r="G102" s="62"/>
    </row>
    <row r="103" spans="2:7">
      <c r="B103" s="77"/>
      <c r="C103" s="77"/>
      <c r="D103" s="77"/>
      <c r="E103" s="77"/>
      <c r="F103" s="77"/>
      <c r="G103" s="62"/>
    </row>
    <row r="104" spans="2:7">
      <c r="B104" s="77"/>
      <c r="C104" s="77"/>
      <c r="D104" s="77"/>
      <c r="E104" s="77"/>
      <c r="F104" s="77"/>
      <c r="G104" s="62"/>
    </row>
    <row r="105" spans="2:7">
      <c r="B105" s="77"/>
      <c r="C105" s="77"/>
      <c r="D105" s="77"/>
      <c r="E105" s="77"/>
      <c r="F105" s="77"/>
      <c r="G105" s="62"/>
    </row>
    <row r="106" spans="2:7">
      <c r="B106" s="77"/>
      <c r="C106" s="77"/>
      <c r="D106" s="77"/>
      <c r="E106" s="77"/>
      <c r="F106" s="77"/>
      <c r="G106" s="62"/>
    </row>
    <row r="107" spans="2:7">
      <c r="B107" s="77"/>
      <c r="C107" s="77"/>
      <c r="D107" s="77"/>
      <c r="E107" s="77"/>
      <c r="F107" s="77"/>
      <c r="G107" s="62"/>
    </row>
    <row r="108" spans="2:7">
      <c r="B108" s="77"/>
      <c r="C108" s="77"/>
      <c r="D108" s="77"/>
      <c r="E108" s="77"/>
      <c r="F108" s="77"/>
      <c r="G108" s="62"/>
    </row>
    <row r="109" spans="2:7">
      <c r="B109" s="77"/>
      <c r="C109" s="77"/>
      <c r="D109" s="77"/>
      <c r="E109" s="77"/>
      <c r="F109" s="77"/>
      <c r="G109" s="62"/>
    </row>
    <row r="110" spans="2:7">
      <c r="B110" s="77"/>
      <c r="C110" s="77"/>
      <c r="D110" s="77"/>
      <c r="E110" s="77"/>
      <c r="F110" s="77"/>
      <c r="G110" s="62"/>
    </row>
    <row r="111" spans="2:7">
      <c r="B111" s="77"/>
      <c r="C111" s="77"/>
      <c r="D111" s="77"/>
      <c r="E111" s="77"/>
      <c r="F111" s="77"/>
      <c r="G111" s="62"/>
    </row>
    <row r="112" spans="2:7">
      <c r="B112" s="77"/>
      <c r="C112" s="77"/>
      <c r="D112" s="77"/>
      <c r="E112" s="77"/>
      <c r="F112" s="77"/>
      <c r="G112" s="62"/>
    </row>
    <row r="113" spans="2:7">
      <c r="B113" s="77"/>
      <c r="C113" s="77"/>
      <c r="D113" s="77"/>
      <c r="E113" s="77"/>
      <c r="F113" s="77"/>
      <c r="G113" s="62"/>
    </row>
  </sheetData>
  <mergeCells count="12">
    <mergeCell ref="C36:D36"/>
    <mergeCell ref="B37:B41"/>
    <mergeCell ref="B42:B47"/>
    <mergeCell ref="B48:B55"/>
    <mergeCell ref="B56:B63"/>
    <mergeCell ref="B64:B71"/>
    <mergeCell ref="S4:S6"/>
    <mergeCell ref="S7:S9"/>
    <mergeCell ref="S10:S12"/>
    <mergeCell ref="S13:S15"/>
    <mergeCell ref="S16:S18"/>
    <mergeCell ref="S19:S22"/>
  </mergeCell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B1:AH34"/>
  <sheetViews>
    <sheetView topLeftCell="A3" workbookViewId="0">
      <selection activeCell="H5" sqref="H5:K34"/>
    </sheetView>
  </sheetViews>
  <sheetFormatPr defaultColWidth="9" defaultRowHeight="16.5"/>
  <cols>
    <col min="1" max="4" width="9" style="3" customWidth="1"/>
    <col min="5" max="7" width="12.875" style="3" customWidth="1"/>
    <col min="8" max="8" width="12.375" style="3" customWidth="1"/>
    <col min="9" max="9" width="9.625" style="3" customWidth="1"/>
    <col min="10" max="11" width="10" style="3" customWidth="1"/>
    <col min="12" max="19" width="12.875" style="3" customWidth="1"/>
    <col min="20" max="20" width="12.375" style="3" hidden="1" customWidth="1"/>
    <col min="21" max="23" width="12.125" style="3" hidden="1" customWidth="1"/>
    <col min="24" max="28" width="12.125" style="3" customWidth="1"/>
    <col min="29" max="29" width="9" style="3" customWidth="1"/>
    <col min="30" max="30" width="12.875" style="3" customWidth="1"/>
    <col min="31" max="31" width="15.5" style="14" customWidth="1"/>
    <col min="32" max="32" width="13" style="14" customWidth="1"/>
    <col min="33" max="33" width="13" style="3" customWidth="1"/>
    <col min="34" max="34" width="13" style="14" customWidth="1"/>
    <col min="35" max="16384" width="13" style="3" customWidth="1"/>
  </cols>
  <sheetData>
    <row r="1" spans="2:34">
      <c r="AC1" s="16" t="s">
        <v>711</v>
      </c>
    </row>
    <row r="2" s="3" customFormat="1" spans="2:34">
      <c r="B2" s="6" t="s">
        <v>2681</v>
      </c>
      <c r="D2" s="3" t="s">
        <v>2682</v>
      </c>
      <c r="E2" s="5">
        <v>2</v>
      </c>
      <c r="F2" s="3" t="s">
        <v>2683</v>
      </c>
      <c r="G2" s="5">
        <v>15</v>
      </c>
      <c r="H2" s="3" t="s">
        <v>2684</v>
      </c>
      <c r="I2" s="5">
        <v>50</v>
      </c>
    </row>
    <row r="4" s="3" customFormat="1" spans="2:34">
      <c r="B4" s="19" t="s">
        <v>1902</v>
      </c>
      <c r="C4" s="19" t="s">
        <v>1971</v>
      </c>
      <c r="D4" s="19" t="s">
        <v>1108</v>
      </c>
      <c r="E4" s="19" t="s">
        <v>2685</v>
      </c>
      <c r="F4" s="19" t="s">
        <v>2686</v>
      </c>
      <c r="G4" s="19" t="s">
        <v>2687</v>
      </c>
      <c r="H4" s="19" t="s">
        <v>1974</v>
      </c>
      <c r="I4" s="19" t="s">
        <v>1975</v>
      </c>
      <c r="J4" s="19" t="s">
        <v>1976</v>
      </c>
      <c r="K4" s="19" t="s">
        <v>1977</v>
      </c>
      <c r="L4" s="19" t="s">
        <v>1978</v>
      </c>
      <c r="M4" s="19" t="s">
        <v>1979</v>
      </c>
      <c r="N4" s="19" t="s">
        <v>1980</v>
      </c>
      <c r="O4" s="19" t="s">
        <v>1981</v>
      </c>
      <c r="P4" s="19" t="s">
        <v>1982</v>
      </c>
      <c r="Q4" s="19" t="s">
        <v>1983</v>
      </c>
      <c r="R4" s="19" t="s">
        <v>1984</v>
      </c>
      <c r="S4" s="19" t="s">
        <v>1985</v>
      </c>
      <c r="T4" s="19" t="s">
        <v>2688</v>
      </c>
      <c r="U4" s="19" t="s">
        <v>2689</v>
      </c>
      <c r="V4" s="19" t="s">
        <v>2690</v>
      </c>
      <c r="W4" s="19" t="s">
        <v>2691</v>
      </c>
      <c r="X4" s="19" t="s">
        <v>2692</v>
      </c>
      <c r="Y4" s="19" t="s">
        <v>2693</v>
      </c>
      <c r="Z4" s="19" t="s">
        <v>2694</v>
      </c>
      <c r="AA4" s="19" t="s">
        <v>2695</v>
      </c>
      <c r="AB4" s="19" t="s">
        <v>2696</v>
      </c>
      <c r="AC4" s="19" t="s">
        <v>1436</v>
      </c>
      <c r="AD4" s="19" t="s">
        <v>2697</v>
      </c>
      <c r="AE4" s="19" t="s">
        <v>230</v>
      </c>
      <c r="AF4" s="19" t="s">
        <v>2477</v>
      </c>
      <c r="AG4" s="19" t="s">
        <v>1905</v>
      </c>
      <c r="AH4" s="19" t="s">
        <v>2392</v>
      </c>
    </row>
    <row r="5" s="3" customFormat="1" spans="2:34">
      <c r="B5" s="16">
        <v>1</v>
      </c>
      <c r="C5" s="16">
        <v>15</v>
      </c>
      <c r="D5" s="13">
        <f t="shared" ref="D5:D34" si="0">C5*10</f>
        <v>150</v>
      </c>
      <c r="E5" s="16">
        <v>2</v>
      </c>
      <c r="F5" s="16"/>
      <c r="G5" s="16"/>
      <c r="H5" s="20">
        <v>0.91</v>
      </c>
      <c r="I5" s="20">
        <v>0.09</v>
      </c>
      <c r="J5" s="20">
        <v>0</v>
      </c>
      <c r="K5" s="20">
        <v>0</v>
      </c>
      <c r="L5" s="21">
        <f t="shared" ref="L5:L34" si="1">$E5*H5</f>
        <v>1.82</v>
      </c>
      <c r="M5" s="21">
        <f t="shared" ref="M5:M34" si="2">$E5*I5</f>
        <v>0.18</v>
      </c>
      <c r="N5" s="21">
        <f t="shared" ref="N5:N34" si="3">$E5*J5</f>
        <v>0</v>
      </c>
      <c r="O5" s="21">
        <f t="shared" ref="O5:O34" si="4">$E5*K5</f>
        <v>0</v>
      </c>
      <c r="P5" s="21">
        <f>L5*道具定价!$F$122</f>
        <v>3.64</v>
      </c>
      <c r="Q5" s="21">
        <f>M5*道具定价!$F$123</f>
        <v>1.44</v>
      </c>
      <c r="R5" s="21">
        <f>道具定价!$F$124*N5</f>
        <v>0</v>
      </c>
      <c r="S5" s="21">
        <f>O5*道具定价!$F$125</f>
        <v>0</v>
      </c>
      <c r="T5" s="16">
        <v>0</v>
      </c>
      <c r="U5" s="22">
        <f t="shared" ref="U5:U34" si="5">1-V5-W5</f>
        <v>1</v>
      </c>
      <c r="V5" s="22">
        <v>0</v>
      </c>
      <c r="W5" s="22">
        <v>0</v>
      </c>
      <c r="X5" s="16">
        <f>道具定价!$F$134*U5*T5</f>
        <v>0</v>
      </c>
      <c r="Y5" s="16">
        <f>V5*T5*道具定价!$F$135</f>
        <v>0</v>
      </c>
      <c r="Z5" s="16">
        <f>道具定价!$F$136*W5*T5</f>
        <v>0</v>
      </c>
      <c r="AA5" s="16">
        <v>1000</v>
      </c>
      <c r="AB5" s="21">
        <f>AA5*道具定价!$F$144</f>
        <v>10</v>
      </c>
      <c r="AC5" s="21">
        <f t="shared" ref="AC5:AC34" si="6">SUM(P5:S5)+SUM(X5:Z5)+AB5</f>
        <v>15.08</v>
      </c>
      <c r="AD5" s="21">
        <f>C5*道具定价!$F$9</f>
        <v>60</v>
      </c>
      <c r="AE5" s="16" t="s">
        <v>1156</v>
      </c>
      <c r="AF5" s="16">
        <v>20</v>
      </c>
      <c r="AG5" s="16" t="s">
        <v>2698</v>
      </c>
      <c r="AH5" s="16">
        <v>1</v>
      </c>
    </row>
    <row r="6" s="3" customFormat="1" spans="2:34">
      <c r="B6" s="16">
        <v>2</v>
      </c>
      <c r="C6" s="16">
        <v>15</v>
      </c>
      <c r="D6" s="13">
        <f t="shared" si="0"/>
        <v>150</v>
      </c>
      <c r="E6" s="16">
        <v>2</v>
      </c>
      <c r="F6" s="16"/>
      <c r="G6" s="16"/>
      <c r="H6" s="20">
        <v>0.82</v>
      </c>
      <c r="I6" s="20">
        <v>0.18</v>
      </c>
      <c r="J6" s="20">
        <v>0</v>
      </c>
      <c r="K6" s="20">
        <v>0</v>
      </c>
      <c r="L6" s="21">
        <f t="shared" si="1"/>
        <v>1.64</v>
      </c>
      <c r="M6" s="21">
        <f t="shared" si="2"/>
        <v>0.36</v>
      </c>
      <c r="N6" s="21">
        <f t="shared" si="3"/>
        <v>0</v>
      </c>
      <c r="O6" s="21">
        <f t="shared" si="4"/>
        <v>0</v>
      </c>
      <c r="P6" s="21">
        <f>L6*道具定价!$F$122</f>
        <v>3.28</v>
      </c>
      <c r="Q6" s="21">
        <f>M6*道具定价!$F$123</f>
        <v>2.88</v>
      </c>
      <c r="R6" s="21">
        <f>道具定价!$F$124*N6</f>
        <v>0</v>
      </c>
      <c r="S6" s="21">
        <f>O6*道具定价!$F$125</f>
        <v>0</v>
      </c>
      <c r="T6" s="16">
        <v>0</v>
      </c>
      <c r="U6" s="22">
        <f t="shared" si="5"/>
        <v>0.8</v>
      </c>
      <c r="V6" s="22">
        <v>0.2</v>
      </c>
      <c r="W6" s="22">
        <v>0</v>
      </c>
      <c r="X6" s="16">
        <f>道具定价!$F$134*U6*T6</f>
        <v>0</v>
      </c>
      <c r="Y6" s="16">
        <f>V6*T6*道具定价!$F$135</f>
        <v>0</v>
      </c>
      <c r="Z6" s="16">
        <f>道具定价!$F$136*W6*T6</f>
        <v>0</v>
      </c>
      <c r="AA6" s="16">
        <v>1100</v>
      </c>
      <c r="AB6" s="21">
        <f>AA6*道具定价!$F$144</f>
        <v>11</v>
      </c>
      <c r="AC6" s="21">
        <f t="shared" si="6"/>
        <v>17.16</v>
      </c>
      <c r="AD6" s="21">
        <f>C6*道具定价!$F$9</f>
        <v>60</v>
      </c>
      <c r="AE6" s="16" t="s">
        <v>710</v>
      </c>
      <c r="AF6" s="16">
        <v>2</v>
      </c>
      <c r="AG6" s="16" t="s">
        <v>2698</v>
      </c>
      <c r="AH6" s="16">
        <v>1</v>
      </c>
    </row>
    <row r="7" s="3" customFormat="1" spans="2:34">
      <c r="B7" s="16">
        <v>3</v>
      </c>
      <c r="C7" s="16">
        <v>15</v>
      </c>
      <c r="D7" s="13">
        <f t="shared" si="0"/>
        <v>150</v>
      </c>
      <c r="E7" s="16">
        <v>2</v>
      </c>
      <c r="F7" s="16"/>
      <c r="G7" s="16"/>
      <c r="H7" s="20">
        <v>0.73</v>
      </c>
      <c r="I7" s="20">
        <v>0.27</v>
      </c>
      <c r="J7" s="20">
        <v>0</v>
      </c>
      <c r="K7" s="20">
        <v>0</v>
      </c>
      <c r="L7" s="21">
        <f t="shared" si="1"/>
        <v>1.46</v>
      </c>
      <c r="M7" s="21">
        <f t="shared" si="2"/>
        <v>0.54</v>
      </c>
      <c r="N7" s="21">
        <f t="shared" si="3"/>
        <v>0</v>
      </c>
      <c r="O7" s="21">
        <f t="shared" si="4"/>
        <v>0</v>
      </c>
      <c r="P7" s="21">
        <f>L7*道具定价!$F$122</f>
        <v>2.92</v>
      </c>
      <c r="Q7" s="21">
        <f>M7*道具定价!$F$123</f>
        <v>4.32</v>
      </c>
      <c r="R7" s="21">
        <f>道具定价!$F$124*N7</f>
        <v>0</v>
      </c>
      <c r="S7" s="21">
        <f>O7*道具定价!$F$125</f>
        <v>0</v>
      </c>
      <c r="T7" s="16">
        <v>0</v>
      </c>
      <c r="U7" s="22">
        <f t="shared" si="5"/>
        <v>0.75</v>
      </c>
      <c r="V7" s="22">
        <v>0.25</v>
      </c>
      <c r="W7" s="22">
        <v>0</v>
      </c>
      <c r="X7" s="16">
        <f>道具定价!$F$134*U7*T7</f>
        <v>0</v>
      </c>
      <c r="Y7" s="16">
        <f>V7*T7*道具定价!$F$135</f>
        <v>0</v>
      </c>
      <c r="Z7" s="16">
        <f>道具定价!$F$136*W7*T7</f>
        <v>0</v>
      </c>
      <c r="AA7" s="16">
        <v>1200</v>
      </c>
      <c r="AB7" s="21">
        <f>AA7*道具定价!$F$144</f>
        <v>12</v>
      </c>
      <c r="AC7" s="21">
        <f t="shared" si="6"/>
        <v>19.24</v>
      </c>
      <c r="AD7" s="21">
        <f>C7*道具定价!$F$9</f>
        <v>60</v>
      </c>
      <c r="AE7" s="16" t="s">
        <v>1156</v>
      </c>
      <c r="AF7" s="16">
        <v>20</v>
      </c>
      <c r="AG7" s="16" t="s">
        <v>2698</v>
      </c>
      <c r="AH7" s="16">
        <v>1</v>
      </c>
    </row>
    <row r="8" s="3" customFormat="1" spans="2:34">
      <c r="B8" s="16">
        <v>4</v>
      </c>
      <c r="C8" s="16">
        <v>15</v>
      </c>
      <c r="D8" s="13">
        <f t="shared" si="0"/>
        <v>150</v>
      </c>
      <c r="E8" s="16">
        <v>2</v>
      </c>
      <c r="F8" s="16"/>
      <c r="G8" s="16"/>
      <c r="H8" s="20">
        <v>0.65</v>
      </c>
      <c r="I8" s="20">
        <v>0.35</v>
      </c>
      <c r="J8" s="20">
        <v>0</v>
      </c>
      <c r="K8" s="20">
        <v>0</v>
      </c>
      <c r="L8" s="21">
        <f t="shared" si="1"/>
        <v>1.3</v>
      </c>
      <c r="M8" s="21">
        <f t="shared" si="2"/>
        <v>0.7</v>
      </c>
      <c r="N8" s="21">
        <f t="shared" si="3"/>
        <v>0</v>
      </c>
      <c r="O8" s="21">
        <f t="shared" si="4"/>
        <v>0</v>
      </c>
      <c r="P8" s="21">
        <f>L8*道具定价!$F$122</f>
        <v>2.6</v>
      </c>
      <c r="Q8" s="21">
        <f>M8*道具定价!$F$123</f>
        <v>5.6</v>
      </c>
      <c r="R8" s="21">
        <f>道具定价!$F$124*N8</f>
        <v>0</v>
      </c>
      <c r="S8" s="21">
        <f>O8*道具定价!$F$125</f>
        <v>0</v>
      </c>
      <c r="T8" s="16">
        <v>0</v>
      </c>
      <c r="U8" s="22">
        <f t="shared" si="5"/>
        <v>0.7</v>
      </c>
      <c r="V8" s="22">
        <v>0.3</v>
      </c>
      <c r="W8" s="22">
        <v>0</v>
      </c>
      <c r="X8" s="16">
        <f>道具定价!$F$134*U8*T8</f>
        <v>0</v>
      </c>
      <c r="Y8" s="16">
        <f>V8*T8*道具定价!$F$135</f>
        <v>0</v>
      </c>
      <c r="Z8" s="16">
        <f>道具定价!$F$136*W8*T8</f>
        <v>0</v>
      </c>
      <c r="AA8" s="16">
        <v>1300</v>
      </c>
      <c r="AB8" s="21">
        <f>AA8*道具定价!$F$144</f>
        <v>13</v>
      </c>
      <c r="AC8" s="21">
        <f t="shared" si="6"/>
        <v>21.2</v>
      </c>
      <c r="AD8" s="21">
        <f>C8*道具定价!$F$9</f>
        <v>60</v>
      </c>
      <c r="AE8" s="16" t="s">
        <v>710</v>
      </c>
      <c r="AF8" s="16">
        <v>2</v>
      </c>
      <c r="AG8" s="16" t="s">
        <v>2698</v>
      </c>
      <c r="AH8" s="16">
        <v>1</v>
      </c>
    </row>
    <row r="9" s="3" customFormat="1" spans="2:34">
      <c r="B9" s="16">
        <v>5</v>
      </c>
      <c r="C9" s="16">
        <v>15</v>
      </c>
      <c r="D9" s="13">
        <f t="shared" si="0"/>
        <v>150</v>
      </c>
      <c r="E9" s="16">
        <v>2</v>
      </c>
      <c r="F9" s="16"/>
      <c r="G9" s="16"/>
      <c r="H9" s="20">
        <v>0.58</v>
      </c>
      <c r="I9" s="20">
        <v>0.42</v>
      </c>
      <c r="J9" s="20">
        <v>0</v>
      </c>
      <c r="K9" s="20">
        <v>0</v>
      </c>
      <c r="L9" s="21">
        <f t="shared" si="1"/>
        <v>1.16</v>
      </c>
      <c r="M9" s="21">
        <f t="shared" si="2"/>
        <v>0.84</v>
      </c>
      <c r="N9" s="21">
        <f t="shared" si="3"/>
        <v>0</v>
      </c>
      <c r="O9" s="21">
        <f t="shared" si="4"/>
        <v>0</v>
      </c>
      <c r="P9" s="21">
        <f>L9*道具定价!$F$122</f>
        <v>2.32</v>
      </c>
      <c r="Q9" s="21">
        <f>M9*道具定价!$F$123</f>
        <v>6.72</v>
      </c>
      <c r="R9" s="21">
        <f>道具定价!$F$124*N9</f>
        <v>0</v>
      </c>
      <c r="S9" s="21">
        <f>O9*道具定价!$F$125</f>
        <v>0</v>
      </c>
      <c r="T9" s="16">
        <v>0</v>
      </c>
      <c r="U9" s="22">
        <f t="shared" si="5"/>
        <v>0.65</v>
      </c>
      <c r="V9" s="22">
        <v>0.35</v>
      </c>
      <c r="W9" s="22">
        <v>0</v>
      </c>
      <c r="X9" s="16">
        <f>道具定价!$F$134*U9*T9</f>
        <v>0</v>
      </c>
      <c r="Y9" s="16">
        <f>V9*T9*道具定价!$F$135</f>
        <v>0</v>
      </c>
      <c r="Z9" s="16">
        <f>道具定价!$F$136*W9*T9</f>
        <v>0</v>
      </c>
      <c r="AA9" s="16">
        <v>1400</v>
      </c>
      <c r="AB9" s="21">
        <f>AA9*道具定价!$F$144</f>
        <v>14</v>
      </c>
      <c r="AC9" s="21">
        <f t="shared" si="6"/>
        <v>23.04</v>
      </c>
      <c r="AD9" s="21">
        <f>C9*道具定价!$F$9</f>
        <v>60</v>
      </c>
      <c r="AE9" s="18" t="s">
        <v>1621</v>
      </c>
      <c r="AF9" s="18">
        <v>3</v>
      </c>
      <c r="AG9" s="16" t="s">
        <v>2698</v>
      </c>
      <c r="AH9" s="16">
        <v>1</v>
      </c>
    </row>
    <row r="10" s="3" customFormat="1" spans="2:34">
      <c r="B10" s="16">
        <v>6</v>
      </c>
      <c r="C10" s="16">
        <v>15</v>
      </c>
      <c r="D10" s="13">
        <f t="shared" si="0"/>
        <v>150</v>
      </c>
      <c r="E10" s="16">
        <v>3</v>
      </c>
      <c r="F10" s="16"/>
      <c r="G10" s="16"/>
      <c r="H10" s="20">
        <v>0.51</v>
      </c>
      <c r="I10" s="20">
        <v>0.49</v>
      </c>
      <c r="J10" s="20">
        <v>0</v>
      </c>
      <c r="K10" s="20">
        <v>0</v>
      </c>
      <c r="L10" s="21">
        <f t="shared" si="1"/>
        <v>1.53</v>
      </c>
      <c r="M10" s="21">
        <f t="shared" si="2"/>
        <v>1.47</v>
      </c>
      <c r="N10" s="21">
        <f t="shared" si="3"/>
        <v>0</v>
      </c>
      <c r="O10" s="21">
        <f t="shared" si="4"/>
        <v>0</v>
      </c>
      <c r="P10" s="21">
        <f>L10*道具定价!$F$122</f>
        <v>3.06</v>
      </c>
      <c r="Q10" s="21">
        <f>M10*道具定价!$F$123</f>
        <v>11.76</v>
      </c>
      <c r="R10" s="21">
        <f>道具定价!$F$124*N10</f>
        <v>0</v>
      </c>
      <c r="S10" s="21">
        <f>O10*道具定价!$F$125</f>
        <v>0</v>
      </c>
      <c r="T10" s="16">
        <v>0</v>
      </c>
      <c r="U10" s="22">
        <f t="shared" si="5"/>
        <v>0.6</v>
      </c>
      <c r="V10" s="22">
        <v>0.35</v>
      </c>
      <c r="W10" s="22">
        <v>0.05</v>
      </c>
      <c r="X10" s="16">
        <f>道具定价!$F$134*U10*T10</f>
        <v>0</v>
      </c>
      <c r="Y10" s="16">
        <f>V10*T10*道具定价!$F$135</f>
        <v>0</v>
      </c>
      <c r="Z10" s="16">
        <f>道具定价!$F$136*W10*T10</f>
        <v>0</v>
      </c>
      <c r="AA10" s="16">
        <v>1500</v>
      </c>
      <c r="AB10" s="21">
        <f>AA10*道具定价!$F$144</f>
        <v>15</v>
      </c>
      <c r="AC10" s="21">
        <f t="shared" si="6"/>
        <v>29.82</v>
      </c>
      <c r="AD10" s="21">
        <f>C10*道具定价!$F$9</f>
        <v>60</v>
      </c>
      <c r="AE10" s="16" t="s">
        <v>1156</v>
      </c>
      <c r="AF10" s="16">
        <v>30</v>
      </c>
      <c r="AG10" s="16" t="s">
        <v>2698</v>
      </c>
      <c r="AH10" s="16">
        <v>1</v>
      </c>
    </row>
    <row r="11" s="3" customFormat="1" spans="2:34">
      <c r="B11" s="16">
        <v>7</v>
      </c>
      <c r="C11" s="16">
        <v>15</v>
      </c>
      <c r="D11" s="13">
        <f t="shared" si="0"/>
        <v>150</v>
      </c>
      <c r="E11" s="16">
        <v>3</v>
      </c>
      <c r="F11" s="16"/>
      <c r="G11" s="16"/>
      <c r="H11" s="20">
        <v>0.45</v>
      </c>
      <c r="I11" s="20">
        <v>0.55</v>
      </c>
      <c r="J11" s="20">
        <v>0</v>
      </c>
      <c r="K11" s="20">
        <v>0</v>
      </c>
      <c r="L11" s="21">
        <f t="shared" si="1"/>
        <v>1.35</v>
      </c>
      <c r="M11" s="21">
        <f t="shared" si="2"/>
        <v>1.65</v>
      </c>
      <c r="N11" s="21">
        <f t="shared" si="3"/>
        <v>0</v>
      </c>
      <c r="O11" s="21">
        <f t="shared" si="4"/>
        <v>0</v>
      </c>
      <c r="P11" s="21">
        <f>L11*道具定价!$F$122</f>
        <v>2.7</v>
      </c>
      <c r="Q11" s="21">
        <f>M11*道具定价!$F$123</f>
        <v>13.2</v>
      </c>
      <c r="R11" s="21">
        <f>道具定价!$F$124*N11</f>
        <v>0</v>
      </c>
      <c r="S11" s="21">
        <f>O11*道具定价!$F$125</f>
        <v>0</v>
      </c>
      <c r="T11" s="16">
        <v>0</v>
      </c>
      <c r="U11" s="22">
        <f t="shared" si="5"/>
        <v>0.55</v>
      </c>
      <c r="V11" s="22">
        <v>0.4</v>
      </c>
      <c r="W11" s="22">
        <v>0.05</v>
      </c>
      <c r="X11" s="16">
        <f>道具定价!$F$134*U11*T11</f>
        <v>0</v>
      </c>
      <c r="Y11" s="16">
        <f>V11*T11*道具定价!$F$135</f>
        <v>0</v>
      </c>
      <c r="Z11" s="16">
        <f>道具定价!$F$136*W11*T11</f>
        <v>0</v>
      </c>
      <c r="AA11" s="16">
        <v>1600</v>
      </c>
      <c r="AB11" s="21">
        <f>AA11*道具定价!$F$144</f>
        <v>16</v>
      </c>
      <c r="AC11" s="21">
        <f t="shared" si="6"/>
        <v>31.9</v>
      </c>
      <c r="AD11" s="21">
        <f>C11*道具定价!$F$9</f>
        <v>60</v>
      </c>
      <c r="AE11" s="16" t="s">
        <v>711</v>
      </c>
      <c r="AF11" s="16">
        <v>2</v>
      </c>
      <c r="AG11" s="16" t="s">
        <v>2698</v>
      </c>
      <c r="AH11" s="16">
        <v>1</v>
      </c>
    </row>
    <row r="12" s="3" customFormat="1" spans="2:34">
      <c r="B12" s="16">
        <v>8</v>
      </c>
      <c r="C12" s="16">
        <v>15</v>
      </c>
      <c r="D12" s="13">
        <f t="shared" si="0"/>
        <v>150</v>
      </c>
      <c r="E12" s="16">
        <v>3</v>
      </c>
      <c r="F12" s="16"/>
      <c r="G12" s="16"/>
      <c r="H12" s="20">
        <v>0.39</v>
      </c>
      <c r="I12" s="20">
        <v>0.61</v>
      </c>
      <c r="J12" s="20">
        <v>0</v>
      </c>
      <c r="K12" s="20">
        <v>0</v>
      </c>
      <c r="L12" s="21">
        <f t="shared" si="1"/>
        <v>1.17</v>
      </c>
      <c r="M12" s="21">
        <f t="shared" si="2"/>
        <v>1.83</v>
      </c>
      <c r="N12" s="21">
        <f t="shared" si="3"/>
        <v>0</v>
      </c>
      <c r="O12" s="21">
        <f t="shared" si="4"/>
        <v>0</v>
      </c>
      <c r="P12" s="21">
        <f>L12*道具定价!$F$122</f>
        <v>2.34</v>
      </c>
      <c r="Q12" s="21">
        <f>M12*道具定价!$F$123</f>
        <v>14.64</v>
      </c>
      <c r="R12" s="21">
        <f>道具定价!$F$124*N12</f>
        <v>0</v>
      </c>
      <c r="S12" s="21">
        <f>O12*道具定价!$F$125</f>
        <v>0</v>
      </c>
      <c r="T12" s="16">
        <v>0</v>
      </c>
      <c r="U12" s="22">
        <f t="shared" si="5"/>
        <v>0.5</v>
      </c>
      <c r="V12" s="22">
        <v>0.4</v>
      </c>
      <c r="W12" s="22">
        <v>0.1</v>
      </c>
      <c r="X12" s="16">
        <f>道具定价!$F$134*U12*T12</f>
        <v>0</v>
      </c>
      <c r="Y12" s="16">
        <f>V12*T12*道具定价!$F$135</f>
        <v>0</v>
      </c>
      <c r="Z12" s="16">
        <f>道具定价!$F$136*W12*T12</f>
        <v>0</v>
      </c>
      <c r="AA12" s="16">
        <v>1700</v>
      </c>
      <c r="AB12" s="21">
        <f>AA12*道具定价!$F$144</f>
        <v>17</v>
      </c>
      <c r="AC12" s="21">
        <f t="shared" si="6"/>
        <v>33.98</v>
      </c>
      <c r="AD12" s="21">
        <f>C12*道具定价!$F$9</f>
        <v>60</v>
      </c>
      <c r="AE12" s="16" t="s">
        <v>1156</v>
      </c>
      <c r="AF12" s="16">
        <v>30</v>
      </c>
      <c r="AG12" s="16" t="s">
        <v>2698</v>
      </c>
      <c r="AH12" s="16">
        <v>1</v>
      </c>
    </row>
    <row r="13" s="3" customFormat="1" spans="2:34">
      <c r="B13" s="16">
        <v>9</v>
      </c>
      <c r="C13" s="16">
        <v>15</v>
      </c>
      <c r="D13" s="13">
        <f t="shared" si="0"/>
        <v>150</v>
      </c>
      <c r="E13" s="16">
        <v>3</v>
      </c>
      <c r="F13" s="16"/>
      <c r="G13" s="16"/>
      <c r="H13" s="20">
        <v>0.34</v>
      </c>
      <c r="I13" s="20">
        <v>0.66</v>
      </c>
      <c r="J13" s="20">
        <v>0</v>
      </c>
      <c r="K13" s="20">
        <v>0</v>
      </c>
      <c r="L13" s="21">
        <f t="shared" si="1"/>
        <v>1.02</v>
      </c>
      <c r="M13" s="21">
        <f t="shared" si="2"/>
        <v>1.98</v>
      </c>
      <c r="N13" s="21">
        <f t="shared" si="3"/>
        <v>0</v>
      </c>
      <c r="O13" s="21">
        <f t="shared" si="4"/>
        <v>0</v>
      </c>
      <c r="P13" s="21">
        <f>L13*道具定价!$F$122</f>
        <v>2.04</v>
      </c>
      <c r="Q13" s="21">
        <f>M13*道具定价!$F$123</f>
        <v>15.84</v>
      </c>
      <c r="R13" s="21">
        <f>道具定价!$F$124*N13</f>
        <v>0</v>
      </c>
      <c r="S13" s="21">
        <f>O13*道具定价!$F$125</f>
        <v>0</v>
      </c>
      <c r="T13" s="16">
        <v>0</v>
      </c>
      <c r="U13" s="22">
        <f t="shared" si="5"/>
        <v>0.45</v>
      </c>
      <c r="V13" s="22">
        <v>0.45</v>
      </c>
      <c r="W13" s="22">
        <v>0.1</v>
      </c>
      <c r="X13" s="16">
        <f>道具定价!$F$134*U13*T13</f>
        <v>0</v>
      </c>
      <c r="Y13" s="16">
        <f>V13*T13*道具定价!$F$135</f>
        <v>0</v>
      </c>
      <c r="Z13" s="16">
        <f>道具定价!$F$136*W13*T13</f>
        <v>0</v>
      </c>
      <c r="AA13" s="16">
        <v>1800</v>
      </c>
      <c r="AB13" s="21">
        <f>AA13*道具定价!$F$144</f>
        <v>18</v>
      </c>
      <c r="AC13" s="21">
        <f t="shared" si="6"/>
        <v>35.88</v>
      </c>
      <c r="AD13" s="21">
        <f>C13*道具定价!$F$9</f>
        <v>60</v>
      </c>
      <c r="AE13" s="16" t="s">
        <v>711</v>
      </c>
      <c r="AF13" s="16">
        <v>2</v>
      </c>
      <c r="AG13" s="16" t="s">
        <v>2698</v>
      </c>
      <c r="AH13" s="16">
        <v>1</v>
      </c>
    </row>
    <row r="14" s="3" customFormat="1" spans="2:34">
      <c r="B14" s="16">
        <v>10</v>
      </c>
      <c r="C14" s="16">
        <v>15</v>
      </c>
      <c r="D14" s="13">
        <f t="shared" si="0"/>
        <v>150</v>
      </c>
      <c r="E14" s="16">
        <v>3</v>
      </c>
      <c r="F14" s="16"/>
      <c r="G14" s="16"/>
      <c r="H14" s="20">
        <v>0.28</v>
      </c>
      <c r="I14" s="20">
        <v>0.7</v>
      </c>
      <c r="J14" s="20">
        <v>0.02</v>
      </c>
      <c r="K14" s="20">
        <v>0</v>
      </c>
      <c r="L14" s="21">
        <f t="shared" si="1"/>
        <v>0.84</v>
      </c>
      <c r="M14" s="21">
        <f t="shared" si="2"/>
        <v>2.1</v>
      </c>
      <c r="N14" s="21">
        <f t="shared" si="3"/>
        <v>0.06</v>
      </c>
      <c r="O14" s="21">
        <f t="shared" si="4"/>
        <v>0</v>
      </c>
      <c r="P14" s="21">
        <f>L14*道具定价!$F$122</f>
        <v>1.68</v>
      </c>
      <c r="Q14" s="21">
        <f>M14*道具定价!$F$123</f>
        <v>16.8</v>
      </c>
      <c r="R14" s="21">
        <f>道具定价!$F$124*N14</f>
        <v>1.2</v>
      </c>
      <c r="S14" s="21">
        <f>O14*道具定价!$F$125</f>
        <v>0</v>
      </c>
      <c r="T14" s="16">
        <v>0</v>
      </c>
      <c r="U14" s="22">
        <f t="shared" si="5"/>
        <v>0.4</v>
      </c>
      <c r="V14" s="22">
        <v>0.45</v>
      </c>
      <c r="W14" s="22">
        <v>0.15</v>
      </c>
      <c r="X14" s="16">
        <f>道具定价!$F$134*U14*T14</f>
        <v>0</v>
      </c>
      <c r="Y14" s="16">
        <f>V14*T14*道具定价!$F$135</f>
        <v>0</v>
      </c>
      <c r="Z14" s="16">
        <f>道具定价!$F$136*W14*T14</f>
        <v>0</v>
      </c>
      <c r="AA14" s="16">
        <v>1900</v>
      </c>
      <c r="AB14" s="21">
        <f>AA14*道具定价!$F$144</f>
        <v>19</v>
      </c>
      <c r="AC14" s="21">
        <f t="shared" si="6"/>
        <v>38.68</v>
      </c>
      <c r="AD14" s="21">
        <f>C14*道具定价!$F$9</f>
        <v>60</v>
      </c>
      <c r="AE14" s="18" t="s">
        <v>1622</v>
      </c>
      <c r="AF14" s="18">
        <v>1</v>
      </c>
      <c r="AG14" s="16" t="s">
        <v>2698</v>
      </c>
      <c r="AH14" s="16">
        <v>1</v>
      </c>
    </row>
    <row r="15" spans="2:34">
      <c r="B15" s="16">
        <v>11</v>
      </c>
      <c r="C15" s="16">
        <v>15</v>
      </c>
      <c r="D15" s="13">
        <f t="shared" si="0"/>
        <v>150</v>
      </c>
      <c r="E15" s="16">
        <v>4</v>
      </c>
      <c r="F15" s="16"/>
      <c r="G15" s="16"/>
      <c r="H15" s="20">
        <v>0.24</v>
      </c>
      <c r="I15" s="20">
        <v>0.72</v>
      </c>
      <c r="J15" s="20">
        <v>0.04</v>
      </c>
      <c r="K15" s="20">
        <v>0</v>
      </c>
      <c r="L15" s="21">
        <f t="shared" si="1"/>
        <v>0.96</v>
      </c>
      <c r="M15" s="21">
        <f t="shared" si="2"/>
        <v>2.88</v>
      </c>
      <c r="N15" s="21">
        <f t="shared" si="3"/>
        <v>0.16</v>
      </c>
      <c r="O15" s="21">
        <f t="shared" si="4"/>
        <v>0</v>
      </c>
      <c r="P15" s="21">
        <f>L15*道具定价!$F$122</f>
        <v>1.92</v>
      </c>
      <c r="Q15" s="21">
        <f>M15*道具定价!$F$123</f>
        <v>23.04</v>
      </c>
      <c r="R15" s="21">
        <f>道具定价!$F$124*N15</f>
        <v>3.2</v>
      </c>
      <c r="S15" s="21">
        <f>O15*道具定价!$F$125</f>
        <v>0</v>
      </c>
      <c r="T15" s="16">
        <v>0</v>
      </c>
      <c r="U15" s="22">
        <f t="shared" si="5"/>
        <v>0.4</v>
      </c>
      <c r="V15" s="22">
        <v>0.45</v>
      </c>
      <c r="W15" s="22">
        <v>0.15</v>
      </c>
      <c r="X15" s="16">
        <f>道具定价!$F$134*U15*T15</f>
        <v>0</v>
      </c>
      <c r="Y15" s="16">
        <f>V15*T15*道具定价!$F$135</f>
        <v>0</v>
      </c>
      <c r="Z15" s="16">
        <f>道具定价!$F$136*W15*T15</f>
        <v>0</v>
      </c>
      <c r="AA15" s="16">
        <v>2000</v>
      </c>
      <c r="AB15" s="21">
        <f>AA15*道具定价!$F$144</f>
        <v>20</v>
      </c>
      <c r="AC15" s="21">
        <f t="shared" si="6"/>
        <v>48.16</v>
      </c>
      <c r="AD15" s="21">
        <f>C15*道具定价!$F$9</f>
        <v>60</v>
      </c>
      <c r="AE15" s="16" t="s">
        <v>1156</v>
      </c>
      <c r="AF15" s="16">
        <v>50</v>
      </c>
      <c r="AG15" s="16" t="s">
        <v>2698</v>
      </c>
      <c r="AH15" s="16">
        <v>1</v>
      </c>
    </row>
    <row r="16" s="3" customFormat="1" spans="2:34">
      <c r="B16" s="16">
        <v>12</v>
      </c>
      <c r="C16" s="16">
        <v>15</v>
      </c>
      <c r="D16" s="13">
        <f t="shared" si="0"/>
        <v>150</v>
      </c>
      <c r="E16" s="16">
        <v>4</v>
      </c>
      <c r="F16" s="16"/>
      <c r="G16" s="16"/>
      <c r="H16" s="20">
        <v>0.21</v>
      </c>
      <c r="I16" s="20">
        <v>0.735</v>
      </c>
      <c r="J16" s="20">
        <v>0.055</v>
      </c>
      <c r="K16" s="20">
        <v>0</v>
      </c>
      <c r="L16" s="21">
        <f t="shared" si="1"/>
        <v>0.84</v>
      </c>
      <c r="M16" s="21">
        <f t="shared" si="2"/>
        <v>2.94</v>
      </c>
      <c r="N16" s="21">
        <f t="shared" si="3"/>
        <v>0.22</v>
      </c>
      <c r="O16" s="21">
        <f t="shared" si="4"/>
        <v>0</v>
      </c>
      <c r="P16" s="21">
        <f>L16*道具定价!$F$122</f>
        <v>1.68</v>
      </c>
      <c r="Q16" s="21">
        <f>M16*道具定价!$F$123</f>
        <v>23.52</v>
      </c>
      <c r="R16" s="21">
        <f>道具定价!$F$124*N16</f>
        <v>4.4</v>
      </c>
      <c r="S16" s="21">
        <f>O16*道具定价!$F$125</f>
        <v>0</v>
      </c>
      <c r="T16" s="16">
        <v>0</v>
      </c>
      <c r="U16" s="22">
        <f t="shared" si="5"/>
        <v>0.4</v>
      </c>
      <c r="V16" s="22">
        <v>0.45</v>
      </c>
      <c r="W16" s="22">
        <v>0.15</v>
      </c>
      <c r="X16" s="16">
        <f>道具定价!$F$134*U16*T16</f>
        <v>0</v>
      </c>
      <c r="Y16" s="16">
        <f>V16*T16*道具定价!$F$135</f>
        <v>0</v>
      </c>
      <c r="Z16" s="16">
        <f>道具定价!$F$136*W16*T16</f>
        <v>0</v>
      </c>
      <c r="AA16" s="16">
        <v>2100</v>
      </c>
      <c r="AB16" s="21">
        <f>AA16*道具定价!$F$144</f>
        <v>21</v>
      </c>
      <c r="AC16" s="21">
        <f t="shared" si="6"/>
        <v>50.6</v>
      </c>
      <c r="AD16" s="21">
        <f>C16*道具定价!$F$9</f>
        <v>60</v>
      </c>
      <c r="AE16" s="16" t="s">
        <v>712</v>
      </c>
      <c r="AF16" s="16">
        <v>1</v>
      </c>
      <c r="AG16" s="16" t="s">
        <v>2698</v>
      </c>
      <c r="AH16" s="16">
        <v>1</v>
      </c>
    </row>
    <row r="17" spans="2:34">
      <c r="B17" s="16">
        <v>13</v>
      </c>
      <c r="C17" s="16">
        <v>15</v>
      </c>
      <c r="D17" s="13">
        <f t="shared" si="0"/>
        <v>150</v>
      </c>
      <c r="E17" s="16">
        <v>4</v>
      </c>
      <c r="F17" s="16"/>
      <c r="G17" s="16"/>
      <c r="H17" s="20">
        <v>0.18</v>
      </c>
      <c r="I17" s="20">
        <v>0.75</v>
      </c>
      <c r="J17" s="20">
        <v>0.07</v>
      </c>
      <c r="K17" s="20">
        <v>0</v>
      </c>
      <c r="L17" s="21">
        <f t="shared" si="1"/>
        <v>0.72</v>
      </c>
      <c r="M17" s="21">
        <f t="shared" si="2"/>
        <v>3</v>
      </c>
      <c r="N17" s="21">
        <f t="shared" si="3"/>
        <v>0.28</v>
      </c>
      <c r="O17" s="21">
        <f t="shared" si="4"/>
        <v>0</v>
      </c>
      <c r="P17" s="21">
        <f>L17*道具定价!$F$122</f>
        <v>1.44</v>
      </c>
      <c r="Q17" s="21">
        <f>M17*道具定价!$F$123</f>
        <v>24</v>
      </c>
      <c r="R17" s="21">
        <f>道具定价!$F$124*N17</f>
        <v>5.6</v>
      </c>
      <c r="S17" s="21">
        <f>O17*道具定价!$F$125</f>
        <v>0</v>
      </c>
      <c r="T17" s="16">
        <v>0</v>
      </c>
      <c r="U17" s="22">
        <f t="shared" si="5"/>
        <v>0.4</v>
      </c>
      <c r="V17" s="22">
        <v>0.45</v>
      </c>
      <c r="W17" s="22">
        <v>0.15</v>
      </c>
      <c r="X17" s="16">
        <f>道具定价!$F$134*U17*T17</f>
        <v>0</v>
      </c>
      <c r="Y17" s="16">
        <f>V17*T17*道具定价!$F$135</f>
        <v>0</v>
      </c>
      <c r="Z17" s="16">
        <f>道具定价!$F$136*W17*T17</f>
        <v>0</v>
      </c>
      <c r="AA17" s="16">
        <v>2200</v>
      </c>
      <c r="AB17" s="21">
        <f>AA17*道具定价!$F$144</f>
        <v>22</v>
      </c>
      <c r="AC17" s="21">
        <f t="shared" si="6"/>
        <v>53.04</v>
      </c>
      <c r="AD17" s="21">
        <f>C17*道具定价!$F$9</f>
        <v>60</v>
      </c>
      <c r="AE17" s="16" t="s">
        <v>1156</v>
      </c>
      <c r="AF17" s="16">
        <v>50</v>
      </c>
      <c r="AG17" s="16" t="s">
        <v>2698</v>
      </c>
      <c r="AH17" s="16">
        <v>1</v>
      </c>
    </row>
    <row r="18" s="3" customFormat="1" spans="2:34">
      <c r="B18" s="16">
        <v>14</v>
      </c>
      <c r="C18" s="16">
        <v>15</v>
      </c>
      <c r="D18" s="13">
        <f t="shared" si="0"/>
        <v>150</v>
      </c>
      <c r="E18" s="16">
        <v>4</v>
      </c>
      <c r="F18" s="16"/>
      <c r="G18" s="16"/>
      <c r="H18" s="20">
        <v>0.16</v>
      </c>
      <c r="I18" s="20">
        <v>0.755</v>
      </c>
      <c r="J18" s="20">
        <v>0.085</v>
      </c>
      <c r="K18" s="20">
        <v>0</v>
      </c>
      <c r="L18" s="21">
        <f t="shared" si="1"/>
        <v>0.64</v>
      </c>
      <c r="M18" s="21">
        <f t="shared" si="2"/>
        <v>3.02</v>
      </c>
      <c r="N18" s="21">
        <f t="shared" si="3"/>
        <v>0.34</v>
      </c>
      <c r="O18" s="21">
        <f t="shared" si="4"/>
        <v>0</v>
      </c>
      <c r="P18" s="21">
        <f>L18*道具定价!$F$122</f>
        <v>1.28</v>
      </c>
      <c r="Q18" s="21">
        <f>M18*道具定价!$F$123</f>
        <v>24.16</v>
      </c>
      <c r="R18" s="21">
        <f>道具定价!$F$124*N18</f>
        <v>6.8</v>
      </c>
      <c r="S18" s="21">
        <f>O18*道具定价!$F$125</f>
        <v>0</v>
      </c>
      <c r="T18" s="16">
        <v>0</v>
      </c>
      <c r="U18" s="22">
        <f t="shared" si="5"/>
        <v>0.4</v>
      </c>
      <c r="V18" s="22">
        <v>0.45</v>
      </c>
      <c r="W18" s="22">
        <v>0.15</v>
      </c>
      <c r="X18" s="16">
        <f>道具定价!$F$134*U18*T18</f>
        <v>0</v>
      </c>
      <c r="Y18" s="16">
        <f>V18*T18*道具定价!$F$135</f>
        <v>0</v>
      </c>
      <c r="Z18" s="16">
        <f>道具定价!$F$136*W18*T18</f>
        <v>0</v>
      </c>
      <c r="AA18" s="16">
        <v>2300</v>
      </c>
      <c r="AB18" s="21">
        <f>AA18*道具定价!$F$144</f>
        <v>23</v>
      </c>
      <c r="AC18" s="21">
        <f t="shared" si="6"/>
        <v>55.24</v>
      </c>
      <c r="AD18" s="21">
        <f>C18*道具定价!$F$9</f>
        <v>60</v>
      </c>
      <c r="AE18" s="16" t="s">
        <v>712</v>
      </c>
      <c r="AF18" s="16">
        <v>2</v>
      </c>
      <c r="AG18" s="16" t="s">
        <v>2698</v>
      </c>
      <c r="AH18" s="16">
        <v>1</v>
      </c>
    </row>
    <row r="19" s="3" customFormat="1" spans="2:34">
      <c r="B19" s="16">
        <v>15</v>
      </c>
      <c r="C19" s="16">
        <v>15</v>
      </c>
      <c r="D19" s="13">
        <f t="shared" si="0"/>
        <v>150</v>
      </c>
      <c r="E19" s="16">
        <v>4</v>
      </c>
      <c r="F19" s="16"/>
      <c r="G19" s="16"/>
      <c r="H19" s="20">
        <v>0.14</v>
      </c>
      <c r="I19" s="20">
        <v>0.76</v>
      </c>
      <c r="J19" s="20">
        <v>0.1</v>
      </c>
      <c r="K19" s="20">
        <v>0</v>
      </c>
      <c r="L19" s="21">
        <f t="shared" si="1"/>
        <v>0.56</v>
      </c>
      <c r="M19" s="21">
        <f t="shared" si="2"/>
        <v>3.04</v>
      </c>
      <c r="N19" s="21">
        <f t="shared" si="3"/>
        <v>0.4</v>
      </c>
      <c r="O19" s="21">
        <f t="shared" si="4"/>
        <v>0</v>
      </c>
      <c r="P19" s="21">
        <f>L19*道具定价!$F$122</f>
        <v>1.12</v>
      </c>
      <c r="Q19" s="21">
        <f>M19*道具定价!$F$123</f>
        <v>24.32</v>
      </c>
      <c r="R19" s="21">
        <f>道具定价!$F$124*N19</f>
        <v>8</v>
      </c>
      <c r="S19" s="21">
        <f>O19*道具定价!$F$125</f>
        <v>0</v>
      </c>
      <c r="T19" s="16">
        <v>0</v>
      </c>
      <c r="U19" s="22">
        <f t="shared" si="5"/>
        <v>0.4</v>
      </c>
      <c r="V19" s="22">
        <v>0.45</v>
      </c>
      <c r="W19" s="22">
        <v>0.15</v>
      </c>
      <c r="X19" s="16">
        <f>道具定价!$F$134*U19*T19</f>
        <v>0</v>
      </c>
      <c r="Y19" s="16">
        <f>V19*T19*道具定价!$F$135</f>
        <v>0</v>
      </c>
      <c r="Z19" s="16">
        <f>道具定价!$F$136*W19*T19</f>
        <v>0</v>
      </c>
      <c r="AA19" s="16">
        <v>2400</v>
      </c>
      <c r="AB19" s="21">
        <f>AA19*道具定价!$F$144</f>
        <v>24</v>
      </c>
      <c r="AC19" s="21">
        <f t="shared" si="6"/>
        <v>57.44</v>
      </c>
      <c r="AD19" s="21">
        <f>C19*道具定价!$F$9</f>
        <v>60</v>
      </c>
      <c r="AE19" s="18" t="s">
        <v>1622</v>
      </c>
      <c r="AF19" s="18">
        <v>1</v>
      </c>
      <c r="AG19" s="16" t="s">
        <v>2698</v>
      </c>
      <c r="AH19" s="16">
        <v>1</v>
      </c>
    </row>
    <row r="20" s="3" customFormat="1" spans="2:34">
      <c r="B20" s="16">
        <v>16</v>
      </c>
      <c r="C20" s="16">
        <v>15</v>
      </c>
      <c r="D20" s="13">
        <f t="shared" si="0"/>
        <v>150</v>
      </c>
      <c r="E20" s="16">
        <v>5</v>
      </c>
      <c r="F20" s="16"/>
      <c r="G20" s="16"/>
      <c r="H20" s="20">
        <v>0.125</v>
      </c>
      <c r="I20" s="20">
        <v>0.755</v>
      </c>
      <c r="J20" s="20">
        <v>0.12</v>
      </c>
      <c r="K20" s="20">
        <v>0</v>
      </c>
      <c r="L20" s="21">
        <f t="shared" si="1"/>
        <v>0.625</v>
      </c>
      <c r="M20" s="21">
        <f t="shared" si="2"/>
        <v>3.775</v>
      </c>
      <c r="N20" s="21">
        <f t="shared" si="3"/>
        <v>0.6</v>
      </c>
      <c r="O20" s="21">
        <f t="shared" si="4"/>
        <v>0</v>
      </c>
      <c r="P20" s="21">
        <f>L20*道具定价!$F$122</f>
        <v>1.25</v>
      </c>
      <c r="Q20" s="21">
        <f>M20*道具定价!$F$123</f>
        <v>30.2</v>
      </c>
      <c r="R20" s="21">
        <f>道具定价!$F$124*N20</f>
        <v>12</v>
      </c>
      <c r="S20" s="21">
        <f>O20*道具定价!$F$125</f>
        <v>0</v>
      </c>
      <c r="T20" s="16">
        <v>0</v>
      </c>
      <c r="U20" s="22">
        <f t="shared" si="5"/>
        <v>0.4</v>
      </c>
      <c r="V20" s="22">
        <v>0.45</v>
      </c>
      <c r="W20" s="22">
        <v>0.15</v>
      </c>
      <c r="X20" s="16">
        <f>道具定价!$F$134*U20*T20</f>
        <v>0</v>
      </c>
      <c r="Y20" s="16">
        <f>V20*T20*道具定价!$F$135</f>
        <v>0</v>
      </c>
      <c r="Z20" s="16">
        <f>道具定价!$F$136*W20*T20</f>
        <v>0</v>
      </c>
      <c r="AA20" s="16">
        <v>2500</v>
      </c>
      <c r="AB20" s="21">
        <f>AA20*道具定价!$F$144</f>
        <v>25</v>
      </c>
      <c r="AC20" s="21">
        <f t="shared" si="6"/>
        <v>68.45</v>
      </c>
      <c r="AD20" s="21">
        <f>C20*道具定价!$F$9</f>
        <v>60</v>
      </c>
      <c r="AE20" s="16" t="s">
        <v>1156</v>
      </c>
      <c r="AF20" s="16">
        <v>100</v>
      </c>
      <c r="AG20" s="16" t="s">
        <v>2698</v>
      </c>
      <c r="AH20" s="16">
        <v>1</v>
      </c>
    </row>
    <row r="21" s="3" customFormat="1" spans="2:34">
      <c r="B21" s="16">
        <v>17</v>
      </c>
      <c r="C21" s="16">
        <v>15</v>
      </c>
      <c r="D21" s="13">
        <f t="shared" si="0"/>
        <v>150</v>
      </c>
      <c r="E21" s="16">
        <v>5</v>
      </c>
      <c r="F21" s="16"/>
      <c r="G21" s="16"/>
      <c r="H21" s="20">
        <v>0.11</v>
      </c>
      <c r="I21" s="20">
        <v>0.75</v>
      </c>
      <c r="J21" s="20">
        <v>0.14</v>
      </c>
      <c r="K21" s="20">
        <v>0</v>
      </c>
      <c r="L21" s="21">
        <f t="shared" si="1"/>
        <v>0.55</v>
      </c>
      <c r="M21" s="21">
        <f t="shared" si="2"/>
        <v>3.75</v>
      </c>
      <c r="N21" s="21">
        <f t="shared" si="3"/>
        <v>0.7</v>
      </c>
      <c r="O21" s="21">
        <f t="shared" si="4"/>
        <v>0</v>
      </c>
      <c r="P21" s="21">
        <f>L21*道具定价!$F$122</f>
        <v>1.1</v>
      </c>
      <c r="Q21" s="21">
        <f>M21*道具定价!$F$123</f>
        <v>30</v>
      </c>
      <c r="R21" s="21">
        <f>道具定价!$F$124*N21</f>
        <v>14</v>
      </c>
      <c r="S21" s="21">
        <f>O21*道具定价!$F$125</f>
        <v>0</v>
      </c>
      <c r="T21" s="16">
        <v>0</v>
      </c>
      <c r="U21" s="22">
        <f t="shared" si="5"/>
        <v>0.4</v>
      </c>
      <c r="V21" s="22">
        <v>0.45</v>
      </c>
      <c r="W21" s="22">
        <v>0.15</v>
      </c>
      <c r="X21" s="16">
        <f>道具定价!$F$134*U21*T21</f>
        <v>0</v>
      </c>
      <c r="Y21" s="16">
        <f>V21*T21*道具定价!$F$135</f>
        <v>0</v>
      </c>
      <c r="Z21" s="16">
        <f>道具定价!$F$136*W21*T21</f>
        <v>0</v>
      </c>
      <c r="AA21" s="16">
        <v>2600</v>
      </c>
      <c r="AB21" s="21">
        <f>AA21*道具定价!$F$144</f>
        <v>26</v>
      </c>
      <c r="AC21" s="21">
        <f t="shared" si="6"/>
        <v>71.1</v>
      </c>
      <c r="AD21" s="21">
        <f>C21*道具定价!$F$9</f>
        <v>60</v>
      </c>
      <c r="AE21" s="16" t="s">
        <v>712</v>
      </c>
      <c r="AF21" s="16">
        <v>2</v>
      </c>
      <c r="AG21" s="16" t="s">
        <v>2698</v>
      </c>
      <c r="AH21" s="16">
        <v>1</v>
      </c>
    </row>
    <row r="22" s="3" customFormat="1" spans="2:34">
      <c r="B22" s="16">
        <v>18</v>
      </c>
      <c r="C22" s="16">
        <v>15</v>
      </c>
      <c r="D22" s="13">
        <f t="shared" si="0"/>
        <v>150</v>
      </c>
      <c r="E22" s="16">
        <v>5</v>
      </c>
      <c r="F22" s="16"/>
      <c r="G22" s="16"/>
      <c r="H22" s="20">
        <v>0.1</v>
      </c>
      <c r="I22" s="20">
        <v>0.74</v>
      </c>
      <c r="J22" s="20">
        <v>0.16</v>
      </c>
      <c r="K22" s="20">
        <v>0</v>
      </c>
      <c r="L22" s="21">
        <f t="shared" si="1"/>
        <v>0.5</v>
      </c>
      <c r="M22" s="21">
        <f t="shared" si="2"/>
        <v>3.7</v>
      </c>
      <c r="N22" s="21">
        <f t="shared" si="3"/>
        <v>0.8</v>
      </c>
      <c r="O22" s="21">
        <f t="shared" si="4"/>
        <v>0</v>
      </c>
      <c r="P22" s="21">
        <f>L22*道具定价!$F$122</f>
        <v>1</v>
      </c>
      <c r="Q22" s="21">
        <f>M22*道具定价!$F$123</f>
        <v>29.6</v>
      </c>
      <c r="R22" s="21">
        <f>道具定价!$F$124*N22</f>
        <v>16</v>
      </c>
      <c r="S22" s="21">
        <f>O22*道具定价!$F$125</f>
        <v>0</v>
      </c>
      <c r="T22" s="16">
        <v>0</v>
      </c>
      <c r="U22" s="22">
        <f t="shared" si="5"/>
        <v>0.4</v>
      </c>
      <c r="V22" s="22">
        <v>0.45</v>
      </c>
      <c r="W22" s="22">
        <v>0.15</v>
      </c>
      <c r="X22" s="16">
        <f>道具定价!$F$134*U22*T22</f>
        <v>0</v>
      </c>
      <c r="Y22" s="16">
        <f>V22*T22*道具定价!$F$135</f>
        <v>0</v>
      </c>
      <c r="Z22" s="16">
        <f>道具定价!$F$136*W22*T22</f>
        <v>0</v>
      </c>
      <c r="AA22" s="16">
        <v>2700</v>
      </c>
      <c r="AB22" s="21">
        <f>AA22*道具定价!$F$144</f>
        <v>27</v>
      </c>
      <c r="AC22" s="21">
        <f t="shared" si="6"/>
        <v>73.6</v>
      </c>
      <c r="AD22" s="21">
        <f>C22*道具定价!$F$9</f>
        <v>60</v>
      </c>
      <c r="AE22" s="16" t="s">
        <v>1156</v>
      </c>
      <c r="AF22" s="16">
        <v>100</v>
      </c>
      <c r="AG22" s="16" t="s">
        <v>2698</v>
      </c>
      <c r="AH22" s="16">
        <v>1</v>
      </c>
    </row>
    <row r="23" s="3" customFormat="1" spans="2:34">
      <c r="B23" s="16">
        <v>19</v>
      </c>
      <c r="C23" s="16">
        <v>15</v>
      </c>
      <c r="D23" s="13">
        <f t="shared" si="0"/>
        <v>150</v>
      </c>
      <c r="E23" s="16">
        <v>5</v>
      </c>
      <c r="F23" s="16"/>
      <c r="G23" s="16"/>
      <c r="H23" s="20">
        <v>0.095</v>
      </c>
      <c r="I23" s="20">
        <v>0.725</v>
      </c>
      <c r="J23" s="20">
        <v>0.18</v>
      </c>
      <c r="K23" s="20">
        <v>0</v>
      </c>
      <c r="L23" s="21">
        <f t="shared" si="1"/>
        <v>0.475</v>
      </c>
      <c r="M23" s="21">
        <f t="shared" si="2"/>
        <v>3.625</v>
      </c>
      <c r="N23" s="21">
        <f t="shared" si="3"/>
        <v>0.9</v>
      </c>
      <c r="O23" s="21">
        <f t="shared" si="4"/>
        <v>0</v>
      </c>
      <c r="P23" s="21">
        <f>L23*道具定价!$F$122</f>
        <v>0.95</v>
      </c>
      <c r="Q23" s="21">
        <f>M23*道具定价!$F$123</f>
        <v>29</v>
      </c>
      <c r="R23" s="21">
        <f>道具定价!$F$124*N23</f>
        <v>18</v>
      </c>
      <c r="S23" s="21">
        <f>O23*道具定价!$F$125</f>
        <v>0</v>
      </c>
      <c r="T23" s="16">
        <v>0</v>
      </c>
      <c r="U23" s="22">
        <f t="shared" si="5"/>
        <v>0.4</v>
      </c>
      <c r="V23" s="22">
        <v>0.45</v>
      </c>
      <c r="W23" s="22">
        <v>0.15</v>
      </c>
      <c r="X23" s="16">
        <f>道具定价!$F$134*U23*T23</f>
        <v>0</v>
      </c>
      <c r="Y23" s="16">
        <f>V23*T23*道具定价!$F$135</f>
        <v>0</v>
      </c>
      <c r="Z23" s="16">
        <f>道具定价!$F$136*W23*T23</f>
        <v>0</v>
      </c>
      <c r="AA23" s="16">
        <v>2800</v>
      </c>
      <c r="AB23" s="21">
        <f>AA23*道具定价!$F$144</f>
        <v>28</v>
      </c>
      <c r="AC23" s="21">
        <f t="shared" si="6"/>
        <v>75.95</v>
      </c>
      <c r="AD23" s="21">
        <f>C23*道具定价!$F$9</f>
        <v>60</v>
      </c>
      <c r="AE23" s="16" t="s">
        <v>712</v>
      </c>
      <c r="AF23" s="16">
        <v>3</v>
      </c>
      <c r="AG23" s="16" t="s">
        <v>2698</v>
      </c>
      <c r="AH23" s="16">
        <v>1</v>
      </c>
    </row>
    <row r="24" s="3" customFormat="1" spans="2:34">
      <c r="B24" s="16">
        <v>20</v>
      </c>
      <c r="C24" s="16">
        <v>15</v>
      </c>
      <c r="D24" s="13">
        <f t="shared" si="0"/>
        <v>150</v>
      </c>
      <c r="E24" s="16">
        <v>5</v>
      </c>
      <c r="F24" s="16"/>
      <c r="G24" s="16"/>
      <c r="H24" s="20">
        <v>0.09</v>
      </c>
      <c r="I24" s="20">
        <v>0.71</v>
      </c>
      <c r="J24" s="20">
        <v>0.2</v>
      </c>
      <c r="K24" s="20">
        <v>0</v>
      </c>
      <c r="L24" s="21">
        <f t="shared" si="1"/>
        <v>0.45</v>
      </c>
      <c r="M24" s="21">
        <f t="shared" si="2"/>
        <v>3.55</v>
      </c>
      <c r="N24" s="21">
        <f t="shared" si="3"/>
        <v>1</v>
      </c>
      <c r="O24" s="21">
        <f t="shared" si="4"/>
        <v>0</v>
      </c>
      <c r="P24" s="21">
        <f>L24*道具定价!$F$122</f>
        <v>0.9</v>
      </c>
      <c r="Q24" s="21">
        <f>M24*道具定价!$F$123</f>
        <v>28.4</v>
      </c>
      <c r="R24" s="21">
        <f>道具定价!$F$124*N24</f>
        <v>20</v>
      </c>
      <c r="S24" s="21">
        <f>O24*道具定价!$F$125</f>
        <v>0</v>
      </c>
      <c r="T24" s="16">
        <v>0</v>
      </c>
      <c r="U24" s="22">
        <f t="shared" si="5"/>
        <v>0.4</v>
      </c>
      <c r="V24" s="22">
        <v>0.45</v>
      </c>
      <c r="W24" s="22">
        <v>0.15</v>
      </c>
      <c r="X24" s="16">
        <f>道具定价!$F$134*U24*T24</f>
        <v>0</v>
      </c>
      <c r="Y24" s="16">
        <f>V24*T24*道具定价!$F$135</f>
        <v>0</v>
      </c>
      <c r="Z24" s="16">
        <f>道具定价!$F$136*W24*T24</f>
        <v>0</v>
      </c>
      <c r="AA24" s="16">
        <v>2900</v>
      </c>
      <c r="AB24" s="21">
        <f>AA24*道具定价!$F$144</f>
        <v>29</v>
      </c>
      <c r="AC24" s="21">
        <f t="shared" si="6"/>
        <v>78.3</v>
      </c>
      <c r="AD24" s="21">
        <f>C24*道具定价!$F$9</f>
        <v>60</v>
      </c>
      <c r="AE24" s="18" t="s">
        <v>1622</v>
      </c>
      <c r="AF24" s="18">
        <v>2</v>
      </c>
      <c r="AG24" s="16" t="s">
        <v>2698</v>
      </c>
      <c r="AH24" s="16">
        <v>1</v>
      </c>
    </row>
    <row r="25" s="3" customFormat="1" spans="2:34">
      <c r="B25" s="16">
        <v>21</v>
      </c>
      <c r="C25" s="16">
        <v>15</v>
      </c>
      <c r="D25" s="13">
        <f t="shared" si="0"/>
        <v>150</v>
      </c>
      <c r="E25" s="16">
        <v>6</v>
      </c>
      <c r="F25" s="16"/>
      <c r="G25" s="16"/>
      <c r="H25" s="20">
        <v>0.085</v>
      </c>
      <c r="I25" s="20">
        <v>0.695</v>
      </c>
      <c r="J25" s="20">
        <v>0.22</v>
      </c>
      <c r="K25" s="20">
        <v>0</v>
      </c>
      <c r="L25" s="21">
        <f t="shared" si="1"/>
        <v>0.51</v>
      </c>
      <c r="M25" s="21">
        <f t="shared" si="2"/>
        <v>4.17</v>
      </c>
      <c r="N25" s="21">
        <f t="shared" si="3"/>
        <v>1.32</v>
      </c>
      <c r="O25" s="21">
        <f t="shared" si="4"/>
        <v>0</v>
      </c>
      <c r="P25" s="21">
        <f>L25*道具定价!$F$122</f>
        <v>1.02</v>
      </c>
      <c r="Q25" s="21">
        <f>M25*道具定价!$F$123</f>
        <v>33.36</v>
      </c>
      <c r="R25" s="21">
        <f>道具定价!$F$124*N25</f>
        <v>26.4</v>
      </c>
      <c r="S25" s="21">
        <f>O25*道具定价!$F$125</f>
        <v>0</v>
      </c>
      <c r="T25" s="16">
        <v>0</v>
      </c>
      <c r="U25" s="22">
        <f t="shared" si="5"/>
        <v>0.4</v>
      </c>
      <c r="V25" s="22">
        <v>0.45</v>
      </c>
      <c r="W25" s="22">
        <v>0.15</v>
      </c>
      <c r="X25" s="16">
        <f>道具定价!$F$134*U25*T25</f>
        <v>0</v>
      </c>
      <c r="Y25" s="16">
        <f>V25*T25*道具定价!$F$135</f>
        <v>0</v>
      </c>
      <c r="Z25" s="16">
        <f>道具定价!$F$136*W25*T25</f>
        <v>0</v>
      </c>
      <c r="AA25" s="16">
        <v>3000</v>
      </c>
      <c r="AB25" s="21">
        <f>AA25*道具定价!$F$144</f>
        <v>30</v>
      </c>
      <c r="AC25" s="21">
        <f t="shared" si="6"/>
        <v>90.78</v>
      </c>
      <c r="AD25" s="21">
        <f>C25*道具定价!$F$9</f>
        <v>60</v>
      </c>
      <c r="AE25" s="16" t="s">
        <v>1158</v>
      </c>
      <c r="AF25" s="16">
        <v>20</v>
      </c>
      <c r="AG25" s="16" t="s">
        <v>2698</v>
      </c>
      <c r="AH25" s="16">
        <v>1</v>
      </c>
    </row>
    <row r="26" s="3" customFormat="1" spans="2:34">
      <c r="B26" s="16">
        <v>22</v>
      </c>
      <c r="C26" s="16">
        <v>15</v>
      </c>
      <c r="D26" s="13">
        <f t="shared" si="0"/>
        <v>150</v>
      </c>
      <c r="E26" s="16">
        <v>6</v>
      </c>
      <c r="F26" s="16"/>
      <c r="G26" s="16"/>
      <c r="H26" s="20">
        <v>0.08</v>
      </c>
      <c r="I26" s="20">
        <v>0.68</v>
      </c>
      <c r="J26" s="20">
        <v>0.24</v>
      </c>
      <c r="K26" s="20">
        <v>0</v>
      </c>
      <c r="L26" s="21">
        <f t="shared" si="1"/>
        <v>0.48</v>
      </c>
      <c r="M26" s="21">
        <f t="shared" si="2"/>
        <v>4.08</v>
      </c>
      <c r="N26" s="21">
        <f t="shared" si="3"/>
        <v>1.44</v>
      </c>
      <c r="O26" s="21">
        <f t="shared" si="4"/>
        <v>0</v>
      </c>
      <c r="P26" s="21">
        <f>L26*道具定价!$F$122</f>
        <v>0.96</v>
      </c>
      <c r="Q26" s="21">
        <f>M26*道具定价!$F$123</f>
        <v>32.64</v>
      </c>
      <c r="R26" s="21">
        <f>道具定价!$F$124*N26</f>
        <v>28.8</v>
      </c>
      <c r="S26" s="21">
        <f>O26*道具定价!$F$125</f>
        <v>0</v>
      </c>
      <c r="T26" s="16">
        <v>0</v>
      </c>
      <c r="U26" s="22">
        <f t="shared" si="5"/>
        <v>0.4</v>
      </c>
      <c r="V26" s="22">
        <v>0.45</v>
      </c>
      <c r="W26" s="22">
        <v>0.15</v>
      </c>
      <c r="X26" s="16">
        <f>道具定价!$F$134*U26*T26</f>
        <v>0</v>
      </c>
      <c r="Y26" s="16">
        <f>V26*T26*道具定价!$F$135</f>
        <v>0</v>
      </c>
      <c r="Z26" s="16">
        <f>道具定价!$F$136*W26*T26</f>
        <v>0</v>
      </c>
      <c r="AA26" s="16">
        <v>3100</v>
      </c>
      <c r="AB26" s="21">
        <f>AA26*道具定价!$F$144</f>
        <v>31</v>
      </c>
      <c r="AC26" s="21">
        <f t="shared" si="6"/>
        <v>93.4</v>
      </c>
      <c r="AD26" s="21">
        <f>C26*道具定价!$F$9</f>
        <v>60</v>
      </c>
      <c r="AE26" s="16" t="s">
        <v>712</v>
      </c>
      <c r="AF26" s="16">
        <v>3</v>
      </c>
      <c r="AG26" s="16" t="s">
        <v>2698</v>
      </c>
      <c r="AH26" s="16">
        <v>1</v>
      </c>
    </row>
    <row r="27" s="3" customFormat="1" spans="2:34">
      <c r="B27" s="16">
        <v>23</v>
      </c>
      <c r="C27" s="16">
        <v>15</v>
      </c>
      <c r="D27" s="13">
        <f t="shared" si="0"/>
        <v>150</v>
      </c>
      <c r="E27" s="16">
        <v>6</v>
      </c>
      <c r="F27" s="16"/>
      <c r="G27" s="16"/>
      <c r="H27" s="20">
        <v>0.075</v>
      </c>
      <c r="I27" s="20">
        <v>0.665</v>
      </c>
      <c r="J27" s="20">
        <v>0.26</v>
      </c>
      <c r="K27" s="20">
        <v>0</v>
      </c>
      <c r="L27" s="21">
        <f t="shared" si="1"/>
        <v>0.45</v>
      </c>
      <c r="M27" s="21">
        <f t="shared" si="2"/>
        <v>3.99</v>
      </c>
      <c r="N27" s="21">
        <f t="shared" si="3"/>
        <v>1.56</v>
      </c>
      <c r="O27" s="21">
        <f t="shared" si="4"/>
        <v>0</v>
      </c>
      <c r="P27" s="21">
        <f>L27*道具定价!$F$122</f>
        <v>0.9</v>
      </c>
      <c r="Q27" s="21">
        <f>M27*道具定价!$F$123</f>
        <v>31.92</v>
      </c>
      <c r="R27" s="21">
        <f>道具定价!$F$124*N27</f>
        <v>31.2</v>
      </c>
      <c r="S27" s="21">
        <f>O27*道具定价!$F$125</f>
        <v>0</v>
      </c>
      <c r="T27" s="16">
        <v>0</v>
      </c>
      <c r="U27" s="22">
        <f t="shared" si="5"/>
        <v>0.4</v>
      </c>
      <c r="V27" s="22">
        <v>0.45</v>
      </c>
      <c r="W27" s="22">
        <v>0.15</v>
      </c>
      <c r="X27" s="16">
        <f>道具定价!$F$134*U27*T27</f>
        <v>0</v>
      </c>
      <c r="Y27" s="16">
        <f>V27*T27*道具定价!$F$135</f>
        <v>0</v>
      </c>
      <c r="Z27" s="16">
        <f>道具定价!$F$136*W27*T27</f>
        <v>0</v>
      </c>
      <c r="AA27" s="16">
        <v>3200</v>
      </c>
      <c r="AB27" s="21">
        <f>AA27*道具定价!$F$144</f>
        <v>32</v>
      </c>
      <c r="AC27" s="21">
        <f t="shared" si="6"/>
        <v>96.02</v>
      </c>
      <c r="AD27" s="21">
        <f>C27*道具定价!$F$9</f>
        <v>60</v>
      </c>
      <c r="AE27" s="16" t="s">
        <v>1158</v>
      </c>
      <c r="AF27" s="16">
        <v>40</v>
      </c>
      <c r="AG27" s="16" t="s">
        <v>2698</v>
      </c>
      <c r="AH27" s="16">
        <v>1</v>
      </c>
    </row>
    <row r="28" s="3" customFormat="1" spans="2:34">
      <c r="B28" s="16">
        <v>24</v>
      </c>
      <c r="C28" s="16">
        <v>15</v>
      </c>
      <c r="D28" s="13">
        <f t="shared" si="0"/>
        <v>150</v>
      </c>
      <c r="E28" s="16">
        <v>6</v>
      </c>
      <c r="F28" s="16"/>
      <c r="G28" s="16"/>
      <c r="H28" s="20">
        <v>0.07</v>
      </c>
      <c r="I28" s="20">
        <v>0.65</v>
      </c>
      <c r="J28" s="20">
        <v>0.28</v>
      </c>
      <c r="K28" s="20">
        <v>0</v>
      </c>
      <c r="L28" s="21">
        <f t="shared" si="1"/>
        <v>0.42</v>
      </c>
      <c r="M28" s="21">
        <f t="shared" si="2"/>
        <v>3.9</v>
      </c>
      <c r="N28" s="21">
        <f t="shared" si="3"/>
        <v>1.68</v>
      </c>
      <c r="O28" s="21">
        <f t="shared" si="4"/>
        <v>0</v>
      </c>
      <c r="P28" s="21">
        <f>L28*道具定价!$F$122</f>
        <v>0.84</v>
      </c>
      <c r="Q28" s="21">
        <f>M28*道具定价!$F$123</f>
        <v>31.2</v>
      </c>
      <c r="R28" s="21">
        <f>道具定价!$F$124*N28</f>
        <v>33.6</v>
      </c>
      <c r="S28" s="21">
        <f>O28*道具定价!$F$125</f>
        <v>0</v>
      </c>
      <c r="T28" s="16">
        <v>0</v>
      </c>
      <c r="U28" s="22">
        <f t="shared" si="5"/>
        <v>0.4</v>
      </c>
      <c r="V28" s="22">
        <v>0.45</v>
      </c>
      <c r="W28" s="22">
        <v>0.15</v>
      </c>
      <c r="X28" s="16">
        <f>道具定价!$F$134*U28*T28</f>
        <v>0</v>
      </c>
      <c r="Y28" s="16">
        <f>V28*T28*道具定价!$F$135</f>
        <v>0</v>
      </c>
      <c r="Z28" s="16">
        <f>道具定价!$F$136*W28*T28</f>
        <v>0</v>
      </c>
      <c r="AA28" s="16">
        <v>3300</v>
      </c>
      <c r="AB28" s="21">
        <f>AA28*道具定价!$F$144</f>
        <v>33</v>
      </c>
      <c r="AC28" s="21">
        <f t="shared" si="6"/>
        <v>98.64</v>
      </c>
      <c r="AD28" s="21">
        <f>C28*道具定价!$F$9</f>
        <v>60</v>
      </c>
      <c r="AE28" s="16" t="s">
        <v>712</v>
      </c>
      <c r="AF28" s="16">
        <v>3</v>
      </c>
      <c r="AG28" s="16" t="s">
        <v>2698</v>
      </c>
      <c r="AH28" s="16">
        <v>1</v>
      </c>
    </row>
    <row r="29" s="3" customFormat="1" spans="2:34">
      <c r="B29" s="16">
        <v>25</v>
      </c>
      <c r="C29" s="16">
        <v>15</v>
      </c>
      <c r="D29" s="13">
        <f t="shared" si="0"/>
        <v>150</v>
      </c>
      <c r="E29" s="16">
        <v>6</v>
      </c>
      <c r="F29" s="16"/>
      <c r="G29" s="16"/>
      <c r="H29" s="20">
        <v>0.055</v>
      </c>
      <c r="I29" s="20">
        <v>0.64</v>
      </c>
      <c r="J29" s="20">
        <v>0.3</v>
      </c>
      <c r="K29" s="20">
        <v>0.005</v>
      </c>
      <c r="L29" s="21">
        <f t="shared" si="1"/>
        <v>0.33</v>
      </c>
      <c r="M29" s="21">
        <f t="shared" si="2"/>
        <v>3.84</v>
      </c>
      <c r="N29" s="21">
        <f t="shared" si="3"/>
        <v>1.8</v>
      </c>
      <c r="O29" s="21">
        <f t="shared" si="4"/>
        <v>0.03</v>
      </c>
      <c r="P29" s="21">
        <f>L29*道具定价!$F$122</f>
        <v>0.66</v>
      </c>
      <c r="Q29" s="21">
        <f>M29*道具定价!$F$123</f>
        <v>30.72</v>
      </c>
      <c r="R29" s="21">
        <f>道具定价!$F$124*N29</f>
        <v>36</v>
      </c>
      <c r="S29" s="21">
        <f>O29*道具定价!$F$125</f>
        <v>30</v>
      </c>
      <c r="T29" s="16">
        <v>0</v>
      </c>
      <c r="U29" s="22">
        <f t="shared" si="5"/>
        <v>0.4</v>
      </c>
      <c r="V29" s="22">
        <v>0.45</v>
      </c>
      <c r="W29" s="22">
        <v>0.15</v>
      </c>
      <c r="X29" s="16">
        <f>道具定价!$F$134*U29*T29</f>
        <v>0</v>
      </c>
      <c r="Y29" s="16">
        <f>V29*T29*道具定价!$F$135</f>
        <v>0</v>
      </c>
      <c r="Z29" s="16">
        <f>道具定价!$F$136*W29*T29</f>
        <v>0</v>
      </c>
      <c r="AA29" s="16">
        <v>3400</v>
      </c>
      <c r="AB29" s="21">
        <f>AA29*道具定价!$F$144</f>
        <v>34</v>
      </c>
      <c r="AC29" s="21">
        <f t="shared" si="6"/>
        <v>131.38</v>
      </c>
      <c r="AD29" s="21">
        <f>C29*道具定价!$F$9</f>
        <v>60</v>
      </c>
      <c r="AE29" s="18" t="s">
        <v>709</v>
      </c>
      <c r="AF29" s="18">
        <v>1</v>
      </c>
      <c r="AG29" s="16" t="s">
        <v>2698</v>
      </c>
      <c r="AH29" s="16">
        <v>1</v>
      </c>
    </row>
    <row r="30" spans="2:34">
      <c r="B30" s="16">
        <v>26</v>
      </c>
      <c r="C30" s="16">
        <v>15</v>
      </c>
      <c r="D30" s="13">
        <f t="shared" si="0"/>
        <v>150</v>
      </c>
      <c r="E30" s="16">
        <v>6</v>
      </c>
      <c r="F30" s="16"/>
      <c r="G30" s="16"/>
      <c r="H30" s="20">
        <v>0.047</v>
      </c>
      <c r="I30" s="20">
        <v>0.625</v>
      </c>
      <c r="J30" s="20">
        <v>0.32</v>
      </c>
      <c r="K30" s="20">
        <v>0.008</v>
      </c>
      <c r="L30" s="21">
        <f t="shared" si="1"/>
        <v>0.282</v>
      </c>
      <c r="M30" s="21">
        <f t="shared" si="2"/>
        <v>3.75</v>
      </c>
      <c r="N30" s="21">
        <f t="shared" si="3"/>
        <v>1.92</v>
      </c>
      <c r="O30" s="21">
        <f t="shared" si="4"/>
        <v>0.048</v>
      </c>
      <c r="P30" s="21">
        <f>L30*道具定价!$F$122</f>
        <v>0.564</v>
      </c>
      <c r="Q30" s="21">
        <f>M30*道具定价!$F$123</f>
        <v>30</v>
      </c>
      <c r="R30" s="21">
        <f>道具定价!$F$124*N30</f>
        <v>38.4</v>
      </c>
      <c r="S30" s="21">
        <f>O30*道具定价!$F$125</f>
        <v>48</v>
      </c>
      <c r="T30" s="16">
        <v>0</v>
      </c>
      <c r="U30" s="22">
        <f t="shared" si="5"/>
        <v>0.4</v>
      </c>
      <c r="V30" s="22">
        <v>0.45</v>
      </c>
      <c r="W30" s="22">
        <v>0.15</v>
      </c>
      <c r="X30" s="16">
        <f>道具定价!$F$134*U30*T30</f>
        <v>0</v>
      </c>
      <c r="Y30" s="16">
        <f>V30*T30*道具定价!$F$135</f>
        <v>0</v>
      </c>
      <c r="Z30" s="16">
        <f>道具定价!$F$136*W30*T30</f>
        <v>0</v>
      </c>
      <c r="AA30" s="16">
        <v>3500</v>
      </c>
      <c r="AB30" s="21">
        <f>AA30*道具定价!$F$144</f>
        <v>35</v>
      </c>
      <c r="AC30" s="21">
        <f t="shared" si="6"/>
        <v>151.964</v>
      </c>
      <c r="AD30" s="21">
        <f>C30*道具定价!$F$9</f>
        <v>60</v>
      </c>
      <c r="AE30" s="16" t="s">
        <v>1158</v>
      </c>
      <c r="AF30" s="16">
        <v>60</v>
      </c>
      <c r="AG30" s="16" t="s">
        <v>2698</v>
      </c>
      <c r="AH30" s="16">
        <v>1</v>
      </c>
    </row>
    <row r="31" spans="2:34">
      <c r="B31" s="16">
        <v>27</v>
      </c>
      <c r="C31" s="16">
        <v>15</v>
      </c>
      <c r="D31" s="13">
        <f t="shared" si="0"/>
        <v>150</v>
      </c>
      <c r="E31" s="16">
        <v>6</v>
      </c>
      <c r="F31" s="16"/>
      <c r="G31" s="16"/>
      <c r="H31" s="20">
        <v>0.039</v>
      </c>
      <c r="I31" s="20">
        <v>0.61</v>
      </c>
      <c r="J31" s="20">
        <v>0.34</v>
      </c>
      <c r="K31" s="20">
        <v>0.011</v>
      </c>
      <c r="L31" s="21">
        <f t="shared" si="1"/>
        <v>0.234</v>
      </c>
      <c r="M31" s="21">
        <f t="shared" si="2"/>
        <v>3.66</v>
      </c>
      <c r="N31" s="21">
        <f t="shared" si="3"/>
        <v>2.04</v>
      </c>
      <c r="O31" s="21">
        <f t="shared" si="4"/>
        <v>0.066</v>
      </c>
      <c r="P31" s="21">
        <f>L31*道具定价!$F$122</f>
        <v>0.468</v>
      </c>
      <c r="Q31" s="21">
        <f>M31*道具定价!$F$123</f>
        <v>29.28</v>
      </c>
      <c r="R31" s="21">
        <f>道具定价!$F$124*N31</f>
        <v>40.8</v>
      </c>
      <c r="S31" s="21">
        <f>O31*道具定价!$F$125</f>
        <v>66</v>
      </c>
      <c r="T31" s="16">
        <v>0</v>
      </c>
      <c r="U31" s="22">
        <f t="shared" si="5"/>
        <v>0.4</v>
      </c>
      <c r="V31" s="22">
        <v>0.45</v>
      </c>
      <c r="W31" s="22">
        <v>0.15</v>
      </c>
      <c r="X31" s="16">
        <f>道具定价!$F$134*U31*T31</f>
        <v>0</v>
      </c>
      <c r="Y31" s="16">
        <f>V31*T31*道具定价!$F$135</f>
        <v>0</v>
      </c>
      <c r="Z31" s="16">
        <f>道具定价!$F$136*W31*T31</f>
        <v>0</v>
      </c>
      <c r="AA31" s="16">
        <v>3600</v>
      </c>
      <c r="AB31" s="21">
        <f>AA31*道具定价!$F$144</f>
        <v>36</v>
      </c>
      <c r="AC31" s="21">
        <f t="shared" si="6"/>
        <v>172.548</v>
      </c>
      <c r="AD31" s="21">
        <f>C31*道具定价!$F$9</f>
        <v>60</v>
      </c>
      <c r="AE31" s="16" t="s">
        <v>713</v>
      </c>
      <c r="AF31" s="16">
        <v>1</v>
      </c>
      <c r="AG31" s="16" t="s">
        <v>2698</v>
      </c>
      <c r="AH31" s="16">
        <v>1</v>
      </c>
    </row>
    <row r="32" spans="2:34">
      <c r="B32" s="16">
        <v>28</v>
      </c>
      <c r="C32" s="16">
        <v>15</v>
      </c>
      <c r="D32" s="13">
        <f t="shared" si="0"/>
        <v>150</v>
      </c>
      <c r="E32" s="16">
        <v>6</v>
      </c>
      <c r="F32" s="16"/>
      <c r="G32" s="16"/>
      <c r="H32" s="20">
        <v>0.031</v>
      </c>
      <c r="I32" s="20">
        <v>0.595</v>
      </c>
      <c r="J32" s="20">
        <v>0.36</v>
      </c>
      <c r="K32" s="20">
        <v>0.014</v>
      </c>
      <c r="L32" s="21">
        <f t="shared" si="1"/>
        <v>0.186</v>
      </c>
      <c r="M32" s="21">
        <f t="shared" si="2"/>
        <v>3.57</v>
      </c>
      <c r="N32" s="21">
        <f t="shared" si="3"/>
        <v>2.16</v>
      </c>
      <c r="O32" s="21">
        <f t="shared" si="4"/>
        <v>0.084</v>
      </c>
      <c r="P32" s="21">
        <f>L32*道具定价!$F$122</f>
        <v>0.372</v>
      </c>
      <c r="Q32" s="21">
        <f>M32*道具定价!$F$123</f>
        <v>28.56</v>
      </c>
      <c r="R32" s="21">
        <f>道具定价!$F$124*N32</f>
        <v>43.2</v>
      </c>
      <c r="S32" s="21">
        <f>O32*道具定价!$F$125</f>
        <v>84</v>
      </c>
      <c r="T32" s="16">
        <v>0</v>
      </c>
      <c r="U32" s="22">
        <f t="shared" si="5"/>
        <v>0.4</v>
      </c>
      <c r="V32" s="22">
        <v>0.45</v>
      </c>
      <c r="W32" s="22">
        <v>0.15</v>
      </c>
      <c r="X32" s="16">
        <f>道具定价!$F$134*U32*T32</f>
        <v>0</v>
      </c>
      <c r="Y32" s="16">
        <f>V32*T32*道具定价!$F$135</f>
        <v>0</v>
      </c>
      <c r="Z32" s="16">
        <f>道具定价!$F$136*W32*T32</f>
        <v>0</v>
      </c>
      <c r="AA32" s="16">
        <v>3700</v>
      </c>
      <c r="AB32" s="21">
        <f>AA32*道具定价!$F$144</f>
        <v>37</v>
      </c>
      <c r="AC32" s="21">
        <f t="shared" si="6"/>
        <v>193.132</v>
      </c>
      <c r="AD32" s="21">
        <f>C32*道具定价!$F$9</f>
        <v>60</v>
      </c>
      <c r="AE32" s="16" t="s">
        <v>1158</v>
      </c>
      <c r="AF32" s="16">
        <v>100</v>
      </c>
      <c r="AG32" s="16" t="s">
        <v>2698</v>
      </c>
      <c r="AH32" s="16">
        <v>1</v>
      </c>
    </row>
    <row r="33" spans="2:34">
      <c r="B33" s="16">
        <v>29</v>
      </c>
      <c r="C33" s="16">
        <v>15</v>
      </c>
      <c r="D33" s="13">
        <f t="shared" si="0"/>
        <v>150</v>
      </c>
      <c r="E33" s="16">
        <v>6</v>
      </c>
      <c r="F33" s="16"/>
      <c r="G33" s="16"/>
      <c r="H33" s="20">
        <v>0.023</v>
      </c>
      <c r="I33" s="20">
        <v>0.58</v>
      </c>
      <c r="J33" s="20">
        <v>0.38</v>
      </c>
      <c r="K33" s="20">
        <v>0.017</v>
      </c>
      <c r="L33" s="21">
        <f t="shared" si="1"/>
        <v>0.138</v>
      </c>
      <c r="M33" s="21">
        <f t="shared" si="2"/>
        <v>3.48</v>
      </c>
      <c r="N33" s="21">
        <f t="shared" si="3"/>
        <v>2.28</v>
      </c>
      <c r="O33" s="21">
        <f t="shared" si="4"/>
        <v>0.102</v>
      </c>
      <c r="P33" s="21">
        <f>L33*道具定价!$F$122</f>
        <v>0.276</v>
      </c>
      <c r="Q33" s="21">
        <f>M33*道具定价!$F$123</f>
        <v>27.84</v>
      </c>
      <c r="R33" s="21">
        <f>道具定价!$F$124*N33</f>
        <v>45.6</v>
      </c>
      <c r="S33" s="21">
        <f>O33*道具定价!$F$125</f>
        <v>102</v>
      </c>
      <c r="T33" s="16">
        <v>0</v>
      </c>
      <c r="U33" s="22">
        <f t="shared" si="5"/>
        <v>0.4</v>
      </c>
      <c r="V33" s="22">
        <v>0.45</v>
      </c>
      <c r="W33" s="22">
        <v>0.15</v>
      </c>
      <c r="X33" s="16">
        <f>道具定价!$F$134*U33*T33</f>
        <v>0</v>
      </c>
      <c r="Y33" s="16">
        <f>V33*T33*道具定价!$F$135</f>
        <v>0</v>
      </c>
      <c r="Z33" s="16">
        <f>道具定价!$F$136*W33*T33</f>
        <v>0</v>
      </c>
      <c r="AA33" s="16">
        <v>3800</v>
      </c>
      <c r="AB33" s="21">
        <f>AA33*道具定价!$F$144</f>
        <v>38</v>
      </c>
      <c r="AC33" s="21">
        <f t="shared" si="6"/>
        <v>213.716</v>
      </c>
      <c r="AD33" s="21">
        <f>C33*道具定价!$F$9</f>
        <v>60</v>
      </c>
      <c r="AE33" s="16" t="s">
        <v>713</v>
      </c>
      <c r="AF33" s="16">
        <v>1</v>
      </c>
      <c r="AG33" s="16" t="s">
        <v>2698</v>
      </c>
      <c r="AH33" s="16">
        <v>1</v>
      </c>
    </row>
    <row r="34" spans="2:34">
      <c r="B34" s="16">
        <v>30</v>
      </c>
      <c r="C34" s="16">
        <v>15</v>
      </c>
      <c r="D34" s="13">
        <f t="shared" si="0"/>
        <v>150</v>
      </c>
      <c r="E34" s="16">
        <v>7</v>
      </c>
      <c r="F34" s="16"/>
      <c r="G34" s="16"/>
      <c r="H34" s="20">
        <v>0</v>
      </c>
      <c r="I34" s="20">
        <v>0.58</v>
      </c>
      <c r="J34" s="20">
        <v>0.4</v>
      </c>
      <c r="K34" s="20">
        <v>0.02</v>
      </c>
      <c r="L34" s="21">
        <f t="shared" si="1"/>
        <v>0</v>
      </c>
      <c r="M34" s="21">
        <f t="shared" si="2"/>
        <v>4.06</v>
      </c>
      <c r="N34" s="21">
        <f t="shared" si="3"/>
        <v>2.8</v>
      </c>
      <c r="O34" s="21">
        <f t="shared" si="4"/>
        <v>0.14</v>
      </c>
      <c r="P34" s="21">
        <f>L34*道具定价!$F$122</f>
        <v>0</v>
      </c>
      <c r="Q34" s="21">
        <f>M34*道具定价!$F$123</f>
        <v>32.48</v>
      </c>
      <c r="R34" s="21">
        <f>道具定价!$F$124*N34</f>
        <v>56</v>
      </c>
      <c r="S34" s="21">
        <f>O34*道具定价!$F$125</f>
        <v>140</v>
      </c>
      <c r="T34" s="16">
        <v>0</v>
      </c>
      <c r="U34" s="22">
        <f t="shared" si="5"/>
        <v>0.4</v>
      </c>
      <c r="V34" s="22">
        <v>0.45</v>
      </c>
      <c r="W34" s="22">
        <v>0.15</v>
      </c>
      <c r="X34" s="16">
        <f>道具定价!$F$134*U34*T34</f>
        <v>0</v>
      </c>
      <c r="Y34" s="16">
        <f>V34*T34*道具定价!$F$135</f>
        <v>0</v>
      </c>
      <c r="Z34" s="16">
        <f>道具定价!$F$136*W34*T34</f>
        <v>0</v>
      </c>
      <c r="AA34" s="16">
        <v>4000</v>
      </c>
      <c r="AB34" s="21">
        <f>AA34*道具定价!$F$144</f>
        <v>40</v>
      </c>
      <c r="AC34" s="21">
        <f t="shared" si="6"/>
        <v>268.48</v>
      </c>
      <c r="AD34" s="21">
        <f>C34*道具定价!$F$9</f>
        <v>60</v>
      </c>
      <c r="AE34" s="18" t="s">
        <v>709</v>
      </c>
      <c r="AF34" s="18">
        <v>2</v>
      </c>
      <c r="AG34" s="16" t="s">
        <v>2698</v>
      </c>
      <c r="AH34" s="16">
        <v>1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AQ63"/>
  <sheetViews>
    <sheetView topLeftCell="W1" workbookViewId="0">
      <selection activeCell="AQ4" sqref="AQ4:AQ33"/>
    </sheetView>
  </sheetViews>
  <sheetFormatPr defaultColWidth="9" defaultRowHeight="13.5"/>
  <cols>
    <col min="2" max="2" width="18.75" style="14" customWidth="1"/>
    <col min="15" max="15" width="16.25" style="14" customWidth="1"/>
    <col min="38" max="39" width="13" style="14" customWidth="1"/>
  </cols>
  <sheetData>
    <row r="3" ht="17.25" customHeight="1" spans="2:43">
      <c r="W3" t="s">
        <v>1135</v>
      </c>
      <c r="X3" t="s">
        <v>1136</v>
      </c>
      <c r="AE3" s="15">
        <v>2017</v>
      </c>
      <c r="AF3" s="15">
        <v>2018</v>
      </c>
      <c r="AG3" s="15">
        <v>2019</v>
      </c>
      <c r="AH3" s="15">
        <v>2020</v>
      </c>
    </row>
    <row r="4" ht="16.5" customHeight="1" spans="2:43">
      <c r="B4" s="16" t="s">
        <v>1156</v>
      </c>
      <c r="C4">
        <v>24</v>
      </c>
      <c r="D4" s="3"/>
      <c r="E4" s="3"/>
      <c r="F4" s="17">
        <f>映射装备副本!H5*1000</f>
        <v>910</v>
      </c>
      <c r="G4" s="17">
        <f>映射装备副本!I5*1000</f>
        <v>90</v>
      </c>
      <c r="H4" s="17">
        <f>映射装备副本!J5*1000</f>
        <v>0</v>
      </c>
      <c r="I4" s="17">
        <f>映射装备副本!K5*1000</f>
        <v>0</v>
      </c>
      <c r="J4" s="3" t="str">
        <f t="shared" ref="J4:J33" si="0">CONCATENATE($F$36,$F$37,F4,$G$37,$G$36,$F$37,G4,$G$37,$H$36,$F$37,H4,$H$37,$I$36,$F$37,I4)</f>
        <v>Blue,910;Purple,90;Orange,0;Red,0</v>
      </c>
      <c r="K4" s="3"/>
      <c r="L4" s="3"/>
      <c r="M4" s="3"/>
      <c r="O4" t="str">
        <f>映射装备副本!AE5</f>
        <v>史诗兑换材料</v>
      </c>
      <c r="P4">
        <f>映射装备副本!AF5</f>
        <v>20</v>
      </c>
      <c r="Q4" t="str">
        <f>映射装备副本!AG5</f>
        <v>映射之钥</v>
      </c>
      <c r="R4">
        <f>映射装备副本!AH5</f>
        <v>1</v>
      </c>
      <c r="S4">
        <f t="shared" ref="S4:S33" si="1">VLOOKUP(O4,$B:$C,2,0)</f>
        <v>24</v>
      </c>
      <c r="T4">
        <f t="shared" ref="T4:T33" si="2">P4</f>
        <v>20</v>
      </c>
      <c r="U4">
        <f t="shared" ref="U4:U33" si="3">VLOOKUP(Q4,$B$4:$C$11,2,0)</f>
        <v>25</v>
      </c>
      <c r="V4">
        <f t="shared" ref="V4:V33" si="4">R4</f>
        <v>1</v>
      </c>
      <c r="W4" t="str">
        <f t="shared" ref="W4:W33" si="5">_xlfn.CONCAT(S4,$W$3,T4)</f>
        <v>24,20</v>
      </c>
      <c r="X4" t="str">
        <f t="shared" ref="X4:X33" si="6">_xlfn.CONCAT(U4,$W$3,V4)</f>
        <v>25,1</v>
      </c>
      <c r="Y4" t="str">
        <f t="shared" ref="Y4:Y33" si="7">_xlfn.CONCAT(W4,$X$3,X4)</f>
        <v>24,20;25,1</v>
      </c>
      <c r="AA4">
        <f t="array" ref="AA4:AA63">_xlfn.TOCOL(_xlfn.HSTACK(S4:S33,U4:U33),1)</f>
        <v>24</v>
      </c>
      <c r="AB4">
        <f t="array" ref="AB4:AB63">_xlfn.TOCOL(_xlfn.HSTACK(T4:T33,V4:V33),1)</f>
        <v>20</v>
      </c>
      <c r="AE4">
        <f>IF(映射装备副本!H5=0,"",AE$3)</f>
        <v>2017</v>
      </c>
      <c r="AF4">
        <f>IF(映射装备副本!I5=0,"",AF$3)</f>
        <v>2018</v>
      </c>
      <c r="AG4" t="str">
        <f>IF(映射装备副本!J5=0,"",AG$3)</f>
        <v/>
      </c>
      <c r="AH4" t="str">
        <f>IF(映射装备副本!K5=0,"",AH$3)</f>
        <v/>
      </c>
      <c r="AI4" t="str">
        <f t="shared" ref="AI4:AI33" si="8">IF(AE4="","",_xlfn.CONCAT(AE4,",-1"))</f>
        <v>2017,-1</v>
      </c>
      <c r="AJ4" t="str">
        <f t="shared" ref="AJ4:AJ33" si="9">IF(AF4="","",_xlfn.CONCAT(AF4,",-1"))</f>
        <v>2018,-1</v>
      </c>
      <c r="AK4" t="str">
        <f t="shared" ref="AK4:AK33" si="10">IF(AG4="","",_xlfn.CONCAT(AG4,",-1"))</f>
        <v/>
      </c>
      <c r="AL4" t="str">
        <f t="shared" ref="AL4:AL33" si="11">IF(AH4="","",_xlfn.CONCAT(AH4,",-1"))</f>
        <v/>
      </c>
      <c r="AM4" t="str">
        <f t="shared" ref="AM4:AM33" si="12">AL4</f>
        <v/>
      </c>
      <c r="AN4" t="str">
        <f t="shared" ref="AN4:AN33" si="13">AK4</f>
        <v/>
      </c>
      <c r="AO4" t="str">
        <f t="shared" ref="AO4:AO33" si="14">AJ4</f>
        <v>2018,-1</v>
      </c>
      <c r="AP4" t="str">
        <f t="shared" ref="AP4:AP33" si="15">AI4</f>
        <v>2017,-1</v>
      </c>
      <c r="AQ4" t="str">
        <f t="shared" ref="AQ4:AQ33" si="16">_xlfn.TEXTJOIN(";",TRUE,AM4:AP4)</f>
        <v>2018,-1;2017,-1</v>
      </c>
    </row>
    <row r="5" ht="16.5" customHeight="1" spans="2:43">
      <c r="B5" s="18" t="s">
        <v>1621</v>
      </c>
      <c r="C5">
        <v>2502</v>
      </c>
      <c r="D5" s="3"/>
      <c r="E5" s="3"/>
      <c r="F5" s="17">
        <f>映射装备副本!H6*1000</f>
        <v>820</v>
      </c>
      <c r="G5" s="17">
        <f>映射装备副本!I6*1000</f>
        <v>180</v>
      </c>
      <c r="H5" s="17">
        <f>映射装备副本!J6*1000</f>
        <v>0</v>
      </c>
      <c r="I5" s="17">
        <f>映射装备副本!K6*1000</f>
        <v>0</v>
      </c>
      <c r="J5" s="3" t="str">
        <f t="shared" si="0"/>
        <v>Blue,820;Purple,180;Orange,0;Red,0</v>
      </c>
      <c r="K5" s="3"/>
      <c r="L5" s="3"/>
      <c r="M5" s="3"/>
      <c r="O5" t="str">
        <f>映射装备副本!AE6</f>
        <v>蓝色装备打孔器</v>
      </c>
      <c r="P5">
        <f>映射装备副本!AF6</f>
        <v>2</v>
      </c>
      <c r="Q5" t="str">
        <f>映射装备副本!AG6</f>
        <v>映射之钥</v>
      </c>
      <c r="R5">
        <f>映射装备副本!AH6</f>
        <v>1</v>
      </c>
      <c r="S5">
        <f t="shared" si="1"/>
        <v>1066</v>
      </c>
      <c r="T5">
        <f t="shared" si="2"/>
        <v>2</v>
      </c>
      <c r="U5">
        <f t="shared" si="3"/>
        <v>25</v>
      </c>
      <c r="V5">
        <f t="shared" si="4"/>
        <v>1</v>
      </c>
      <c r="W5" t="str">
        <f t="shared" si="5"/>
        <v>1066,2</v>
      </c>
      <c r="X5" t="str">
        <f t="shared" si="6"/>
        <v>25,1</v>
      </c>
      <c r="Y5" t="str">
        <f t="shared" si="7"/>
        <v>1066,2;25,1</v>
      </c>
      <c r="AA5">
        <v>25</v>
      </c>
      <c r="AB5">
        <v>1</v>
      </c>
      <c r="AE5">
        <f>IF(映射装备副本!H6=0,"",AE$3)</f>
        <v>2017</v>
      </c>
      <c r="AF5">
        <f>IF(映射装备副本!I6=0,"",AF$3)</f>
        <v>2018</v>
      </c>
      <c r="AG5" t="str">
        <f>IF(映射装备副本!J6=0,"",AG$3)</f>
        <v/>
      </c>
      <c r="AH5" t="str">
        <f>IF(映射装备副本!K6=0,"",AH$3)</f>
        <v/>
      </c>
      <c r="AI5" t="str">
        <f t="shared" si="8"/>
        <v>2017,-1</v>
      </c>
      <c r="AJ5" t="str">
        <f t="shared" si="9"/>
        <v>2018,-1</v>
      </c>
      <c r="AK5" t="str">
        <f t="shared" si="10"/>
        <v/>
      </c>
      <c r="AL5" t="str">
        <f t="shared" si="11"/>
        <v/>
      </c>
      <c r="AM5" t="str">
        <f t="shared" si="12"/>
        <v/>
      </c>
      <c r="AN5" t="str">
        <f t="shared" si="13"/>
        <v/>
      </c>
      <c r="AO5" t="str">
        <f t="shared" si="14"/>
        <v>2018,-1</v>
      </c>
      <c r="AP5" t="str">
        <f t="shared" si="15"/>
        <v>2017,-1</v>
      </c>
      <c r="AQ5" t="str">
        <f t="shared" si="16"/>
        <v>2018,-1;2017,-1</v>
      </c>
    </row>
    <row r="6" ht="16.5" customHeight="1" spans="2:43">
      <c r="B6" s="18" t="s">
        <v>1622</v>
      </c>
      <c r="C6">
        <v>2503</v>
      </c>
      <c r="D6" s="3"/>
      <c r="E6" s="3"/>
      <c r="F6" s="17">
        <f>映射装备副本!H7*1000</f>
        <v>730</v>
      </c>
      <c r="G6" s="17">
        <f>映射装备副本!I7*1000</f>
        <v>270</v>
      </c>
      <c r="H6" s="17">
        <f>映射装备副本!J7*1000</f>
        <v>0</v>
      </c>
      <c r="I6" s="17">
        <f>映射装备副本!K7*1000</f>
        <v>0</v>
      </c>
      <c r="J6" s="3" t="str">
        <f t="shared" si="0"/>
        <v>Blue,730;Purple,270;Orange,0;Red,0</v>
      </c>
      <c r="K6" s="3"/>
      <c r="L6" s="3"/>
      <c r="M6" s="3"/>
      <c r="O6" t="str">
        <f>映射装备副本!AE7</f>
        <v>史诗兑换材料</v>
      </c>
      <c r="P6">
        <f>映射装备副本!AF7</f>
        <v>20</v>
      </c>
      <c r="Q6" t="str">
        <f>映射装备副本!AG7</f>
        <v>映射之钥</v>
      </c>
      <c r="R6">
        <f>映射装备副本!AH7</f>
        <v>1</v>
      </c>
      <c r="S6">
        <f t="shared" si="1"/>
        <v>24</v>
      </c>
      <c r="T6">
        <f t="shared" si="2"/>
        <v>20</v>
      </c>
      <c r="U6">
        <f t="shared" si="3"/>
        <v>25</v>
      </c>
      <c r="V6">
        <f t="shared" si="4"/>
        <v>1</v>
      </c>
      <c r="W6" t="str">
        <f t="shared" si="5"/>
        <v>24,20</v>
      </c>
      <c r="X6" t="str">
        <f t="shared" si="6"/>
        <v>25,1</v>
      </c>
      <c r="Y6" t="str">
        <f t="shared" si="7"/>
        <v>24,20;25,1</v>
      </c>
      <c r="AA6">
        <v>1066</v>
      </c>
      <c r="AB6">
        <v>2</v>
      </c>
      <c r="AE6">
        <f>IF(映射装备副本!H7=0,"",AE$3)</f>
        <v>2017</v>
      </c>
      <c r="AF6">
        <f>IF(映射装备副本!I7=0,"",AF$3)</f>
        <v>2018</v>
      </c>
      <c r="AG6" t="str">
        <f>IF(映射装备副本!J7=0,"",AG$3)</f>
        <v/>
      </c>
      <c r="AH6" t="str">
        <f>IF(映射装备副本!K7=0,"",AH$3)</f>
        <v/>
      </c>
      <c r="AI6" t="str">
        <f t="shared" si="8"/>
        <v>2017,-1</v>
      </c>
      <c r="AJ6" t="str">
        <f t="shared" si="9"/>
        <v>2018,-1</v>
      </c>
      <c r="AK6" t="str">
        <f t="shared" si="10"/>
        <v/>
      </c>
      <c r="AL6" t="str">
        <f t="shared" si="11"/>
        <v/>
      </c>
      <c r="AM6" t="str">
        <f t="shared" si="12"/>
        <v/>
      </c>
      <c r="AN6" t="str">
        <f t="shared" si="13"/>
        <v/>
      </c>
      <c r="AO6" t="str">
        <f t="shared" si="14"/>
        <v>2018,-1</v>
      </c>
      <c r="AP6" t="str">
        <f t="shared" si="15"/>
        <v>2017,-1</v>
      </c>
      <c r="AQ6" t="str">
        <f t="shared" si="16"/>
        <v>2018,-1;2017,-1</v>
      </c>
    </row>
    <row r="7" ht="16.5" customHeight="1" spans="2:43">
      <c r="B7" s="16" t="s">
        <v>1158</v>
      </c>
      <c r="C7">
        <v>23</v>
      </c>
      <c r="D7" s="3"/>
      <c r="E7" s="3"/>
      <c r="F7" s="17">
        <f>映射装备副本!H8*1000</f>
        <v>650</v>
      </c>
      <c r="G7" s="17">
        <f>映射装备副本!I8*1000</f>
        <v>350</v>
      </c>
      <c r="H7" s="17">
        <f>映射装备副本!J8*1000</f>
        <v>0</v>
      </c>
      <c r="I7" s="17">
        <f>映射装备副本!K8*1000</f>
        <v>0</v>
      </c>
      <c r="J7" s="3" t="str">
        <f t="shared" si="0"/>
        <v>Blue,650;Purple,350;Orange,0;Red,0</v>
      </c>
      <c r="K7" s="3"/>
      <c r="L7" s="3"/>
      <c r="M7" s="3"/>
      <c r="O7" t="str">
        <f>映射装备副本!AE8</f>
        <v>蓝色装备打孔器</v>
      </c>
      <c r="P7">
        <f>映射装备副本!AF8</f>
        <v>2</v>
      </c>
      <c r="Q7" t="str">
        <f>映射装备副本!AG8</f>
        <v>映射之钥</v>
      </c>
      <c r="R7">
        <f>映射装备副本!AH8</f>
        <v>1</v>
      </c>
      <c r="S7">
        <f t="shared" si="1"/>
        <v>1066</v>
      </c>
      <c r="T7">
        <f t="shared" si="2"/>
        <v>2</v>
      </c>
      <c r="U7">
        <f t="shared" si="3"/>
        <v>25</v>
      </c>
      <c r="V7">
        <f t="shared" si="4"/>
        <v>1</v>
      </c>
      <c r="W7" t="str">
        <f t="shared" si="5"/>
        <v>1066,2</v>
      </c>
      <c r="X7" t="str">
        <f t="shared" si="6"/>
        <v>25,1</v>
      </c>
      <c r="Y7" t="str">
        <f t="shared" si="7"/>
        <v>1066,2;25,1</v>
      </c>
      <c r="AA7">
        <v>25</v>
      </c>
      <c r="AB7">
        <v>1</v>
      </c>
      <c r="AE7">
        <f>IF(映射装备副本!H8=0,"",AE$3)</f>
        <v>2017</v>
      </c>
      <c r="AF7">
        <f>IF(映射装备副本!I8=0,"",AF$3)</f>
        <v>2018</v>
      </c>
      <c r="AG7" t="str">
        <f>IF(映射装备副本!J8=0,"",AG$3)</f>
        <v/>
      </c>
      <c r="AH7" t="str">
        <f>IF(映射装备副本!K8=0,"",AH$3)</f>
        <v/>
      </c>
      <c r="AI7" t="str">
        <f t="shared" si="8"/>
        <v>2017,-1</v>
      </c>
      <c r="AJ7" t="str">
        <f t="shared" si="9"/>
        <v>2018,-1</v>
      </c>
      <c r="AK7" t="str">
        <f t="shared" si="10"/>
        <v/>
      </c>
      <c r="AL7" t="str">
        <f t="shared" si="11"/>
        <v/>
      </c>
      <c r="AM7" t="str">
        <f t="shared" si="12"/>
        <v/>
      </c>
      <c r="AN7" t="str">
        <f t="shared" si="13"/>
        <v/>
      </c>
      <c r="AO7" t="str">
        <f t="shared" si="14"/>
        <v>2018,-1</v>
      </c>
      <c r="AP7" t="str">
        <f t="shared" si="15"/>
        <v>2017,-1</v>
      </c>
      <c r="AQ7" t="str">
        <f t="shared" si="16"/>
        <v>2018,-1;2017,-1</v>
      </c>
    </row>
    <row r="8" ht="16.5" customHeight="1" spans="2:43">
      <c r="B8" s="18" t="s">
        <v>709</v>
      </c>
      <c r="C8">
        <v>2504</v>
      </c>
      <c r="D8" s="3"/>
      <c r="E8" s="3"/>
      <c r="F8" s="17">
        <f>映射装备副本!H9*1000</f>
        <v>580</v>
      </c>
      <c r="G8" s="17">
        <f>映射装备副本!I9*1000</f>
        <v>420</v>
      </c>
      <c r="H8" s="17">
        <f>映射装备副本!J9*1000</f>
        <v>0</v>
      </c>
      <c r="I8" s="17">
        <f>映射装备副本!K9*1000</f>
        <v>0</v>
      </c>
      <c r="J8" s="3" t="str">
        <f t="shared" si="0"/>
        <v>Blue,580;Purple,420;Orange,0;Red,0</v>
      </c>
      <c r="K8" s="3"/>
      <c r="L8" s="3"/>
      <c r="M8" s="3"/>
      <c r="O8" t="str">
        <f>映射装备副本!AE9</f>
        <v>映射装备紫色</v>
      </c>
      <c r="P8">
        <f>映射装备副本!AF9</f>
        <v>3</v>
      </c>
      <c r="Q8" t="str">
        <f>映射装备副本!AG9</f>
        <v>映射之钥</v>
      </c>
      <c r="R8">
        <f>映射装备副本!AH9</f>
        <v>1</v>
      </c>
      <c r="S8">
        <f t="shared" si="1"/>
        <v>2502</v>
      </c>
      <c r="T8">
        <f t="shared" si="2"/>
        <v>3</v>
      </c>
      <c r="U8">
        <f t="shared" si="3"/>
        <v>25</v>
      </c>
      <c r="V8">
        <f t="shared" si="4"/>
        <v>1</v>
      </c>
      <c r="W8" t="str">
        <f t="shared" si="5"/>
        <v>2502,3</v>
      </c>
      <c r="X8" t="str">
        <f t="shared" si="6"/>
        <v>25,1</v>
      </c>
      <c r="Y8" t="str">
        <f t="shared" si="7"/>
        <v>2502,3;25,1</v>
      </c>
      <c r="AA8">
        <v>24</v>
      </c>
      <c r="AB8">
        <v>20</v>
      </c>
      <c r="AE8">
        <f>IF(映射装备副本!H9=0,"",AE$3)</f>
        <v>2017</v>
      </c>
      <c r="AF8">
        <f>IF(映射装备副本!I9=0,"",AF$3)</f>
        <v>2018</v>
      </c>
      <c r="AG8" t="str">
        <f>IF(映射装备副本!J9=0,"",AG$3)</f>
        <v/>
      </c>
      <c r="AH8" t="str">
        <f>IF(映射装备副本!K9=0,"",AH$3)</f>
        <v/>
      </c>
      <c r="AI8" t="str">
        <f t="shared" si="8"/>
        <v>2017,-1</v>
      </c>
      <c r="AJ8" t="str">
        <f t="shared" si="9"/>
        <v>2018,-1</v>
      </c>
      <c r="AK8" t="str">
        <f t="shared" si="10"/>
        <v/>
      </c>
      <c r="AL8" t="str">
        <f t="shared" si="11"/>
        <v/>
      </c>
      <c r="AM8" t="str">
        <f t="shared" si="12"/>
        <v/>
      </c>
      <c r="AN8" t="str">
        <f t="shared" si="13"/>
        <v/>
      </c>
      <c r="AO8" t="str">
        <f t="shared" si="14"/>
        <v>2018,-1</v>
      </c>
      <c r="AP8" t="str">
        <f t="shared" si="15"/>
        <v>2017,-1</v>
      </c>
      <c r="AQ8" t="str">
        <f t="shared" si="16"/>
        <v>2018,-1;2017,-1</v>
      </c>
    </row>
    <row r="9" ht="16.5" customHeight="1" spans="2:43">
      <c r="B9" s="3" t="s">
        <v>2698</v>
      </c>
      <c r="C9" s="3">
        <v>25</v>
      </c>
      <c r="D9" s="3"/>
      <c r="E9" s="3"/>
      <c r="F9" s="17">
        <f>映射装备副本!H10*1000</f>
        <v>510</v>
      </c>
      <c r="G9" s="17">
        <f>映射装备副本!I10*1000</f>
        <v>490</v>
      </c>
      <c r="H9" s="17">
        <f>映射装备副本!J10*1000</f>
        <v>0</v>
      </c>
      <c r="I9" s="17">
        <f>映射装备副本!K10*1000</f>
        <v>0</v>
      </c>
      <c r="J9" s="3" t="str">
        <f t="shared" si="0"/>
        <v>Blue,510;Purple,490;Orange,0;Red,0</v>
      </c>
      <c r="K9" s="3"/>
      <c r="L9" s="3"/>
      <c r="M9" s="3"/>
      <c r="O9" t="str">
        <f>映射装备副本!AE10</f>
        <v>史诗兑换材料</v>
      </c>
      <c r="P9">
        <f>映射装备副本!AF10</f>
        <v>30</v>
      </c>
      <c r="Q9" t="str">
        <f>映射装备副本!AG10</f>
        <v>映射之钥</v>
      </c>
      <c r="R9">
        <f>映射装备副本!AH10</f>
        <v>1</v>
      </c>
      <c r="S9">
        <f t="shared" si="1"/>
        <v>24</v>
      </c>
      <c r="T9">
        <f t="shared" si="2"/>
        <v>30</v>
      </c>
      <c r="U9">
        <f t="shared" si="3"/>
        <v>25</v>
      </c>
      <c r="V9">
        <f t="shared" si="4"/>
        <v>1</v>
      </c>
      <c r="W9" t="str">
        <f t="shared" si="5"/>
        <v>24,30</v>
      </c>
      <c r="X9" t="str">
        <f t="shared" si="6"/>
        <v>25,1</v>
      </c>
      <c r="Y9" t="str">
        <f t="shared" si="7"/>
        <v>24,30;25,1</v>
      </c>
      <c r="AA9">
        <v>25</v>
      </c>
      <c r="AB9">
        <v>1</v>
      </c>
      <c r="AE9">
        <f>IF(映射装备副本!H10=0,"",AE$3)</f>
        <v>2017</v>
      </c>
      <c r="AF9">
        <f>IF(映射装备副本!I10=0,"",AF$3)</f>
        <v>2018</v>
      </c>
      <c r="AG9" t="str">
        <f>IF(映射装备副本!J10=0,"",AG$3)</f>
        <v/>
      </c>
      <c r="AH9" t="str">
        <f>IF(映射装备副本!K10=0,"",AH$3)</f>
        <v/>
      </c>
      <c r="AI9" t="str">
        <f t="shared" si="8"/>
        <v>2017,-1</v>
      </c>
      <c r="AJ9" t="str">
        <f t="shared" si="9"/>
        <v>2018,-1</v>
      </c>
      <c r="AK9" t="str">
        <f t="shared" si="10"/>
        <v/>
      </c>
      <c r="AL9" t="str">
        <f t="shared" si="11"/>
        <v/>
      </c>
      <c r="AM9" t="str">
        <f t="shared" si="12"/>
        <v/>
      </c>
      <c r="AN9" t="str">
        <f t="shared" si="13"/>
        <v/>
      </c>
      <c r="AO9" t="str">
        <f t="shared" si="14"/>
        <v>2018,-1</v>
      </c>
      <c r="AP9" t="str">
        <f t="shared" si="15"/>
        <v>2017,-1</v>
      </c>
      <c r="AQ9" t="str">
        <f t="shared" si="16"/>
        <v>2018,-1;2017,-1</v>
      </c>
    </row>
    <row r="10" ht="16.5" customHeight="1" spans="2:43">
      <c r="B10" s="15" t="s">
        <v>2699</v>
      </c>
      <c r="C10" s="15">
        <v>2017</v>
      </c>
      <c r="D10" s="3"/>
      <c r="E10" s="3"/>
      <c r="F10" s="17">
        <f>映射装备副本!H11*1000</f>
        <v>450</v>
      </c>
      <c r="G10" s="17">
        <f>映射装备副本!I11*1000</f>
        <v>550</v>
      </c>
      <c r="H10" s="17">
        <f>映射装备副本!J11*1000</f>
        <v>0</v>
      </c>
      <c r="I10" s="17">
        <f>映射装备副本!K11*1000</f>
        <v>0</v>
      </c>
      <c r="J10" s="3" t="str">
        <f t="shared" si="0"/>
        <v>Blue,450;Purple,550;Orange,0;Red,0</v>
      </c>
      <c r="K10" s="3"/>
      <c r="L10" s="3"/>
      <c r="M10" s="3"/>
      <c r="O10" t="str">
        <f>映射装备副本!AE11</f>
        <v>紫色装备打孔器</v>
      </c>
      <c r="P10">
        <f>映射装备副本!AF11</f>
        <v>2</v>
      </c>
      <c r="Q10" t="str">
        <f>映射装备副本!AG11</f>
        <v>映射之钥</v>
      </c>
      <c r="R10">
        <f>映射装备副本!AH11</f>
        <v>1</v>
      </c>
      <c r="S10">
        <f t="shared" si="1"/>
        <v>1067</v>
      </c>
      <c r="T10">
        <f t="shared" si="2"/>
        <v>2</v>
      </c>
      <c r="U10">
        <f t="shared" si="3"/>
        <v>25</v>
      </c>
      <c r="V10">
        <f t="shared" si="4"/>
        <v>1</v>
      </c>
      <c r="W10" t="str">
        <f t="shared" si="5"/>
        <v>1067,2</v>
      </c>
      <c r="X10" t="str">
        <f t="shared" si="6"/>
        <v>25,1</v>
      </c>
      <c r="Y10" t="str">
        <f t="shared" si="7"/>
        <v>1067,2;25,1</v>
      </c>
      <c r="AA10">
        <v>1066</v>
      </c>
      <c r="AB10">
        <v>2</v>
      </c>
      <c r="AE10">
        <f>IF(映射装备副本!H11=0,"",AE$3)</f>
        <v>2017</v>
      </c>
      <c r="AF10">
        <f>IF(映射装备副本!I11=0,"",AF$3)</f>
        <v>2018</v>
      </c>
      <c r="AG10" t="str">
        <f>IF(映射装备副本!J11=0,"",AG$3)</f>
        <v/>
      </c>
      <c r="AH10" t="str">
        <f>IF(映射装备副本!K11=0,"",AH$3)</f>
        <v/>
      </c>
      <c r="AI10" t="str">
        <f t="shared" si="8"/>
        <v>2017,-1</v>
      </c>
      <c r="AJ10" t="str">
        <f t="shared" si="9"/>
        <v>2018,-1</v>
      </c>
      <c r="AK10" t="str">
        <f t="shared" si="10"/>
        <v/>
      </c>
      <c r="AL10" t="str">
        <f t="shared" si="11"/>
        <v/>
      </c>
      <c r="AM10" t="str">
        <f t="shared" si="12"/>
        <v/>
      </c>
      <c r="AN10" t="str">
        <f t="shared" si="13"/>
        <v/>
      </c>
      <c r="AO10" t="str">
        <f t="shared" si="14"/>
        <v>2018,-1</v>
      </c>
      <c r="AP10" t="str">
        <f t="shared" si="15"/>
        <v>2017,-1</v>
      </c>
      <c r="AQ10" t="str">
        <f t="shared" si="16"/>
        <v>2018,-1;2017,-1</v>
      </c>
    </row>
    <row r="11" ht="16.5" customHeight="1" spans="2:43">
      <c r="B11" s="15" t="s">
        <v>2669</v>
      </c>
      <c r="C11" s="15">
        <v>2018</v>
      </c>
      <c r="D11" s="3"/>
      <c r="E11" s="3"/>
      <c r="F11" s="17">
        <f>映射装备副本!H12*1000</f>
        <v>390</v>
      </c>
      <c r="G11" s="17">
        <f>映射装备副本!I12*1000</f>
        <v>610</v>
      </c>
      <c r="H11" s="17">
        <f>映射装备副本!J12*1000</f>
        <v>0</v>
      </c>
      <c r="I11" s="17">
        <f>映射装备副本!K12*1000</f>
        <v>0</v>
      </c>
      <c r="J11" s="3" t="str">
        <f t="shared" si="0"/>
        <v>Blue,390;Purple,610;Orange,0;Red,0</v>
      </c>
      <c r="K11" s="3"/>
      <c r="L11" s="3"/>
      <c r="M11" s="3"/>
      <c r="O11" t="str">
        <f>映射装备副本!AE12</f>
        <v>史诗兑换材料</v>
      </c>
      <c r="P11">
        <f>映射装备副本!AF12</f>
        <v>30</v>
      </c>
      <c r="Q11" t="str">
        <f>映射装备副本!AG12</f>
        <v>映射之钥</v>
      </c>
      <c r="R11">
        <f>映射装备副本!AH12</f>
        <v>1</v>
      </c>
      <c r="S11">
        <f t="shared" si="1"/>
        <v>24</v>
      </c>
      <c r="T11">
        <f t="shared" si="2"/>
        <v>30</v>
      </c>
      <c r="U11">
        <f t="shared" si="3"/>
        <v>25</v>
      </c>
      <c r="V11">
        <f t="shared" si="4"/>
        <v>1</v>
      </c>
      <c r="W11" t="str">
        <f t="shared" si="5"/>
        <v>24,30</v>
      </c>
      <c r="X11" t="str">
        <f t="shared" si="6"/>
        <v>25,1</v>
      </c>
      <c r="Y11" t="str">
        <f t="shared" si="7"/>
        <v>24,30;25,1</v>
      </c>
      <c r="AA11">
        <v>25</v>
      </c>
      <c r="AB11">
        <v>1</v>
      </c>
      <c r="AE11">
        <f>IF(映射装备副本!H12=0,"",AE$3)</f>
        <v>2017</v>
      </c>
      <c r="AF11">
        <f>IF(映射装备副本!I12=0,"",AF$3)</f>
        <v>2018</v>
      </c>
      <c r="AG11" t="str">
        <f>IF(映射装备副本!J12=0,"",AG$3)</f>
        <v/>
      </c>
      <c r="AH11" t="str">
        <f>IF(映射装备副本!K12=0,"",AH$3)</f>
        <v/>
      </c>
      <c r="AI11" t="str">
        <f t="shared" si="8"/>
        <v>2017,-1</v>
      </c>
      <c r="AJ11" t="str">
        <f t="shared" si="9"/>
        <v>2018,-1</v>
      </c>
      <c r="AK11" t="str">
        <f t="shared" si="10"/>
        <v/>
      </c>
      <c r="AL11" t="str">
        <f t="shared" si="11"/>
        <v/>
      </c>
      <c r="AM11" t="str">
        <f t="shared" si="12"/>
        <v/>
      </c>
      <c r="AN11" t="str">
        <f t="shared" si="13"/>
        <v/>
      </c>
      <c r="AO11" t="str">
        <f t="shared" si="14"/>
        <v>2018,-1</v>
      </c>
      <c r="AP11" t="str">
        <f t="shared" si="15"/>
        <v>2017,-1</v>
      </c>
      <c r="AQ11" t="str">
        <f t="shared" si="16"/>
        <v>2018,-1;2017,-1</v>
      </c>
    </row>
    <row r="12" ht="16.5" customHeight="1" spans="2:43">
      <c r="B12" s="15" t="s">
        <v>2677</v>
      </c>
      <c r="C12" s="15">
        <v>2019</v>
      </c>
      <c r="D12" s="3"/>
      <c r="E12" s="3"/>
      <c r="F12" s="17">
        <f>映射装备副本!H13*1000</f>
        <v>340</v>
      </c>
      <c r="G12" s="17">
        <f>映射装备副本!I13*1000</f>
        <v>660</v>
      </c>
      <c r="H12" s="17">
        <f>映射装备副本!J13*1000</f>
        <v>0</v>
      </c>
      <c r="I12" s="17">
        <f>映射装备副本!K13*1000</f>
        <v>0</v>
      </c>
      <c r="J12" s="3" t="str">
        <f t="shared" si="0"/>
        <v>Blue,340;Purple,660;Orange,0;Red,0</v>
      </c>
      <c r="K12" s="3"/>
      <c r="L12" s="3"/>
      <c r="M12" s="3"/>
      <c r="O12" t="str">
        <f>映射装备副本!AE13</f>
        <v>紫色装备打孔器</v>
      </c>
      <c r="P12">
        <f>映射装备副本!AF13</f>
        <v>2</v>
      </c>
      <c r="Q12" t="str">
        <f>映射装备副本!AG13</f>
        <v>映射之钥</v>
      </c>
      <c r="R12">
        <f>映射装备副本!AH13</f>
        <v>1</v>
      </c>
      <c r="S12">
        <f t="shared" si="1"/>
        <v>1067</v>
      </c>
      <c r="T12">
        <f t="shared" si="2"/>
        <v>2</v>
      </c>
      <c r="U12">
        <f t="shared" si="3"/>
        <v>25</v>
      </c>
      <c r="V12">
        <f t="shared" si="4"/>
        <v>1</v>
      </c>
      <c r="W12" t="str">
        <f t="shared" si="5"/>
        <v>1067,2</v>
      </c>
      <c r="X12" t="str">
        <f t="shared" si="6"/>
        <v>25,1</v>
      </c>
      <c r="Y12" t="str">
        <f t="shared" si="7"/>
        <v>1067,2;25,1</v>
      </c>
      <c r="AA12">
        <v>2502</v>
      </c>
      <c r="AB12">
        <v>3</v>
      </c>
      <c r="AE12">
        <f>IF(映射装备副本!H13=0,"",AE$3)</f>
        <v>2017</v>
      </c>
      <c r="AF12">
        <f>IF(映射装备副本!I13=0,"",AF$3)</f>
        <v>2018</v>
      </c>
      <c r="AG12" t="str">
        <f>IF(映射装备副本!J13=0,"",AG$3)</f>
        <v/>
      </c>
      <c r="AH12" t="str">
        <f>IF(映射装备副本!K13=0,"",AH$3)</f>
        <v/>
      </c>
      <c r="AI12" t="str">
        <f t="shared" si="8"/>
        <v>2017,-1</v>
      </c>
      <c r="AJ12" t="str">
        <f t="shared" si="9"/>
        <v>2018,-1</v>
      </c>
      <c r="AK12" t="str">
        <f t="shared" si="10"/>
        <v/>
      </c>
      <c r="AL12" t="str">
        <f t="shared" si="11"/>
        <v/>
      </c>
      <c r="AM12" t="str">
        <f t="shared" si="12"/>
        <v/>
      </c>
      <c r="AN12" t="str">
        <f t="shared" si="13"/>
        <v/>
      </c>
      <c r="AO12" t="str">
        <f t="shared" si="14"/>
        <v>2018,-1</v>
      </c>
      <c r="AP12" t="str">
        <f t="shared" si="15"/>
        <v>2017,-1</v>
      </c>
      <c r="AQ12" t="str">
        <f t="shared" si="16"/>
        <v>2018,-1;2017,-1</v>
      </c>
    </row>
    <row r="13" ht="16.5" customHeight="1" spans="2:43">
      <c r="B13" s="15" t="s">
        <v>2700</v>
      </c>
      <c r="C13" s="15">
        <v>2020</v>
      </c>
      <c r="D13" s="3"/>
      <c r="E13" s="3"/>
      <c r="F13" s="17">
        <f>映射装备副本!H14*1000</f>
        <v>280</v>
      </c>
      <c r="G13" s="17">
        <f>映射装备副本!I14*1000</f>
        <v>700</v>
      </c>
      <c r="H13" s="17">
        <f>映射装备副本!J14*1000</f>
        <v>20</v>
      </c>
      <c r="I13" s="17">
        <f>映射装备副本!K14*1000</f>
        <v>0</v>
      </c>
      <c r="J13" s="3" t="str">
        <f t="shared" si="0"/>
        <v>Blue,280;Purple,700;Orange,20;Red,0</v>
      </c>
      <c r="K13" s="3"/>
      <c r="L13" s="3"/>
      <c r="M13" s="3"/>
      <c r="O13" t="str">
        <f>映射装备副本!AE14</f>
        <v>映射装备金色</v>
      </c>
      <c r="P13">
        <f>映射装备副本!AF14</f>
        <v>1</v>
      </c>
      <c r="Q13" t="str">
        <f>映射装备副本!AG14</f>
        <v>映射之钥</v>
      </c>
      <c r="R13">
        <f>映射装备副本!AH14</f>
        <v>1</v>
      </c>
      <c r="S13">
        <f t="shared" si="1"/>
        <v>2503</v>
      </c>
      <c r="T13">
        <f t="shared" si="2"/>
        <v>1</v>
      </c>
      <c r="U13">
        <f t="shared" si="3"/>
        <v>25</v>
      </c>
      <c r="V13">
        <f t="shared" si="4"/>
        <v>1</v>
      </c>
      <c r="W13" t="str">
        <f t="shared" si="5"/>
        <v>2503,1</v>
      </c>
      <c r="X13" t="str">
        <f t="shared" si="6"/>
        <v>25,1</v>
      </c>
      <c r="Y13" t="str">
        <f t="shared" si="7"/>
        <v>2503,1;25,1</v>
      </c>
      <c r="AA13">
        <v>25</v>
      </c>
      <c r="AB13">
        <v>1</v>
      </c>
      <c r="AE13">
        <f>IF(映射装备副本!H14=0,"",AE$3)</f>
        <v>2017</v>
      </c>
      <c r="AF13">
        <f>IF(映射装备副本!I14=0,"",AF$3)</f>
        <v>2018</v>
      </c>
      <c r="AG13">
        <f>IF(映射装备副本!J14=0,"",AG$3)</f>
        <v>2019</v>
      </c>
      <c r="AH13" t="str">
        <f>IF(映射装备副本!K14=0,"",AH$3)</f>
        <v/>
      </c>
      <c r="AI13" t="str">
        <f t="shared" si="8"/>
        <v>2017,-1</v>
      </c>
      <c r="AJ13" t="str">
        <f t="shared" si="9"/>
        <v>2018,-1</v>
      </c>
      <c r="AK13" t="str">
        <f t="shared" si="10"/>
        <v>2019,-1</v>
      </c>
      <c r="AL13" t="str">
        <f t="shared" si="11"/>
        <v/>
      </c>
      <c r="AM13" t="str">
        <f t="shared" si="12"/>
        <v/>
      </c>
      <c r="AN13" t="str">
        <f t="shared" si="13"/>
        <v>2019,-1</v>
      </c>
      <c r="AO13" t="str">
        <f t="shared" si="14"/>
        <v>2018,-1</v>
      </c>
      <c r="AP13" t="str">
        <f t="shared" si="15"/>
        <v>2017,-1</v>
      </c>
      <c r="AQ13" t="str">
        <f t="shared" si="16"/>
        <v>2019,-1;2018,-1;2017,-1</v>
      </c>
    </row>
    <row r="14" ht="16.5" customHeight="1" spans="2:43">
      <c r="B14" s="3" t="s">
        <v>710</v>
      </c>
      <c r="C14" s="15">
        <v>1066</v>
      </c>
      <c r="D14" s="3"/>
      <c r="E14" s="3"/>
      <c r="F14" s="17">
        <f>映射装备副本!H15*1000</f>
        <v>240</v>
      </c>
      <c r="G14" s="17">
        <f>映射装备副本!I15*1000</f>
        <v>720</v>
      </c>
      <c r="H14" s="17">
        <f>映射装备副本!J15*1000</f>
        <v>40</v>
      </c>
      <c r="I14" s="17">
        <f>映射装备副本!K15*1000</f>
        <v>0</v>
      </c>
      <c r="J14" s="3" t="str">
        <f t="shared" si="0"/>
        <v>Blue,240;Purple,720;Orange,40;Red,0</v>
      </c>
      <c r="K14" s="3"/>
      <c r="L14" s="3"/>
      <c r="M14" s="3"/>
      <c r="O14" t="str">
        <f>映射装备副本!AE15</f>
        <v>史诗兑换材料</v>
      </c>
      <c r="P14">
        <f>映射装备副本!AF15</f>
        <v>50</v>
      </c>
      <c r="Q14" t="str">
        <f>映射装备副本!AG15</f>
        <v>映射之钥</v>
      </c>
      <c r="R14">
        <f>映射装备副本!AH15</f>
        <v>1</v>
      </c>
      <c r="S14">
        <f t="shared" si="1"/>
        <v>24</v>
      </c>
      <c r="T14">
        <f t="shared" si="2"/>
        <v>50</v>
      </c>
      <c r="U14">
        <f t="shared" si="3"/>
        <v>25</v>
      </c>
      <c r="V14">
        <f t="shared" si="4"/>
        <v>1</v>
      </c>
      <c r="W14" t="str">
        <f t="shared" si="5"/>
        <v>24,50</v>
      </c>
      <c r="X14" t="str">
        <f t="shared" si="6"/>
        <v>25,1</v>
      </c>
      <c r="Y14" t="str">
        <f t="shared" si="7"/>
        <v>24,50;25,1</v>
      </c>
      <c r="AA14">
        <v>24</v>
      </c>
      <c r="AB14">
        <v>30</v>
      </c>
      <c r="AE14">
        <f>IF(映射装备副本!H15=0,"",AE$3)</f>
        <v>2017</v>
      </c>
      <c r="AF14">
        <f>IF(映射装备副本!I15=0,"",AF$3)</f>
        <v>2018</v>
      </c>
      <c r="AG14">
        <f>IF(映射装备副本!J15=0,"",AG$3)</f>
        <v>2019</v>
      </c>
      <c r="AH14" t="str">
        <f>IF(映射装备副本!K15=0,"",AH$3)</f>
        <v/>
      </c>
      <c r="AI14" t="str">
        <f t="shared" si="8"/>
        <v>2017,-1</v>
      </c>
      <c r="AJ14" t="str">
        <f t="shared" si="9"/>
        <v>2018,-1</v>
      </c>
      <c r="AK14" t="str">
        <f t="shared" si="10"/>
        <v>2019,-1</v>
      </c>
      <c r="AL14" t="str">
        <f t="shared" si="11"/>
        <v/>
      </c>
      <c r="AM14" t="str">
        <f t="shared" si="12"/>
        <v/>
      </c>
      <c r="AN14" t="str">
        <f t="shared" si="13"/>
        <v>2019,-1</v>
      </c>
      <c r="AO14" t="str">
        <f t="shared" si="14"/>
        <v>2018,-1</v>
      </c>
      <c r="AP14" t="str">
        <f t="shared" si="15"/>
        <v>2017,-1</v>
      </c>
      <c r="AQ14" t="str">
        <f t="shared" si="16"/>
        <v>2019,-1;2018,-1;2017,-1</v>
      </c>
    </row>
    <row r="15" ht="16.5" customHeight="1" spans="2:43">
      <c r="B15" s="3" t="s">
        <v>711</v>
      </c>
      <c r="C15" s="15">
        <v>1067</v>
      </c>
      <c r="D15" s="3"/>
      <c r="E15" s="3"/>
      <c r="F15" s="17">
        <f>映射装备副本!H16*1000</f>
        <v>210</v>
      </c>
      <c r="G15" s="17">
        <f>映射装备副本!I16*1000</f>
        <v>735</v>
      </c>
      <c r="H15" s="17">
        <f>映射装备副本!J16*1000</f>
        <v>55</v>
      </c>
      <c r="I15" s="17">
        <f>映射装备副本!K16*1000</f>
        <v>0</v>
      </c>
      <c r="J15" s="3" t="str">
        <f t="shared" si="0"/>
        <v>Blue,210;Purple,735;Orange,55;Red,0</v>
      </c>
      <c r="K15" s="3"/>
      <c r="L15" s="3"/>
      <c r="M15" s="3"/>
      <c r="O15" t="str">
        <f>映射装备副本!AE16</f>
        <v>金色装备打孔器</v>
      </c>
      <c r="P15">
        <f>映射装备副本!AF16</f>
        <v>1</v>
      </c>
      <c r="Q15" t="str">
        <f>映射装备副本!AG16</f>
        <v>映射之钥</v>
      </c>
      <c r="R15">
        <f>映射装备副本!AH16</f>
        <v>1</v>
      </c>
      <c r="S15">
        <f t="shared" si="1"/>
        <v>1068</v>
      </c>
      <c r="T15">
        <f t="shared" si="2"/>
        <v>1</v>
      </c>
      <c r="U15">
        <f t="shared" si="3"/>
        <v>25</v>
      </c>
      <c r="V15">
        <f t="shared" si="4"/>
        <v>1</v>
      </c>
      <c r="W15" t="str">
        <f t="shared" si="5"/>
        <v>1068,1</v>
      </c>
      <c r="X15" t="str">
        <f t="shared" si="6"/>
        <v>25,1</v>
      </c>
      <c r="Y15" t="str">
        <f t="shared" si="7"/>
        <v>1068,1;25,1</v>
      </c>
      <c r="AA15">
        <v>25</v>
      </c>
      <c r="AB15">
        <v>1</v>
      </c>
      <c r="AE15">
        <f>IF(映射装备副本!H16=0,"",AE$3)</f>
        <v>2017</v>
      </c>
      <c r="AF15">
        <f>IF(映射装备副本!I16=0,"",AF$3)</f>
        <v>2018</v>
      </c>
      <c r="AG15">
        <f>IF(映射装备副本!J16=0,"",AG$3)</f>
        <v>2019</v>
      </c>
      <c r="AH15" t="str">
        <f>IF(映射装备副本!K16=0,"",AH$3)</f>
        <v/>
      </c>
      <c r="AI15" t="str">
        <f t="shared" si="8"/>
        <v>2017,-1</v>
      </c>
      <c r="AJ15" t="str">
        <f t="shared" si="9"/>
        <v>2018,-1</v>
      </c>
      <c r="AK15" t="str">
        <f t="shared" si="10"/>
        <v>2019,-1</v>
      </c>
      <c r="AL15" t="str">
        <f t="shared" si="11"/>
        <v/>
      </c>
      <c r="AM15" t="str">
        <f t="shared" si="12"/>
        <v/>
      </c>
      <c r="AN15" t="str">
        <f t="shared" si="13"/>
        <v>2019,-1</v>
      </c>
      <c r="AO15" t="str">
        <f t="shared" si="14"/>
        <v>2018,-1</v>
      </c>
      <c r="AP15" t="str">
        <f t="shared" si="15"/>
        <v>2017,-1</v>
      </c>
      <c r="AQ15" t="str">
        <f t="shared" si="16"/>
        <v>2019,-1;2018,-1;2017,-1</v>
      </c>
    </row>
    <row r="16" ht="16.5" customHeight="1" spans="2:43">
      <c r="B16" s="3" t="s">
        <v>712</v>
      </c>
      <c r="C16" s="15">
        <v>1068</v>
      </c>
      <c r="D16" s="3"/>
      <c r="E16" s="3"/>
      <c r="F16" s="17">
        <f>映射装备副本!H17*1000</f>
        <v>180</v>
      </c>
      <c r="G16" s="17">
        <f>映射装备副本!I17*1000</f>
        <v>750</v>
      </c>
      <c r="H16" s="17">
        <f>映射装备副本!J17*1000</f>
        <v>70</v>
      </c>
      <c r="I16" s="17">
        <f>映射装备副本!K17*1000</f>
        <v>0</v>
      </c>
      <c r="J16" s="3" t="str">
        <f t="shared" si="0"/>
        <v>Blue,180;Purple,750;Orange,70;Red,0</v>
      </c>
      <c r="O16" t="str">
        <f>映射装备副本!AE17</f>
        <v>史诗兑换材料</v>
      </c>
      <c r="P16">
        <f>映射装备副本!AF17</f>
        <v>50</v>
      </c>
      <c r="Q16" t="str">
        <f>映射装备副本!AG17</f>
        <v>映射之钥</v>
      </c>
      <c r="R16">
        <f>映射装备副本!AH17</f>
        <v>1</v>
      </c>
      <c r="S16">
        <f t="shared" si="1"/>
        <v>24</v>
      </c>
      <c r="T16">
        <f t="shared" si="2"/>
        <v>50</v>
      </c>
      <c r="U16">
        <f t="shared" si="3"/>
        <v>25</v>
      </c>
      <c r="V16">
        <f t="shared" si="4"/>
        <v>1</v>
      </c>
      <c r="W16" t="str">
        <f t="shared" si="5"/>
        <v>24,50</v>
      </c>
      <c r="X16" t="str">
        <f t="shared" si="6"/>
        <v>25,1</v>
      </c>
      <c r="Y16" t="str">
        <f t="shared" si="7"/>
        <v>24,50;25,1</v>
      </c>
      <c r="AA16">
        <v>1067</v>
      </c>
      <c r="AB16">
        <v>2</v>
      </c>
      <c r="AE16">
        <f>IF(映射装备副本!H17=0,"",AE$3)</f>
        <v>2017</v>
      </c>
      <c r="AF16">
        <f>IF(映射装备副本!I17=0,"",AF$3)</f>
        <v>2018</v>
      </c>
      <c r="AG16">
        <f>IF(映射装备副本!J17=0,"",AG$3)</f>
        <v>2019</v>
      </c>
      <c r="AH16" t="str">
        <f>IF(映射装备副本!K17=0,"",AH$3)</f>
        <v/>
      </c>
      <c r="AI16" t="str">
        <f t="shared" si="8"/>
        <v>2017,-1</v>
      </c>
      <c r="AJ16" t="str">
        <f t="shared" si="9"/>
        <v>2018,-1</v>
      </c>
      <c r="AK16" t="str">
        <f t="shared" si="10"/>
        <v>2019,-1</v>
      </c>
      <c r="AL16" t="str">
        <f t="shared" si="11"/>
        <v/>
      </c>
      <c r="AM16" t="str">
        <f t="shared" si="12"/>
        <v/>
      </c>
      <c r="AN16" t="str">
        <f t="shared" si="13"/>
        <v>2019,-1</v>
      </c>
      <c r="AO16" t="str">
        <f t="shared" si="14"/>
        <v>2018,-1</v>
      </c>
      <c r="AP16" t="str">
        <f t="shared" si="15"/>
        <v>2017,-1</v>
      </c>
      <c r="AQ16" t="str">
        <f t="shared" si="16"/>
        <v>2019,-1;2018,-1;2017,-1</v>
      </c>
    </row>
    <row r="17" ht="16.5" customHeight="1" spans="2:43">
      <c r="B17" s="3" t="s">
        <v>713</v>
      </c>
      <c r="C17" s="15">
        <v>1069</v>
      </c>
      <c r="D17" s="3"/>
      <c r="E17" s="3"/>
      <c r="F17" s="17">
        <f>映射装备副本!H18*1000</f>
        <v>160</v>
      </c>
      <c r="G17" s="17">
        <f>映射装备副本!I18*1000</f>
        <v>755</v>
      </c>
      <c r="H17" s="17">
        <f>映射装备副本!J18*1000</f>
        <v>85</v>
      </c>
      <c r="I17" s="17">
        <f>映射装备副本!K18*1000</f>
        <v>0</v>
      </c>
      <c r="J17" s="3" t="str">
        <f t="shared" si="0"/>
        <v>Blue,160;Purple,755;Orange,85;Red,0</v>
      </c>
      <c r="O17" t="str">
        <f>映射装备副本!AE18</f>
        <v>金色装备打孔器</v>
      </c>
      <c r="P17">
        <f>映射装备副本!AF18</f>
        <v>2</v>
      </c>
      <c r="Q17" t="str">
        <f>映射装备副本!AG18</f>
        <v>映射之钥</v>
      </c>
      <c r="R17">
        <f>映射装备副本!AH18</f>
        <v>1</v>
      </c>
      <c r="S17">
        <f t="shared" si="1"/>
        <v>1068</v>
      </c>
      <c r="T17">
        <f t="shared" si="2"/>
        <v>2</v>
      </c>
      <c r="U17">
        <f t="shared" si="3"/>
        <v>25</v>
      </c>
      <c r="V17">
        <f t="shared" si="4"/>
        <v>1</v>
      </c>
      <c r="W17" t="str">
        <f t="shared" si="5"/>
        <v>1068,2</v>
      </c>
      <c r="X17" t="str">
        <f t="shared" si="6"/>
        <v>25,1</v>
      </c>
      <c r="Y17" t="str">
        <f t="shared" si="7"/>
        <v>1068,2;25,1</v>
      </c>
      <c r="AA17">
        <v>25</v>
      </c>
      <c r="AB17">
        <v>1</v>
      </c>
      <c r="AE17">
        <f>IF(映射装备副本!H18=0,"",AE$3)</f>
        <v>2017</v>
      </c>
      <c r="AF17">
        <f>IF(映射装备副本!I18=0,"",AF$3)</f>
        <v>2018</v>
      </c>
      <c r="AG17">
        <f>IF(映射装备副本!J18=0,"",AG$3)</f>
        <v>2019</v>
      </c>
      <c r="AH17" t="str">
        <f>IF(映射装备副本!K18=0,"",AH$3)</f>
        <v/>
      </c>
      <c r="AI17" t="str">
        <f t="shared" si="8"/>
        <v>2017,-1</v>
      </c>
      <c r="AJ17" t="str">
        <f t="shared" si="9"/>
        <v>2018,-1</v>
      </c>
      <c r="AK17" t="str">
        <f t="shared" si="10"/>
        <v>2019,-1</v>
      </c>
      <c r="AL17" t="str">
        <f t="shared" si="11"/>
        <v/>
      </c>
      <c r="AM17" t="str">
        <f t="shared" si="12"/>
        <v/>
      </c>
      <c r="AN17" t="str">
        <f t="shared" si="13"/>
        <v>2019,-1</v>
      </c>
      <c r="AO17" t="str">
        <f t="shared" si="14"/>
        <v>2018,-1</v>
      </c>
      <c r="AP17" t="str">
        <f t="shared" si="15"/>
        <v>2017,-1</v>
      </c>
      <c r="AQ17" t="str">
        <f t="shared" si="16"/>
        <v>2019,-1;2018,-1;2017,-1</v>
      </c>
    </row>
    <row r="18" ht="16.5" customHeight="1" spans="2:43">
      <c r="B18" s="3"/>
      <c r="C18" s="3"/>
      <c r="D18" s="3"/>
      <c r="E18" s="3"/>
      <c r="F18" s="17">
        <f>映射装备副本!H19*1000</f>
        <v>140</v>
      </c>
      <c r="G18" s="17">
        <f>映射装备副本!I19*1000</f>
        <v>760</v>
      </c>
      <c r="H18" s="17">
        <f>映射装备副本!J19*1000</f>
        <v>100</v>
      </c>
      <c r="I18" s="17">
        <f>映射装备副本!K19*1000</f>
        <v>0</v>
      </c>
      <c r="J18" s="3" t="str">
        <f t="shared" si="0"/>
        <v>Blue,140;Purple,760;Orange,100;Red,0</v>
      </c>
      <c r="O18" t="str">
        <f>映射装备副本!AE19</f>
        <v>映射装备金色</v>
      </c>
      <c r="P18">
        <f>映射装备副本!AF19</f>
        <v>1</v>
      </c>
      <c r="Q18" t="str">
        <f>映射装备副本!AG19</f>
        <v>映射之钥</v>
      </c>
      <c r="R18">
        <f>映射装备副本!AH19</f>
        <v>1</v>
      </c>
      <c r="S18">
        <f t="shared" si="1"/>
        <v>2503</v>
      </c>
      <c r="T18">
        <f t="shared" si="2"/>
        <v>1</v>
      </c>
      <c r="U18">
        <f t="shared" si="3"/>
        <v>25</v>
      </c>
      <c r="V18">
        <f t="shared" si="4"/>
        <v>1</v>
      </c>
      <c r="W18" t="str">
        <f t="shared" si="5"/>
        <v>2503,1</v>
      </c>
      <c r="X18" t="str">
        <f t="shared" si="6"/>
        <v>25,1</v>
      </c>
      <c r="Y18" t="str">
        <f t="shared" si="7"/>
        <v>2503,1;25,1</v>
      </c>
      <c r="AA18">
        <v>24</v>
      </c>
      <c r="AB18">
        <v>30</v>
      </c>
      <c r="AE18">
        <f>IF(映射装备副本!H19=0,"",AE$3)</f>
        <v>2017</v>
      </c>
      <c r="AF18">
        <f>IF(映射装备副本!I19=0,"",AF$3)</f>
        <v>2018</v>
      </c>
      <c r="AG18">
        <f>IF(映射装备副本!J19=0,"",AG$3)</f>
        <v>2019</v>
      </c>
      <c r="AH18" t="str">
        <f>IF(映射装备副本!K19=0,"",AH$3)</f>
        <v/>
      </c>
      <c r="AI18" t="str">
        <f t="shared" si="8"/>
        <v>2017,-1</v>
      </c>
      <c r="AJ18" t="str">
        <f t="shared" si="9"/>
        <v>2018,-1</v>
      </c>
      <c r="AK18" t="str">
        <f t="shared" si="10"/>
        <v>2019,-1</v>
      </c>
      <c r="AL18" t="str">
        <f t="shared" si="11"/>
        <v/>
      </c>
      <c r="AM18" t="str">
        <f t="shared" si="12"/>
        <v/>
      </c>
      <c r="AN18" t="str">
        <f t="shared" si="13"/>
        <v>2019,-1</v>
      </c>
      <c r="AO18" t="str">
        <f t="shared" si="14"/>
        <v>2018,-1</v>
      </c>
      <c r="AP18" t="str">
        <f t="shared" si="15"/>
        <v>2017,-1</v>
      </c>
      <c r="AQ18" t="str">
        <f t="shared" si="16"/>
        <v>2019,-1;2018,-1;2017,-1</v>
      </c>
    </row>
    <row r="19" ht="16.5" customHeight="1" spans="2:43">
      <c r="B19" s="3"/>
      <c r="C19" s="3"/>
      <c r="D19" s="3"/>
      <c r="E19" s="3"/>
      <c r="F19" s="17">
        <f>映射装备副本!H20*1000</f>
        <v>125</v>
      </c>
      <c r="G19" s="17">
        <f>映射装备副本!I20*1000</f>
        <v>755</v>
      </c>
      <c r="H19" s="17">
        <f>映射装备副本!J20*1000</f>
        <v>120</v>
      </c>
      <c r="I19" s="17">
        <f>映射装备副本!K20*1000</f>
        <v>0</v>
      </c>
      <c r="J19" s="3" t="str">
        <f t="shared" si="0"/>
        <v>Blue,125;Purple,755;Orange,120;Red,0</v>
      </c>
      <c r="O19" t="str">
        <f>映射装备副本!AE20</f>
        <v>史诗兑换材料</v>
      </c>
      <c r="P19">
        <f>映射装备副本!AF20</f>
        <v>100</v>
      </c>
      <c r="Q19" t="str">
        <f>映射装备副本!AG20</f>
        <v>映射之钥</v>
      </c>
      <c r="R19">
        <f>映射装备副本!AH20</f>
        <v>1</v>
      </c>
      <c r="S19">
        <f t="shared" si="1"/>
        <v>24</v>
      </c>
      <c r="T19">
        <f t="shared" si="2"/>
        <v>100</v>
      </c>
      <c r="U19">
        <f t="shared" si="3"/>
        <v>25</v>
      </c>
      <c r="V19">
        <f t="shared" si="4"/>
        <v>1</v>
      </c>
      <c r="W19" t="str">
        <f t="shared" si="5"/>
        <v>24,100</v>
      </c>
      <c r="X19" t="str">
        <f t="shared" si="6"/>
        <v>25,1</v>
      </c>
      <c r="Y19" t="str">
        <f t="shared" si="7"/>
        <v>24,100;25,1</v>
      </c>
      <c r="AA19">
        <v>25</v>
      </c>
      <c r="AB19">
        <v>1</v>
      </c>
      <c r="AE19">
        <f>IF(映射装备副本!H20=0,"",AE$3)</f>
        <v>2017</v>
      </c>
      <c r="AF19">
        <f>IF(映射装备副本!I20=0,"",AF$3)</f>
        <v>2018</v>
      </c>
      <c r="AG19">
        <f>IF(映射装备副本!J20=0,"",AG$3)</f>
        <v>2019</v>
      </c>
      <c r="AH19" t="str">
        <f>IF(映射装备副本!K20=0,"",AH$3)</f>
        <v/>
      </c>
      <c r="AI19" t="str">
        <f t="shared" si="8"/>
        <v>2017,-1</v>
      </c>
      <c r="AJ19" t="str">
        <f t="shared" si="9"/>
        <v>2018,-1</v>
      </c>
      <c r="AK19" t="str">
        <f t="shared" si="10"/>
        <v>2019,-1</v>
      </c>
      <c r="AL19" t="str">
        <f t="shared" si="11"/>
        <v/>
      </c>
      <c r="AM19" t="str">
        <f t="shared" si="12"/>
        <v/>
      </c>
      <c r="AN19" t="str">
        <f t="shared" si="13"/>
        <v>2019,-1</v>
      </c>
      <c r="AO19" t="str">
        <f t="shared" si="14"/>
        <v>2018,-1</v>
      </c>
      <c r="AP19" t="str">
        <f t="shared" si="15"/>
        <v>2017,-1</v>
      </c>
      <c r="AQ19" t="str">
        <f t="shared" si="16"/>
        <v>2019,-1;2018,-1;2017,-1</v>
      </c>
    </row>
    <row r="20" ht="16.5" customHeight="1" spans="2:43">
      <c r="B20" s="3"/>
      <c r="C20" s="3"/>
      <c r="D20" s="3"/>
      <c r="E20" s="3"/>
      <c r="F20" s="17">
        <f>映射装备副本!H21*1000</f>
        <v>110</v>
      </c>
      <c r="G20" s="17">
        <f>映射装备副本!I21*1000</f>
        <v>750</v>
      </c>
      <c r="H20" s="17">
        <f>映射装备副本!J21*1000</f>
        <v>140</v>
      </c>
      <c r="I20" s="17">
        <f>映射装备副本!K21*1000</f>
        <v>0</v>
      </c>
      <c r="J20" s="3" t="str">
        <f t="shared" si="0"/>
        <v>Blue,110;Purple,750;Orange,140;Red,0</v>
      </c>
      <c r="O20" t="str">
        <f>映射装备副本!AE21</f>
        <v>金色装备打孔器</v>
      </c>
      <c r="P20">
        <f>映射装备副本!AF21</f>
        <v>2</v>
      </c>
      <c r="Q20" t="str">
        <f>映射装备副本!AG21</f>
        <v>映射之钥</v>
      </c>
      <c r="R20">
        <f>映射装备副本!AH21</f>
        <v>1</v>
      </c>
      <c r="S20">
        <f t="shared" si="1"/>
        <v>1068</v>
      </c>
      <c r="T20">
        <f t="shared" si="2"/>
        <v>2</v>
      </c>
      <c r="U20">
        <f t="shared" si="3"/>
        <v>25</v>
      </c>
      <c r="V20">
        <f t="shared" si="4"/>
        <v>1</v>
      </c>
      <c r="W20" t="str">
        <f t="shared" si="5"/>
        <v>1068,2</v>
      </c>
      <c r="X20" t="str">
        <f t="shared" si="6"/>
        <v>25,1</v>
      </c>
      <c r="Y20" t="str">
        <f t="shared" si="7"/>
        <v>1068,2;25,1</v>
      </c>
      <c r="AA20">
        <v>1067</v>
      </c>
      <c r="AB20">
        <v>2</v>
      </c>
      <c r="AE20">
        <f>IF(映射装备副本!H21=0,"",AE$3)</f>
        <v>2017</v>
      </c>
      <c r="AF20">
        <f>IF(映射装备副本!I21=0,"",AF$3)</f>
        <v>2018</v>
      </c>
      <c r="AG20">
        <f>IF(映射装备副本!J21=0,"",AG$3)</f>
        <v>2019</v>
      </c>
      <c r="AH20" t="str">
        <f>IF(映射装备副本!K21=0,"",AH$3)</f>
        <v/>
      </c>
      <c r="AI20" t="str">
        <f t="shared" si="8"/>
        <v>2017,-1</v>
      </c>
      <c r="AJ20" t="str">
        <f t="shared" si="9"/>
        <v>2018,-1</v>
      </c>
      <c r="AK20" t="str">
        <f t="shared" si="10"/>
        <v>2019,-1</v>
      </c>
      <c r="AL20" t="str">
        <f t="shared" si="11"/>
        <v/>
      </c>
      <c r="AM20" t="str">
        <f t="shared" si="12"/>
        <v/>
      </c>
      <c r="AN20" t="str">
        <f t="shared" si="13"/>
        <v>2019,-1</v>
      </c>
      <c r="AO20" t="str">
        <f t="shared" si="14"/>
        <v>2018,-1</v>
      </c>
      <c r="AP20" t="str">
        <f t="shared" si="15"/>
        <v>2017,-1</v>
      </c>
      <c r="AQ20" t="str">
        <f t="shared" si="16"/>
        <v>2019,-1;2018,-1;2017,-1</v>
      </c>
    </row>
    <row r="21" ht="16.5" customHeight="1" spans="2:43">
      <c r="B21" s="3"/>
      <c r="C21" s="3"/>
      <c r="D21" s="3"/>
      <c r="E21" s="3"/>
      <c r="F21" s="17">
        <f>映射装备副本!H22*1000</f>
        <v>100</v>
      </c>
      <c r="G21" s="17">
        <f>映射装备副本!I22*1000</f>
        <v>740</v>
      </c>
      <c r="H21" s="17">
        <f>映射装备副本!J22*1000</f>
        <v>160</v>
      </c>
      <c r="I21" s="17">
        <f>映射装备副本!K22*1000</f>
        <v>0</v>
      </c>
      <c r="J21" s="3" t="str">
        <f t="shared" si="0"/>
        <v>Blue,100;Purple,740;Orange,160;Red,0</v>
      </c>
      <c r="O21" t="str">
        <f>映射装备副本!AE22</f>
        <v>史诗兑换材料</v>
      </c>
      <c r="P21">
        <f>映射装备副本!AF22</f>
        <v>100</v>
      </c>
      <c r="Q21" t="str">
        <f>映射装备副本!AG22</f>
        <v>映射之钥</v>
      </c>
      <c r="R21">
        <f>映射装备副本!AH22</f>
        <v>1</v>
      </c>
      <c r="S21">
        <f t="shared" si="1"/>
        <v>24</v>
      </c>
      <c r="T21">
        <f t="shared" si="2"/>
        <v>100</v>
      </c>
      <c r="U21">
        <f t="shared" si="3"/>
        <v>25</v>
      </c>
      <c r="V21">
        <f t="shared" si="4"/>
        <v>1</v>
      </c>
      <c r="W21" t="str">
        <f t="shared" si="5"/>
        <v>24,100</v>
      </c>
      <c r="X21" t="str">
        <f t="shared" si="6"/>
        <v>25,1</v>
      </c>
      <c r="Y21" t="str">
        <f t="shared" si="7"/>
        <v>24,100;25,1</v>
      </c>
      <c r="AA21">
        <v>25</v>
      </c>
      <c r="AB21">
        <v>1</v>
      </c>
      <c r="AE21">
        <f>IF(映射装备副本!H22=0,"",AE$3)</f>
        <v>2017</v>
      </c>
      <c r="AF21">
        <f>IF(映射装备副本!I22=0,"",AF$3)</f>
        <v>2018</v>
      </c>
      <c r="AG21">
        <f>IF(映射装备副本!J22=0,"",AG$3)</f>
        <v>2019</v>
      </c>
      <c r="AH21" t="str">
        <f>IF(映射装备副本!K22=0,"",AH$3)</f>
        <v/>
      </c>
      <c r="AI21" t="str">
        <f t="shared" si="8"/>
        <v>2017,-1</v>
      </c>
      <c r="AJ21" t="str">
        <f t="shared" si="9"/>
        <v>2018,-1</v>
      </c>
      <c r="AK21" t="str">
        <f t="shared" si="10"/>
        <v>2019,-1</v>
      </c>
      <c r="AL21" t="str">
        <f t="shared" si="11"/>
        <v/>
      </c>
      <c r="AM21" t="str">
        <f t="shared" si="12"/>
        <v/>
      </c>
      <c r="AN21" t="str">
        <f t="shared" si="13"/>
        <v>2019,-1</v>
      </c>
      <c r="AO21" t="str">
        <f t="shared" si="14"/>
        <v>2018,-1</v>
      </c>
      <c r="AP21" t="str">
        <f t="shared" si="15"/>
        <v>2017,-1</v>
      </c>
      <c r="AQ21" t="str">
        <f t="shared" si="16"/>
        <v>2019,-1;2018,-1;2017,-1</v>
      </c>
    </row>
    <row r="22" ht="16.5" customHeight="1" spans="2:43">
      <c r="B22" s="3"/>
      <c r="C22" s="3"/>
      <c r="D22" s="3"/>
      <c r="E22" s="3"/>
      <c r="F22" s="17">
        <f>映射装备副本!H23*1000</f>
        <v>95</v>
      </c>
      <c r="G22" s="17">
        <f>映射装备副本!I23*1000</f>
        <v>725</v>
      </c>
      <c r="H22" s="17">
        <f>映射装备副本!J23*1000</f>
        <v>180</v>
      </c>
      <c r="I22" s="17">
        <f>映射装备副本!K23*1000</f>
        <v>0</v>
      </c>
      <c r="J22" s="3" t="str">
        <f t="shared" si="0"/>
        <v>Blue,95;Purple,725;Orange,180;Red,0</v>
      </c>
      <c r="O22" t="str">
        <f>映射装备副本!AE23</f>
        <v>金色装备打孔器</v>
      </c>
      <c r="P22">
        <f>映射装备副本!AF23</f>
        <v>3</v>
      </c>
      <c r="Q22" t="str">
        <f>映射装备副本!AG23</f>
        <v>映射之钥</v>
      </c>
      <c r="R22">
        <f>映射装备副本!AH23</f>
        <v>1</v>
      </c>
      <c r="S22">
        <f t="shared" si="1"/>
        <v>1068</v>
      </c>
      <c r="T22">
        <f t="shared" si="2"/>
        <v>3</v>
      </c>
      <c r="U22">
        <f t="shared" si="3"/>
        <v>25</v>
      </c>
      <c r="V22">
        <f t="shared" si="4"/>
        <v>1</v>
      </c>
      <c r="W22" t="str">
        <f t="shared" si="5"/>
        <v>1068,3</v>
      </c>
      <c r="X22" t="str">
        <f t="shared" si="6"/>
        <v>25,1</v>
      </c>
      <c r="Y22" t="str">
        <f t="shared" si="7"/>
        <v>1068,3;25,1</v>
      </c>
      <c r="AA22">
        <v>2503</v>
      </c>
      <c r="AB22">
        <v>1</v>
      </c>
      <c r="AE22">
        <f>IF(映射装备副本!H23=0,"",AE$3)</f>
        <v>2017</v>
      </c>
      <c r="AF22">
        <f>IF(映射装备副本!I23=0,"",AF$3)</f>
        <v>2018</v>
      </c>
      <c r="AG22">
        <f>IF(映射装备副本!J23=0,"",AG$3)</f>
        <v>2019</v>
      </c>
      <c r="AH22" t="str">
        <f>IF(映射装备副本!K23=0,"",AH$3)</f>
        <v/>
      </c>
      <c r="AI22" t="str">
        <f t="shared" si="8"/>
        <v>2017,-1</v>
      </c>
      <c r="AJ22" t="str">
        <f t="shared" si="9"/>
        <v>2018,-1</v>
      </c>
      <c r="AK22" t="str">
        <f t="shared" si="10"/>
        <v>2019,-1</v>
      </c>
      <c r="AL22" t="str">
        <f t="shared" si="11"/>
        <v/>
      </c>
      <c r="AM22" t="str">
        <f t="shared" si="12"/>
        <v/>
      </c>
      <c r="AN22" t="str">
        <f t="shared" si="13"/>
        <v>2019,-1</v>
      </c>
      <c r="AO22" t="str">
        <f t="shared" si="14"/>
        <v>2018,-1</v>
      </c>
      <c r="AP22" t="str">
        <f t="shared" si="15"/>
        <v>2017,-1</v>
      </c>
      <c r="AQ22" t="str">
        <f t="shared" si="16"/>
        <v>2019,-1;2018,-1;2017,-1</v>
      </c>
    </row>
    <row r="23" ht="16.5" customHeight="1" spans="2:43">
      <c r="B23" s="3"/>
      <c r="C23" s="3"/>
      <c r="D23" s="3"/>
      <c r="E23" s="3"/>
      <c r="F23" s="17">
        <f>映射装备副本!H24*1000</f>
        <v>90</v>
      </c>
      <c r="G23" s="17">
        <f>映射装备副本!I24*1000</f>
        <v>710</v>
      </c>
      <c r="H23" s="17">
        <f>映射装备副本!J24*1000</f>
        <v>200</v>
      </c>
      <c r="I23" s="17">
        <f>映射装备副本!K24*1000</f>
        <v>0</v>
      </c>
      <c r="J23" s="3" t="str">
        <f t="shared" si="0"/>
        <v>Blue,90;Purple,710;Orange,200;Red,0</v>
      </c>
      <c r="O23" t="str">
        <f>映射装备副本!AE24</f>
        <v>映射装备金色</v>
      </c>
      <c r="P23">
        <f>映射装备副本!AF24</f>
        <v>2</v>
      </c>
      <c r="Q23" t="str">
        <f>映射装备副本!AG24</f>
        <v>映射之钥</v>
      </c>
      <c r="R23">
        <f>映射装备副本!AH24</f>
        <v>1</v>
      </c>
      <c r="S23">
        <f t="shared" si="1"/>
        <v>2503</v>
      </c>
      <c r="T23">
        <f t="shared" si="2"/>
        <v>2</v>
      </c>
      <c r="U23">
        <f t="shared" si="3"/>
        <v>25</v>
      </c>
      <c r="V23">
        <f t="shared" si="4"/>
        <v>1</v>
      </c>
      <c r="W23" t="str">
        <f t="shared" si="5"/>
        <v>2503,2</v>
      </c>
      <c r="X23" t="str">
        <f t="shared" si="6"/>
        <v>25,1</v>
      </c>
      <c r="Y23" t="str">
        <f t="shared" si="7"/>
        <v>2503,2;25,1</v>
      </c>
      <c r="AA23">
        <v>25</v>
      </c>
      <c r="AB23">
        <v>1</v>
      </c>
      <c r="AE23">
        <f>IF(映射装备副本!H24=0,"",AE$3)</f>
        <v>2017</v>
      </c>
      <c r="AF23">
        <f>IF(映射装备副本!I24=0,"",AF$3)</f>
        <v>2018</v>
      </c>
      <c r="AG23">
        <f>IF(映射装备副本!J24=0,"",AG$3)</f>
        <v>2019</v>
      </c>
      <c r="AH23" t="str">
        <f>IF(映射装备副本!K24=0,"",AH$3)</f>
        <v/>
      </c>
      <c r="AI23" t="str">
        <f t="shared" si="8"/>
        <v>2017,-1</v>
      </c>
      <c r="AJ23" t="str">
        <f t="shared" si="9"/>
        <v>2018,-1</v>
      </c>
      <c r="AK23" t="str">
        <f t="shared" si="10"/>
        <v>2019,-1</v>
      </c>
      <c r="AL23" t="str">
        <f t="shared" si="11"/>
        <v/>
      </c>
      <c r="AM23" t="str">
        <f t="shared" si="12"/>
        <v/>
      </c>
      <c r="AN23" t="str">
        <f t="shared" si="13"/>
        <v>2019,-1</v>
      </c>
      <c r="AO23" t="str">
        <f t="shared" si="14"/>
        <v>2018,-1</v>
      </c>
      <c r="AP23" t="str">
        <f t="shared" si="15"/>
        <v>2017,-1</v>
      </c>
      <c r="AQ23" t="str">
        <f t="shared" si="16"/>
        <v>2019,-1;2018,-1;2017,-1</v>
      </c>
    </row>
    <row r="24" ht="16.5" customHeight="1" spans="2:43">
      <c r="B24" s="3"/>
      <c r="C24" s="3"/>
      <c r="D24" s="3"/>
      <c r="E24" s="3"/>
      <c r="F24" s="17">
        <f>映射装备副本!H25*1000</f>
        <v>85</v>
      </c>
      <c r="G24" s="17">
        <f>映射装备副本!I25*1000</f>
        <v>695</v>
      </c>
      <c r="H24" s="17">
        <f>映射装备副本!J25*1000</f>
        <v>220</v>
      </c>
      <c r="I24" s="17">
        <f>映射装备副本!K25*1000</f>
        <v>0</v>
      </c>
      <c r="J24" s="3" t="str">
        <f t="shared" si="0"/>
        <v>Blue,85;Purple,695;Orange,220;Red,0</v>
      </c>
      <c r="O24" t="str">
        <f>映射装备副本!AE25</f>
        <v>传说兑换材料</v>
      </c>
      <c r="P24">
        <f>映射装备副本!AF25</f>
        <v>20</v>
      </c>
      <c r="Q24" t="str">
        <f>映射装备副本!AG25</f>
        <v>映射之钥</v>
      </c>
      <c r="R24">
        <f>映射装备副本!AH25</f>
        <v>1</v>
      </c>
      <c r="S24">
        <f t="shared" si="1"/>
        <v>23</v>
      </c>
      <c r="T24">
        <f t="shared" si="2"/>
        <v>20</v>
      </c>
      <c r="U24">
        <f t="shared" si="3"/>
        <v>25</v>
      </c>
      <c r="V24">
        <f t="shared" si="4"/>
        <v>1</v>
      </c>
      <c r="W24" t="str">
        <f t="shared" si="5"/>
        <v>23,20</v>
      </c>
      <c r="X24" t="str">
        <f t="shared" si="6"/>
        <v>25,1</v>
      </c>
      <c r="Y24" t="str">
        <f t="shared" si="7"/>
        <v>23,20;25,1</v>
      </c>
      <c r="AA24">
        <v>24</v>
      </c>
      <c r="AB24">
        <v>50</v>
      </c>
      <c r="AE24">
        <f>IF(映射装备副本!H25=0,"",AE$3)</f>
        <v>2017</v>
      </c>
      <c r="AF24">
        <f>IF(映射装备副本!I25=0,"",AF$3)</f>
        <v>2018</v>
      </c>
      <c r="AG24">
        <f>IF(映射装备副本!J25=0,"",AG$3)</f>
        <v>2019</v>
      </c>
      <c r="AH24" t="str">
        <f>IF(映射装备副本!K25=0,"",AH$3)</f>
        <v/>
      </c>
      <c r="AI24" t="str">
        <f t="shared" si="8"/>
        <v>2017,-1</v>
      </c>
      <c r="AJ24" t="str">
        <f t="shared" si="9"/>
        <v>2018,-1</v>
      </c>
      <c r="AK24" t="str">
        <f t="shared" si="10"/>
        <v>2019,-1</v>
      </c>
      <c r="AL24" t="str">
        <f t="shared" si="11"/>
        <v/>
      </c>
      <c r="AM24" t="str">
        <f t="shared" si="12"/>
        <v/>
      </c>
      <c r="AN24" t="str">
        <f t="shared" si="13"/>
        <v>2019,-1</v>
      </c>
      <c r="AO24" t="str">
        <f t="shared" si="14"/>
        <v>2018,-1</v>
      </c>
      <c r="AP24" t="str">
        <f t="shared" si="15"/>
        <v>2017,-1</v>
      </c>
      <c r="AQ24" t="str">
        <f t="shared" si="16"/>
        <v>2019,-1;2018,-1;2017,-1</v>
      </c>
    </row>
    <row r="25" ht="16.5" customHeight="1" spans="2:43">
      <c r="B25" s="3"/>
      <c r="C25" s="3"/>
      <c r="D25" s="3"/>
      <c r="E25" s="3"/>
      <c r="F25" s="17">
        <f>映射装备副本!H26*1000</f>
        <v>80</v>
      </c>
      <c r="G25" s="17">
        <f>映射装备副本!I26*1000</f>
        <v>680</v>
      </c>
      <c r="H25" s="17">
        <f>映射装备副本!J26*1000</f>
        <v>240</v>
      </c>
      <c r="I25" s="17">
        <f>映射装备副本!K26*1000</f>
        <v>0</v>
      </c>
      <c r="J25" s="3" t="str">
        <f t="shared" si="0"/>
        <v>Blue,80;Purple,680;Orange,240;Red,0</v>
      </c>
      <c r="O25" t="str">
        <f>映射装备副本!AE26</f>
        <v>金色装备打孔器</v>
      </c>
      <c r="P25">
        <f>映射装备副本!AF26</f>
        <v>3</v>
      </c>
      <c r="Q25" t="str">
        <f>映射装备副本!AG26</f>
        <v>映射之钥</v>
      </c>
      <c r="R25">
        <f>映射装备副本!AH26</f>
        <v>1</v>
      </c>
      <c r="S25">
        <f t="shared" si="1"/>
        <v>1068</v>
      </c>
      <c r="T25">
        <f t="shared" si="2"/>
        <v>3</v>
      </c>
      <c r="U25">
        <f t="shared" si="3"/>
        <v>25</v>
      </c>
      <c r="V25">
        <f t="shared" si="4"/>
        <v>1</v>
      </c>
      <c r="W25" t="str">
        <f t="shared" si="5"/>
        <v>1068,3</v>
      </c>
      <c r="X25" t="str">
        <f t="shared" si="6"/>
        <v>25,1</v>
      </c>
      <c r="Y25" t="str">
        <f t="shared" si="7"/>
        <v>1068,3;25,1</v>
      </c>
      <c r="AA25">
        <v>25</v>
      </c>
      <c r="AB25">
        <v>1</v>
      </c>
      <c r="AE25">
        <f>IF(映射装备副本!H26=0,"",AE$3)</f>
        <v>2017</v>
      </c>
      <c r="AF25">
        <f>IF(映射装备副本!I26=0,"",AF$3)</f>
        <v>2018</v>
      </c>
      <c r="AG25">
        <f>IF(映射装备副本!J26=0,"",AG$3)</f>
        <v>2019</v>
      </c>
      <c r="AH25" t="str">
        <f>IF(映射装备副本!K26=0,"",AH$3)</f>
        <v/>
      </c>
      <c r="AI25" t="str">
        <f t="shared" si="8"/>
        <v>2017,-1</v>
      </c>
      <c r="AJ25" t="str">
        <f t="shared" si="9"/>
        <v>2018,-1</v>
      </c>
      <c r="AK25" t="str">
        <f t="shared" si="10"/>
        <v>2019,-1</v>
      </c>
      <c r="AL25" t="str">
        <f t="shared" si="11"/>
        <v/>
      </c>
      <c r="AM25" t="str">
        <f t="shared" si="12"/>
        <v/>
      </c>
      <c r="AN25" t="str">
        <f t="shared" si="13"/>
        <v>2019,-1</v>
      </c>
      <c r="AO25" t="str">
        <f t="shared" si="14"/>
        <v>2018,-1</v>
      </c>
      <c r="AP25" t="str">
        <f t="shared" si="15"/>
        <v>2017,-1</v>
      </c>
      <c r="AQ25" t="str">
        <f t="shared" si="16"/>
        <v>2019,-1;2018,-1;2017,-1</v>
      </c>
    </row>
    <row r="26" ht="16.5" customHeight="1" spans="2:43">
      <c r="B26" s="3"/>
      <c r="C26" s="3"/>
      <c r="D26" s="3"/>
      <c r="E26" s="3"/>
      <c r="F26" s="17">
        <f>映射装备副本!H27*1000</f>
        <v>75</v>
      </c>
      <c r="G26" s="17">
        <f>映射装备副本!I27*1000</f>
        <v>665</v>
      </c>
      <c r="H26" s="17">
        <f>映射装备副本!J27*1000</f>
        <v>260</v>
      </c>
      <c r="I26" s="17">
        <f>映射装备副本!K27*1000</f>
        <v>0</v>
      </c>
      <c r="J26" s="3" t="str">
        <f t="shared" si="0"/>
        <v>Blue,75;Purple,665;Orange,260;Red,0</v>
      </c>
      <c r="O26" t="str">
        <f>映射装备副本!AE27</f>
        <v>传说兑换材料</v>
      </c>
      <c r="P26">
        <f>映射装备副本!AF27</f>
        <v>40</v>
      </c>
      <c r="Q26" t="str">
        <f>映射装备副本!AG27</f>
        <v>映射之钥</v>
      </c>
      <c r="R26">
        <f>映射装备副本!AH27</f>
        <v>1</v>
      </c>
      <c r="S26">
        <f t="shared" si="1"/>
        <v>23</v>
      </c>
      <c r="T26">
        <f t="shared" si="2"/>
        <v>40</v>
      </c>
      <c r="U26">
        <f t="shared" si="3"/>
        <v>25</v>
      </c>
      <c r="V26">
        <f t="shared" si="4"/>
        <v>1</v>
      </c>
      <c r="W26" t="str">
        <f t="shared" si="5"/>
        <v>23,40</v>
      </c>
      <c r="X26" t="str">
        <f t="shared" si="6"/>
        <v>25,1</v>
      </c>
      <c r="Y26" t="str">
        <f t="shared" si="7"/>
        <v>23,40;25,1</v>
      </c>
      <c r="AA26">
        <v>1068</v>
      </c>
      <c r="AB26">
        <v>1</v>
      </c>
      <c r="AE26">
        <f>IF(映射装备副本!H27=0,"",AE$3)</f>
        <v>2017</v>
      </c>
      <c r="AF26">
        <f>IF(映射装备副本!I27=0,"",AF$3)</f>
        <v>2018</v>
      </c>
      <c r="AG26">
        <f>IF(映射装备副本!J27=0,"",AG$3)</f>
        <v>2019</v>
      </c>
      <c r="AH26" t="str">
        <f>IF(映射装备副本!K27=0,"",AH$3)</f>
        <v/>
      </c>
      <c r="AI26" t="str">
        <f t="shared" si="8"/>
        <v>2017,-1</v>
      </c>
      <c r="AJ26" t="str">
        <f t="shared" si="9"/>
        <v>2018,-1</v>
      </c>
      <c r="AK26" t="str">
        <f t="shared" si="10"/>
        <v>2019,-1</v>
      </c>
      <c r="AL26" t="str">
        <f t="shared" si="11"/>
        <v/>
      </c>
      <c r="AM26" t="str">
        <f t="shared" si="12"/>
        <v/>
      </c>
      <c r="AN26" t="str">
        <f t="shared" si="13"/>
        <v>2019,-1</v>
      </c>
      <c r="AO26" t="str">
        <f t="shared" si="14"/>
        <v>2018,-1</v>
      </c>
      <c r="AP26" t="str">
        <f t="shared" si="15"/>
        <v>2017,-1</v>
      </c>
      <c r="AQ26" t="str">
        <f t="shared" si="16"/>
        <v>2019,-1;2018,-1;2017,-1</v>
      </c>
    </row>
    <row r="27" ht="16.5" customHeight="1" spans="2:43">
      <c r="B27" s="3"/>
      <c r="C27" s="3"/>
      <c r="D27" s="3"/>
      <c r="E27" s="3"/>
      <c r="F27" s="17">
        <f>映射装备副本!H28*1000</f>
        <v>70</v>
      </c>
      <c r="G27" s="17">
        <f>映射装备副本!I28*1000</f>
        <v>650</v>
      </c>
      <c r="H27" s="17">
        <f>映射装备副本!J28*1000</f>
        <v>280</v>
      </c>
      <c r="I27" s="17">
        <f>映射装备副本!K28*1000</f>
        <v>0</v>
      </c>
      <c r="J27" s="3" t="str">
        <f t="shared" si="0"/>
        <v>Blue,70;Purple,650;Orange,280;Red,0</v>
      </c>
      <c r="O27" t="str">
        <f>映射装备副本!AE28</f>
        <v>金色装备打孔器</v>
      </c>
      <c r="P27">
        <f>映射装备副本!AF28</f>
        <v>3</v>
      </c>
      <c r="Q27" t="str">
        <f>映射装备副本!AG28</f>
        <v>映射之钥</v>
      </c>
      <c r="R27">
        <f>映射装备副本!AH28</f>
        <v>1</v>
      </c>
      <c r="S27">
        <f t="shared" si="1"/>
        <v>1068</v>
      </c>
      <c r="T27">
        <f t="shared" si="2"/>
        <v>3</v>
      </c>
      <c r="U27">
        <f t="shared" si="3"/>
        <v>25</v>
      </c>
      <c r="V27">
        <f t="shared" si="4"/>
        <v>1</v>
      </c>
      <c r="W27" t="str">
        <f t="shared" si="5"/>
        <v>1068,3</v>
      </c>
      <c r="X27" t="str">
        <f t="shared" si="6"/>
        <v>25,1</v>
      </c>
      <c r="Y27" t="str">
        <f t="shared" si="7"/>
        <v>1068,3;25,1</v>
      </c>
      <c r="AA27">
        <v>25</v>
      </c>
      <c r="AB27">
        <v>1</v>
      </c>
      <c r="AE27">
        <f>IF(映射装备副本!H28=0,"",AE$3)</f>
        <v>2017</v>
      </c>
      <c r="AF27">
        <f>IF(映射装备副本!I28=0,"",AF$3)</f>
        <v>2018</v>
      </c>
      <c r="AG27">
        <f>IF(映射装备副本!J28=0,"",AG$3)</f>
        <v>2019</v>
      </c>
      <c r="AH27" t="str">
        <f>IF(映射装备副本!K28=0,"",AH$3)</f>
        <v/>
      </c>
      <c r="AI27" t="str">
        <f t="shared" si="8"/>
        <v>2017,-1</v>
      </c>
      <c r="AJ27" t="str">
        <f t="shared" si="9"/>
        <v>2018,-1</v>
      </c>
      <c r="AK27" t="str">
        <f t="shared" si="10"/>
        <v>2019,-1</v>
      </c>
      <c r="AL27" t="str">
        <f t="shared" si="11"/>
        <v/>
      </c>
      <c r="AM27" t="str">
        <f t="shared" si="12"/>
        <v/>
      </c>
      <c r="AN27" t="str">
        <f t="shared" si="13"/>
        <v>2019,-1</v>
      </c>
      <c r="AO27" t="str">
        <f t="shared" si="14"/>
        <v>2018,-1</v>
      </c>
      <c r="AP27" t="str">
        <f t="shared" si="15"/>
        <v>2017,-1</v>
      </c>
      <c r="AQ27" t="str">
        <f t="shared" si="16"/>
        <v>2019,-1;2018,-1;2017,-1</v>
      </c>
    </row>
    <row r="28" ht="16.5" customHeight="1" spans="2:43">
      <c r="B28" s="3"/>
      <c r="C28" s="3"/>
      <c r="D28" s="3"/>
      <c r="E28" s="3"/>
      <c r="F28" s="17">
        <f>映射装备副本!H29*1000</f>
        <v>55</v>
      </c>
      <c r="G28" s="17">
        <f>映射装备副本!I29*1000</f>
        <v>640</v>
      </c>
      <c r="H28" s="17">
        <f>映射装备副本!J29*1000</f>
        <v>300</v>
      </c>
      <c r="I28" s="17">
        <f>映射装备副本!K29*1000</f>
        <v>5</v>
      </c>
      <c r="J28" s="3" t="str">
        <f t="shared" si="0"/>
        <v>Blue,55;Purple,640;Orange,300;Red,5</v>
      </c>
      <c r="O28" t="str">
        <f>映射装备副本!AE29</f>
        <v>主角装备红色</v>
      </c>
      <c r="P28">
        <f>映射装备副本!AF29</f>
        <v>1</v>
      </c>
      <c r="Q28" t="str">
        <f>映射装备副本!AG29</f>
        <v>映射之钥</v>
      </c>
      <c r="R28">
        <f>映射装备副本!AH29</f>
        <v>1</v>
      </c>
      <c r="S28">
        <f t="shared" si="1"/>
        <v>2504</v>
      </c>
      <c r="T28">
        <f t="shared" si="2"/>
        <v>1</v>
      </c>
      <c r="U28">
        <f t="shared" si="3"/>
        <v>25</v>
      </c>
      <c r="V28">
        <f t="shared" si="4"/>
        <v>1</v>
      </c>
      <c r="W28" t="str">
        <f t="shared" si="5"/>
        <v>2504,1</v>
      </c>
      <c r="X28" t="str">
        <f t="shared" si="6"/>
        <v>25,1</v>
      </c>
      <c r="Y28" t="str">
        <f t="shared" si="7"/>
        <v>2504,1;25,1</v>
      </c>
      <c r="AA28">
        <v>24</v>
      </c>
      <c r="AB28">
        <v>50</v>
      </c>
      <c r="AE28">
        <f>IF(映射装备副本!H29=0,"",AE$3)</f>
        <v>2017</v>
      </c>
      <c r="AF28">
        <f>IF(映射装备副本!I29=0,"",AF$3)</f>
        <v>2018</v>
      </c>
      <c r="AG28">
        <f>IF(映射装备副本!J29=0,"",AG$3)</f>
        <v>2019</v>
      </c>
      <c r="AH28">
        <f>IF(映射装备副本!K29=0,"",AH$3)</f>
        <v>2020</v>
      </c>
      <c r="AI28" t="str">
        <f t="shared" si="8"/>
        <v>2017,-1</v>
      </c>
      <c r="AJ28" t="str">
        <f t="shared" si="9"/>
        <v>2018,-1</v>
      </c>
      <c r="AK28" t="str">
        <f t="shared" si="10"/>
        <v>2019,-1</v>
      </c>
      <c r="AL28" t="str">
        <f t="shared" si="11"/>
        <v>2020,-1</v>
      </c>
      <c r="AM28" t="str">
        <f t="shared" si="12"/>
        <v>2020,-1</v>
      </c>
      <c r="AN28" t="str">
        <f t="shared" si="13"/>
        <v>2019,-1</v>
      </c>
      <c r="AO28" t="str">
        <f t="shared" si="14"/>
        <v>2018,-1</v>
      </c>
      <c r="AP28" t="str">
        <f t="shared" si="15"/>
        <v>2017,-1</v>
      </c>
      <c r="AQ28" t="str">
        <f t="shared" si="16"/>
        <v>2020,-1;2019,-1;2018,-1;2017,-1</v>
      </c>
    </row>
    <row r="29" ht="16.5" customHeight="1" spans="2:43">
      <c r="B29" s="3"/>
      <c r="C29" s="3"/>
      <c r="D29" s="3"/>
      <c r="E29" s="3"/>
      <c r="F29" s="17">
        <f>映射装备副本!H30*1000</f>
        <v>47</v>
      </c>
      <c r="G29" s="17">
        <f>映射装备副本!I30*1000</f>
        <v>625</v>
      </c>
      <c r="H29" s="17">
        <f>映射装备副本!J30*1000</f>
        <v>320</v>
      </c>
      <c r="I29" s="17">
        <f>映射装备副本!K30*1000</f>
        <v>8</v>
      </c>
      <c r="J29" s="3" t="str">
        <f t="shared" si="0"/>
        <v>Blue,47;Purple,625;Orange,320;Red,8</v>
      </c>
      <c r="O29" t="str">
        <f>映射装备副本!AE30</f>
        <v>传说兑换材料</v>
      </c>
      <c r="P29">
        <f>映射装备副本!AF30</f>
        <v>60</v>
      </c>
      <c r="Q29" t="str">
        <f>映射装备副本!AG30</f>
        <v>映射之钥</v>
      </c>
      <c r="R29">
        <f>映射装备副本!AH30</f>
        <v>1</v>
      </c>
      <c r="S29">
        <f t="shared" si="1"/>
        <v>23</v>
      </c>
      <c r="T29">
        <f t="shared" si="2"/>
        <v>60</v>
      </c>
      <c r="U29">
        <f t="shared" si="3"/>
        <v>25</v>
      </c>
      <c r="V29">
        <f t="shared" si="4"/>
        <v>1</v>
      </c>
      <c r="W29" t="str">
        <f t="shared" si="5"/>
        <v>23,60</v>
      </c>
      <c r="X29" t="str">
        <f t="shared" si="6"/>
        <v>25,1</v>
      </c>
      <c r="Y29" t="str">
        <f t="shared" si="7"/>
        <v>23,60;25,1</v>
      </c>
      <c r="AA29">
        <v>25</v>
      </c>
      <c r="AB29">
        <v>1</v>
      </c>
      <c r="AE29">
        <f>IF(映射装备副本!H30=0,"",AE$3)</f>
        <v>2017</v>
      </c>
      <c r="AF29">
        <f>IF(映射装备副本!I30=0,"",AF$3)</f>
        <v>2018</v>
      </c>
      <c r="AG29">
        <f>IF(映射装备副本!J30=0,"",AG$3)</f>
        <v>2019</v>
      </c>
      <c r="AH29">
        <f>IF(映射装备副本!K30=0,"",AH$3)</f>
        <v>2020</v>
      </c>
      <c r="AI29" t="str">
        <f t="shared" si="8"/>
        <v>2017,-1</v>
      </c>
      <c r="AJ29" t="str">
        <f t="shared" si="9"/>
        <v>2018,-1</v>
      </c>
      <c r="AK29" t="str">
        <f t="shared" si="10"/>
        <v>2019,-1</v>
      </c>
      <c r="AL29" t="str">
        <f t="shared" si="11"/>
        <v>2020,-1</v>
      </c>
      <c r="AM29" t="str">
        <f t="shared" si="12"/>
        <v>2020,-1</v>
      </c>
      <c r="AN29" t="str">
        <f t="shared" si="13"/>
        <v>2019,-1</v>
      </c>
      <c r="AO29" t="str">
        <f t="shared" si="14"/>
        <v>2018,-1</v>
      </c>
      <c r="AP29" t="str">
        <f t="shared" si="15"/>
        <v>2017,-1</v>
      </c>
      <c r="AQ29" t="str">
        <f t="shared" si="16"/>
        <v>2020,-1;2019,-1;2018,-1;2017,-1</v>
      </c>
    </row>
    <row r="30" ht="16.5" customHeight="1" spans="2:43">
      <c r="B30" s="3"/>
      <c r="C30" s="3"/>
      <c r="D30" s="3"/>
      <c r="E30" s="3"/>
      <c r="F30" s="17">
        <f>映射装备副本!H31*1000</f>
        <v>39</v>
      </c>
      <c r="G30" s="17">
        <f>映射装备副本!I31*1000</f>
        <v>610</v>
      </c>
      <c r="H30" s="17">
        <f>映射装备副本!J31*1000</f>
        <v>340</v>
      </c>
      <c r="I30" s="17">
        <f>映射装备副本!K31*1000</f>
        <v>11</v>
      </c>
      <c r="J30" s="3" t="str">
        <f t="shared" si="0"/>
        <v>Blue,39;Purple,610;Orange,340;Red,11</v>
      </c>
      <c r="O30" t="str">
        <f>映射装备副本!AE31</f>
        <v>红色装备打孔器</v>
      </c>
      <c r="P30">
        <f>映射装备副本!AF31</f>
        <v>1</v>
      </c>
      <c r="Q30" t="str">
        <f>映射装备副本!AG31</f>
        <v>映射之钥</v>
      </c>
      <c r="R30">
        <f>映射装备副本!AH31</f>
        <v>1</v>
      </c>
      <c r="S30">
        <f t="shared" si="1"/>
        <v>1069</v>
      </c>
      <c r="T30">
        <f t="shared" si="2"/>
        <v>1</v>
      </c>
      <c r="U30">
        <f t="shared" si="3"/>
        <v>25</v>
      </c>
      <c r="V30">
        <f t="shared" si="4"/>
        <v>1</v>
      </c>
      <c r="W30" t="str">
        <f t="shared" si="5"/>
        <v>1069,1</v>
      </c>
      <c r="X30" t="str">
        <f t="shared" si="6"/>
        <v>25,1</v>
      </c>
      <c r="Y30" t="str">
        <f t="shared" si="7"/>
        <v>1069,1;25,1</v>
      </c>
      <c r="AA30">
        <v>1068</v>
      </c>
      <c r="AB30">
        <v>2</v>
      </c>
      <c r="AE30">
        <f>IF(映射装备副本!H31=0,"",AE$3)</f>
        <v>2017</v>
      </c>
      <c r="AF30">
        <f>IF(映射装备副本!I31=0,"",AF$3)</f>
        <v>2018</v>
      </c>
      <c r="AG30">
        <f>IF(映射装备副本!J31=0,"",AG$3)</f>
        <v>2019</v>
      </c>
      <c r="AH30">
        <f>IF(映射装备副本!K31=0,"",AH$3)</f>
        <v>2020</v>
      </c>
      <c r="AI30" t="str">
        <f t="shared" si="8"/>
        <v>2017,-1</v>
      </c>
      <c r="AJ30" t="str">
        <f t="shared" si="9"/>
        <v>2018,-1</v>
      </c>
      <c r="AK30" t="str">
        <f t="shared" si="10"/>
        <v>2019,-1</v>
      </c>
      <c r="AL30" t="str">
        <f t="shared" si="11"/>
        <v>2020,-1</v>
      </c>
      <c r="AM30" t="str">
        <f t="shared" si="12"/>
        <v>2020,-1</v>
      </c>
      <c r="AN30" t="str">
        <f t="shared" si="13"/>
        <v>2019,-1</v>
      </c>
      <c r="AO30" t="str">
        <f t="shared" si="14"/>
        <v>2018,-1</v>
      </c>
      <c r="AP30" t="str">
        <f t="shared" si="15"/>
        <v>2017,-1</v>
      </c>
      <c r="AQ30" t="str">
        <f t="shared" si="16"/>
        <v>2020,-1;2019,-1;2018,-1;2017,-1</v>
      </c>
    </row>
    <row r="31" ht="16.5" customHeight="1" spans="2:43">
      <c r="B31" s="3"/>
      <c r="C31" s="3"/>
      <c r="D31" s="3"/>
      <c r="E31" s="3"/>
      <c r="F31" s="17">
        <f>映射装备副本!H32*1000</f>
        <v>31</v>
      </c>
      <c r="G31" s="17">
        <f>映射装备副本!I32*1000</f>
        <v>595</v>
      </c>
      <c r="H31" s="17">
        <f>映射装备副本!J32*1000</f>
        <v>360</v>
      </c>
      <c r="I31" s="17">
        <f>映射装备副本!K32*1000</f>
        <v>14</v>
      </c>
      <c r="J31" s="3" t="str">
        <f t="shared" si="0"/>
        <v>Blue,31;Purple,595;Orange,360;Red,14</v>
      </c>
      <c r="O31" t="str">
        <f>映射装备副本!AE32</f>
        <v>传说兑换材料</v>
      </c>
      <c r="P31">
        <f>映射装备副本!AF32</f>
        <v>100</v>
      </c>
      <c r="Q31" t="str">
        <f>映射装备副本!AG32</f>
        <v>映射之钥</v>
      </c>
      <c r="R31">
        <f>映射装备副本!AH32</f>
        <v>1</v>
      </c>
      <c r="S31">
        <f t="shared" si="1"/>
        <v>23</v>
      </c>
      <c r="T31">
        <f t="shared" si="2"/>
        <v>100</v>
      </c>
      <c r="U31">
        <f t="shared" si="3"/>
        <v>25</v>
      </c>
      <c r="V31">
        <f t="shared" si="4"/>
        <v>1</v>
      </c>
      <c r="W31" t="str">
        <f t="shared" si="5"/>
        <v>23,100</v>
      </c>
      <c r="X31" t="str">
        <f t="shared" si="6"/>
        <v>25,1</v>
      </c>
      <c r="Y31" t="str">
        <f t="shared" si="7"/>
        <v>23,100;25,1</v>
      </c>
      <c r="AA31">
        <v>25</v>
      </c>
      <c r="AB31">
        <v>1</v>
      </c>
      <c r="AE31">
        <f>IF(映射装备副本!H32=0,"",AE$3)</f>
        <v>2017</v>
      </c>
      <c r="AF31">
        <f>IF(映射装备副本!I32=0,"",AF$3)</f>
        <v>2018</v>
      </c>
      <c r="AG31">
        <f>IF(映射装备副本!J32=0,"",AG$3)</f>
        <v>2019</v>
      </c>
      <c r="AH31">
        <f>IF(映射装备副本!K32=0,"",AH$3)</f>
        <v>2020</v>
      </c>
      <c r="AI31" t="str">
        <f t="shared" si="8"/>
        <v>2017,-1</v>
      </c>
      <c r="AJ31" t="str">
        <f t="shared" si="9"/>
        <v>2018,-1</v>
      </c>
      <c r="AK31" t="str">
        <f t="shared" si="10"/>
        <v>2019,-1</v>
      </c>
      <c r="AL31" t="str">
        <f t="shared" si="11"/>
        <v>2020,-1</v>
      </c>
      <c r="AM31" t="str">
        <f t="shared" si="12"/>
        <v>2020,-1</v>
      </c>
      <c r="AN31" t="str">
        <f t="shared" si="13"/>
        <v>2019,-1</v>
      </c>
      <c r="AO31" t="str">
        <f t="shared" si="14"/>
        <v>2018,-1</v>
      </c>
      <c r="AP31" t="str">
        <f t="shared" si="15"/>
        <v>2017,-1</v>
      </c>
      <c r="AQ31" t="str">
        <f t="shared" si="16"/>
        <v>2020,-1;2019,-1;2018,-1;2017,-1</v>
      </c>
    </row>
    <row r="32" ht="16.5" customHeight="1" spans="2:43">
      <c r="B32" s="3"/>
      <c r="C32" s="3"/>
      <c r="D32" s="3"/>
      <c r="E32" s="3"/>
      <c r="F32" s="17">
        <f>映射装备副本!H33*1000</f>
        <v>23</v>
      </c>
      <c r="G32" s="17">
        <f>映射装备副本!I33*1000</f>
        <v>580</v>
      </c>
      <c r="H32" s="17">
        <f>映射装备副本!J33*1000</f>
        <v>380</v>
      </c>
      <c r="I32" s="17">
        <f>映射装备副本!K33*1000</f>
        <v>17</v>
      </c>
      <c r="J32" s="3" t="str">
        <f t="shared" si="0"/>
        <v>Blue,23;Purple,580;Orange,380;Red,17</v>
      </c>
      <c r="O32" t="str">
        <f>映射装备副本!AE33</f>
        <v>红色装备打孔器</v>
      </c>
      <c r="P32">
        <f>映射装备副本!AF33</f>
        <v>1</v>
      </c>
      <c r="Q32" t="str">
        <f>映射装备副本!AG33</f>
        <v>映射之钥</v>
      </c>
      <c r="R32">
        <f>映射装备副本!AH33</f>
        <v>1</v>
      </c>
      <c r="S32">
        <f t="shared" si="1"/>
        <v>1069</v>
      </c>
      <c r="T32">
        <f t="shared" si="2"/>
        <v>1</v>
      </c>
      <c r="U32">
        <f t="shared" si="3"/>
        <v>25</v>
      </c>
      <c r="V32">
        <f t="shared" si="4"/>
        <v>1</v>
      </c>
      <c r="W32" t="str">
        <f t="shared" si="5"/>
        <v>1069,1</v>
      </c>
      <c r="X32" t="str">
        <f t="shared" si="6"/>
        <v>25,1</v>
      </c>
      <c r="Y32" t="str">
        <f t="shared" si="7"/>
        <v>1069,1;25,1</v>
      </c>
      <c r="AA32">
        <v>2503</v>
      </c>
      <c r="AB32">
        <v>1</v>
      </c>
      <c r="AE32">
        <f>IF(映射装备副本!H33=0,"",AE$3)</f>
        <v>2017</v>
      </c>
      <c r="AF32">
        <f>IF(映射装备副本!I33=0,"",AF$3)</f>
        <v>2018</v>
      </c>
      <c r="AG32">
        <f>IF(映射装备副本!J33=0,"",AG$3)</f>
        <v>2019</v>
      </c>
      <c r="AH32">
        <f>IF(映射装备副本!K33=0,"",AH$3)</f>
        <v>2020</v>
      </c>
      <c r="AI32" t="str">
        <f t="shared" si="8"/>
        <v>2017,-1</v>
      </c>
      <c r="AJ32" t="str">
        <f t="shared" si="9"/>
        <v>2018,-1</v>
      </c>
      <c r="AK32" t="str">
        <f t="shared" si="10"/>
        <v>2019,-1</v>
      </c>
      <c r="AL32" t="str">
        <f t="shared" si="11"/>
        <v>2020,-1</v>
      </c>
      <c r="AM32" t="str">
        <f t="shared" si="12"/>
        <v>2020,-1</v>
      </c>
      <c r="AN32" t="str">
        <f t="shared" si="13"/>
        <v>2019,-1</v>
      </c>
      <c r="AO32" t="str">
        <f t="shared" si="14"/>
        <v>2018,-1</v>
      </c>
      <c r="AP32" t="str">
        <f t="shared" si="15"/>
        <v>2017,-1</v>
      </c>
      <c r="AQ32" t="str">
        <f t="shared" si="16"/>
        <v>2020,-1;2019,-1;2018,-1;2017,-1</v>
      </c>
    </row>
    <row r="33" ht="16.5" customHeight="1" spans="2:43">
      <c r="B33" s="3"/>
      <c r="C33" s="3"/>
      <c r="D33" s="3"/>
      <c r="E33" s="3"/>
      <c r="F33" s="17">
        <f>映射装备副本!H34*1000</f>
        <v>0</v>
      </c>
      <c r="G33" s="17">
        <f>映射装备副本!I34*1000</f>
        <v>580</v>
      </c>
      <c r="H33" s="17">
        <f>映射装备副本!J34*1000</f>
        <v>400</v>
      </c>
      <c r="I33" s="17">
        <f>映射装备副本!K34*1000</f>
        <v>20</v>
      </c>
      <c r="J33" s="3" t="str">
        <f t="shared" si="0"/>
        <v>Blue,0;Purple,580;Orange,400;Red,20</v>
      </c>
      <c r="O33" t="str">
        <f>映射装备副本!AE34</f>
        <v>主角装备红色</v>
      </c>
      <c r="P33">
        <f>映射装备副本!AF34</f>
        <v>2</v>
      </c>
      <c r="Q33" t="str">
        <f>映射装备副本!AG34</f>
        <v>映射之钥</v>
      </c>
      <c r="R33">
        <f>映射装备副本!AH34</f>
        <v>1</v>
      </c>
      <c r="S33">
        <f t="shared" si="1"/>
        <v>2504</v>
      </c>
      <c r="T33">
        <f t="shared" si="2"/>
        <v>2</v>
      </c>
      <c r="U33">
        <f t="shared" si="3"/>
        <v>25</v>
      </c>
      <c r="V33">
        <f t="shared" si="4"/>
        <v>1</v>
      </c>
      <c r="W33" t="str">
        <f t="shared" si="5"/>
        <v>2504,2</v>
      </c>
      <c r="X33" t="str">
        <f t="shared" si="6"/>
        <v>25,1</v>
      </c>
      <c r="Y33" t="str">
        <f t="shared" si="7"/>
        <v>2504,2;25,1</v>
      </c>
      <c r="AA33">
        <v>25</v>
      </c>
      <c r="AB33">
        <v>1</v>
      </c>
      <c r="AE33" t="str">
        <f>IF(映射装备副本!H34=0,"",AE$3)</f>
        <v/>
      </c>
      <c r="AF33">
        <f>IF(映射装备副本!I34=0,"",AF$3)</f>
        <v>2018</v>
      </c>
      <c r="AG33">
        <f>IF(映射装备副本!J34=0,"",AG$3)</f>
        <v>2019</v>
      </c>
      <c r="AH33">
        <f>IF(映射装备副本!K34=0,"",AH$3)</f>
        <v>2020</v>
      </c>
      <c r="AI33" t="str">
        <f t="shared" si="8"/>
        <v/>
      </c>
      <c r="AJ33" t="str">
        <f t="shared" si="9"/>
        <v>2018,-1</v>
      </c>
      <c r="AK33" t="str">
        <f t="shared" si="10"/>
        <v>2019,-1</v>
      </c>
      <c r="AL33" t="str">
        <f t="shared" si="11"/>
        <v>2020,-1</v>
      </c>
      <c r="AM33" t="str">
        <f t="shared" si="12"/>
        <v>2020,-1</v>
      </c>
      <c r="AN33" t="str">
        <f t="shared" si="13"/>
        <v>2019,-1</v>
      </c>
      <c r="AO33" t="str">
        <f t="shared" si="14"/>
        <v>2018,-1</v>
      </c>
      <c r="AP33" t="str">
        <f t="shared" si="15"/>
        <v/>
      </c>
      <c r="AQ33" t="str">
        <f t="shared" si="16"/>
        <v>2020,-1;2019,-1;2018,-1</v>
      </c>
    </row>
    <row r="34" spans="2:43">
      <c r="AA34">
        <v>24</v>
      </c>
      <c r="AB34">
        <v>100</v>
      </c>
    </row>
    <row r="35" spans="2:43">
      <c r="AA35">
        <v>25</v>
      </c>
      <c r="AB35">
        <v>1</v>
      </c>
    </row>
    <row r="36" ht="16.5" customHeight="1" spans="2:43">
      <c r="B36" s="3" t="s">
        <v>2701</v>
      </c>
      <c r="C36" s="3"/>
      <c r="D36" s="3"/>
      <c r="E36" s="3"/>
      <c r="F36" s="3" t="s">
        <v>2702</v>
      </c>
      <c r="G36" s="3" t="s">
        <v>2703</v>
      </c>
      <c r="H36" s="3" t="s">
        <v>2704</v>
      </c>
      <c r="I36" s="3" t="s">
        <v>2705</v>
      </c>
      <c r="J36" s="3"/>
      <c r="AA36">
        <v>1068</v>
      </c>
      <c r="AB36">
        <v>2</v>
      </c>
    </row>
    <row r="37" ht="16.5" customHeight="1" spans="2:43">
      <c r="B37" s="3"/>
      <c r="C37" s="3"/>
      <c r="D37" s="3"/>
      <c r="E37" s="3"/>
      <c r="F37" s="3" t="s">
        <v>1135</v>
      </c>
      <c r="G37" s="3" t="s">
        <v>1136</v>
      </c>
      <c r="H37" s="3" t="s">
        <v>1136</v>
      </c>
      <c r="I37" s="3"/>
      <c r="J37" s="3"/>
      <c r="AA37">
        <v>25</v>
      </c>
      <c r="AB37">
        <v>1</v>
      </c>
    </row>
    <row r="38" spans="2:43">
      <c r="AA38">
        <v>24</v>
      </c>
      <c r="AB38">
        <v>100</v>
      </c>
    </row>
    <row r="39" spans="2:43">
      <c r="AA39">
        <v>25</v>
      </c>
      <c r="AB39">
        <v>1</v>
      </c>
    </row>
    <row r="40" spans="2:43">
      <c r="AA40">
        <v>1068</v>
      </c>
      <c r="AB40">
        <v>3</v>
      </c>
    </row>
    <row r="41" spans="2:43">
      <c r="AA41">
        <v>25</v>
      </c>
      <c r="AB41">
        <v>1</v>
      </c>
    </row>
    <row r="42" spans="2:43">
      <c r="AA42">
        <v>2503</v>
      </c>
      <c r="AB42">
        <v>2</v>
      </c>
    </row>
    <row r="43" spans="2:43">
      <c r="AA43">
        <v>25</v>
      </c>
      <c r="AB43">
        <v>1</v>
      </c>
    </row>
    <row r="44" spans="2:43">
      <c r="AA44">
        <v>23</v>
      </c>
      <c r="AB44">
        <v>20</v>
      </c>
    </row>
    <row r="45" spans="2:43">
      <c r="AA45">
        <v>25</v>
      </c>
      <c r="AB45">
        <v>1</v>
      </c>
    </row>
    <row r="46" spans="2:43">
      <c r="AA46">
        <v>1068</v>
      </c>
      <c r="AB46">
        <v>3</v>
      </c>
    </row>
    <row r="47" spans="2:43">
      <c r="AA47">
        <v>25</v>
      </c>
      <c r="AB47">
        <v>1</v>
      </c>
    </row>
    <row r="48" spans="2:43">
      <c r="AA48">
        <v>23</v>
      </c>
      <c r="AB48">
        <v>40</v>
      </c>
    </row>
    <row r="49" spans="27:28">
      <c r="AA49">
        <v>25</v>
      </c>
      <c r="AB49">
        <v>1</v>
      </c>
    </row>
    <row r="50" spans="27:28">
      <c r="AA50">
        <v>1068</v>
      </c>
      <c r="AB50">
        <v>3</v>
      </c>
    </row>
    <row r="51" spans="27:28">
      <c r="AA51">
        <v>25</v>
      </c>
      <c r="AB51">
        <v>1</v>
      </c>
    </row>
    <row r="52" spans="27:28">
      <c r="AA52">
        <v>2504</v>
      </c>
      <c r="AB52">
        <v>1</v>
      </c>
    </row>
    <row r="53" spans="27:28">
      <c r="AA53">
        <v>25</v>
      </c>
      <c r="AB53">
        <v>1</v>
      </c>
    </row>
    <row r="54" spans="27:28">
      <c r="AA54">
        <v>23</v>
      </c>
      <c r="AB54">
        <v>60</v>
      </c>
    </row>
    <row r="55" spans="27:28">
      <c r="AA55">
        <v>25</v>
      </c>
      <c r="AB55">
        <v>1</v>
      </c>
    </row>
    <row r="56" spans="27:28">
      <c r="AA56">
        <v>1069</v>
      </c>
      <c r="AB56">
        <v>1</v>
      </c>
    </row>
    <row r="57" spans="27:28">
      <c r="AA57">
        <v>25</v>
      </c>
      <c r="AB57">
        <v>1</v>
      </c>
    </row>
    <row r="58" spans="27:28">
      <c r="AA58">
        <v>23</v>
      </c>
      <c r="AB58">
        <v>100</v>
      </c>
    </row>
    <row r="59" spans="27:28">
      <c r="AA59">
        <v>25</v>
      </c>
      <c r="AB59">
        <v>1</v>
      </c>
    </row>
    <row r="60" spans="27:28">
      <c r="AA60">
        <v>1069</v>
      </c>
      <c r="AB60">
        <v>1</v>
      </c>
    </row>
    <row r="61" spans="27:28">
      <c r="AA61">
        <v>25</v>
      </c>
      <c r="AB61">
        <v>1</v>
      </c>
    </row>
    <row r="62" spans="27:28">
      <c r="AA62">
        <v>2504</v>
      </c>
      <c r="AB62">
        <v>2</v>
      </c>
    </row>
    <row r="63" spans="27:28">
      <c r="AA63">
        <v>25</v>
      </c>
      <c r="AB63">
        <v>1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2:X111"/>
  <sheetViews>
    <sheetView zoomScale="90" zoomScaleNormal="90" workbookViewId="0">
      <selection activeCell="H11" sqref="H11"/>
    </sheetView>
  </sheetViews>
  <sheetFormatPr defaultColWidth="9" defaultRowHeight="16.5"/>
  <cols>
    <col min="1" max="1" width="9" style="3" customWidth="1"/>
    <col min="2" max="2" width="10.375" style="3" customWidth="1"/>
    <col min="3" max="3" width="9" style="3" customWidth="1"/>
    <col min="4" max="4" width="12.875" style="3" customWidth="1"/>
    <col min="5" max="5" width="11.75" style="3" customWidth="1"/>
    <col min="6" max="6" width="12.875" style="3" customWidth="1"/>
    <col min="7" max="7" width="13.75" style="3" customWidth="1"/>
    <col min="8" max="8" width="15" style="3" customWidth="1"/>
    <col min="9" max="9" width="14.875" style="3" customWidth="1"/>
    <col min="10" max="10" width="12.875" style="3" customWidth="1"/>
    <col min="11" max="11" width="15.25" style="3" customWidth="1"/>
    <col min="12" max="12" width="15" style="3" customWidth="1"/>
    <col min="13" max="16" width="12.875" style="3" customWidth="1"/>
    <col min="17" max="17" width="15" style="3" customWidth="1"/>
    <col min="18" max="18" width="15.375" style="3" customWidth="1"/>
    <col min="19" max="20" width="15" style="3" customWidth="1"/>
    <col min="21" max="21" width="13.8833333333333" style="3" customWidth="1"/>
    <col min="22" max="22" width="13.125" style="3" customWidth="1"/>
    <col min="23" max="23" width="15" style="3" customWidth="1"/>
    <col min="24" max="25" width="11.375" style="3" customWidth="1"/>
    <col min="26" max="26" width="10.375" style="3" customWidth="1"/>
    <col min="27" max="16384" width="9" style="3" customWidth="1"/>
  </cols>
  <sheetData>
    <row r="2" spans="1:12">
      <c r="B2" s="3" t="s">
        <v>2706</v>
      </c>
      <c r="C2" s="3" t="s">
        <v>1032</v>
      </c>
      <c r="D2" s="3" t="s">
        <v>2707</v>
      </c>
      <c r="H2" s="3" t="s">
        <v>2708</v>
      </c>
      <c r="K2" s="5">
        <v>50</v>
      </c>
      <c r="L2" s="3" t="s">
        <v>2709</v>
      </c>
    </row>
    <row r="3" spans="1:12">
      <c r="H3" s="3" t="s">
        <v>2710</v>
      </c>
    </row>
    <row r="4" spans="1:12">
      <c r="B4" s="6" t="s">
        <v>2711</v>
      </c>
    </row>
    <row r="5" spans="1:12">
      <c r="B5" s="7" t="s">
        <v>1540</v>
      </c>
      <c r="C5" s="8" t="s">
        <v>1971</v>
      </c>
      <c r="D5" s="9" t="s">
        <v>1972</v>
      </c>
      <c r="E5" s="9" t="s">
        <v>602</v>
      </c>
      <c r="F5" s="9" t="s">
        <v>601</v>
      </c>
      <c r="G5" s="9" t="s">
        <v>2712</v>
      </c>
    </row>
    <row r="6" spans="1:12">
      <c r="A6" s="3">
        <v>0.5</v>
      </c>
      <c r="B6" s="10">
        <v>1</v>
      </c>
      <c r="C6" s="11">
        <v>15</v>
      </c>
      <c r="D6" s="12">
        <v>10</v>
      </c>
      <c r="E6" s="13">
        <f t="shared" ref="E6:E14" si="0">C6*10</f>
        <v>150</v>
      </c>
      <c r="F6" s="11">
        <f t="shared" ref="F6:F13" si="1">ROUND(A6*$F$14,-3)</f>
        <v>30000</v>
      </c>
      <c r="G6" s="11">
        <v>30000</v>
      </c>
    </row>
    <row r="7" spans="1:12">
      <c r="A7" s="3">
        <f t="shared" ref="A7:A12" si="2">A6+0.05</f>
        <v>0.55</v>
      </c>
      <c r="B7" s="11">
        <v>2</v>
      </c>
      <c r="C7" s="11">
        <v>15</v>
      </c>
      <c r="D7" s="12">
        <v>15</v>
      </c>
      <c r="E7" s="13">
        <f t="shared" si="0"/>
        <v>150</v>
      </c>
      <c r="F7" s="11">
        <f t="shared" si="1"/>
        <v>33000</v>
      </c>
      <c r="G7" s="11">
        <v>40000</v>
      </c>
    </row>
    <row r="8" spans="1:12">
      <c r="A8" s="3">
        <f t="shared" si="2"/>
        <v>0.6</v>
      </c>
      <c r="B8" s="10">
        <v>3</v>
      </c>
      <c r="C8" s="11">
        <v>15</v>
      </c>
      <c r="D8" s="12">
        <v>20</v>
      </c>
      <c r="E8" s="13">
        <f t="shared" si="0"/>
        <v>150</v>
      </c>
      <c r="F8" s="11">
        <f t="shared" si="1"/>
        <v>36000</v>
      </c>
      <c r="G8" s="11">
        <v>50000</v>
      </c>
    </row>
    <row r="9" spans="1:12">
      <c r="A9" s="3">
        <f t="shared" si="2"/>
        <v>0.65</v>
      </c>
      <c r="B9" s="11">
        <v>4</v>
      </c>
      <c r="C9" s="11">
        <v>15</v>
      </c>
      <c r="D9" s="12">
        <v>25</v>
      </c>
      <c r="E9" s="13">
        <f t="shared" si="0"/>
        <v>150</v>
      </c>
      <c r="F9" s="11">
        <f t="shared" si="1"/>
        <v>39000</v>
      </c>
      <c r="G9" s="11">
        <v>60000</v>
      </c>
    </row>
    <row r="10" spans="1:12">
      <c r="A10" s="3">
        <f t="shared" si="2"/>
        <v>0.7</v>
      </c>
      <c r="B10" s="10">
        <v>5</v>
      </c>
      <c r="C10" s="11">
        <v>15</v>
      </c>
      <c r="D10" s="12">
        <v>30</v>
      </c>
      <c r="E10" s="13">
        <f t="shared" si="0"/>
        <v>150</v>
      </c>
      <c r="F10" s="11">
        <f t="shared" si="1"/>
        <v>42000</v>
      </c>
      <c r="G10" s="11">
        <v>80000</v>
      </c>
    </row>
    <row r="11" spans="1:12">
      <c r="A11" s="3">
        <f t="shared" si="2"/>
        <v>0.75</v>
      </c>
      <c r="B11" s="11">
        <v>6</v>
      </c>
      <c r="C11" s="11">
        <v>15</v>
      </c>
      <c r="D11" s="12">
        <v>35</v>
      </c>
      <c r="E11" s="13">
        <f t="shared" si="0"/>
        <v>150</v>
      </c>
      <c r="F11" s="11">
        <f t="shared" si="1"/>
        <v>45000</v>
      </c>
      <c r="G11" s="11">
        <v>100000</v>
      </c>
    </row>
    <row r="12" spans="1:12">
      <c r="A12" s="3">
        <f t="shared" si="2"/>
        <v>0.8</v>
      </c>
      <c r="B12" s="10">
        <v>7</v>
      </c>
      <c r="C12" s="11">
        <v>15</v>
      </c>
      <c r="D12" s="12">
        <v>40</v>
      </c>
      <c r="E12" s="13">
        <f t="shared" si="0"/>
        <v>150</v>
      </c>
      <c r="F12" s="11">
        <f t="shared" si="1"/>
        <v>48000</v>
      </c>
      <c r="G12" s="11">
        <v>120000</v>
      </c>
    </row>
    <row r="13" spans="1:12">
      <c r="A13" s="3">
        <v>0.9</v>
      </c>
      <c r="B13" s="11">
        <v>8</v>
      </c>
      <c r="C13" s="11">
        <v>15</v>
      </c>
      <c r="D13" s="12">
        <v>45</v>
      </c>
      <c r="E13" s="13">
        <f t="shared" si="0"/>
        <v>150</v>
      </c>
      <c r="F13" s="11">
        <f t="shared" si="1"/>
        <v>54000</v>
      </c>
      <c r="G13" s="11">
        <v>140000</v>
      </c>
    </row>
    <row r="14" spans="1:12">
      <c r="A14" s="3">
        <v>1</v>
      </c>
      <c r="B14" s="10">
        <v>9</v>
      </c>
      <c r="C14" s="11">
        <v>15</v>
      </c>
      <c r="D14" s="12">
        <v>50</v>
      </c>
      <c r="E14" s="13">
        <f t="shared" si="0"/>
        <v>150</v>
      </c>
      <c r="F14" s="11">
        <v>60000</v>
      </c>
      <c r="G14" s="11">
        <v>160000</v>
      </c>
    </row>
    <row r="18" spans="1:24">
      <c r="B18" s="6" t="s">
        <v>2713</v>
      </c>
    </row>
    <row r="19" spans="1:24">
      <c r="B19" s="7" t="s">
        <v>1540</v>
      </c>
      <c r="C19" s="8" t="s">
        <v>1971</v>
      </c>
      <c r="D19" s="9" t="s">
        <v>1972</v>
      </c>
      <c r="E19" s="9" t="s">
        <v>602</v>
      </c>
      <c r="F19" s="9" t="s">
        <v>1108</v>
      </c>
      <c r="G19" s="9" t="s">
        <v>2714</v>
      </c>
      <c r="H19" s="9" t="s">
        <v>601</v>
      </c>
      <c r="I19" s="9" t="s">
        <v>2715</v>
      </c>
      <c r="J19" s="9" t="s">
        <v>2716</v>
      </c>
      <c r="K19" s="9" t="s">
        <v>2717</v>
      </c>
      <c r="L19" s="9" t="s">
        <v>2718</v>
      </c>
      <c r="M19" s="9" t="s">
        <v>2719</v>
      </c>
      <c r="N19" s="9" t="s">
        <v>2720</v>
      </c>
      <c r="O19" s="9" t="s">
        <v>2721</v>
      </c>
      <c r="P19" s="9" t="s">
        <v>2722</v>
      </c>
      <c r="Q19" s="9" t="s">
        <v>2723</v>
      </c>
      <c r="R19" s="9" t="s">
        <v>1044</v>
      </c>
      <c r="S19" s="9" t="s">
        <v>230</v>
      </c>
      <c r="T19" s="9" t="s">
        <v>2477</v>
      </c>
      <c r="U19" s="9" t="s">
        <v>2724</v>
      </c>
    </row>
    <row r="20" spans="1:24">
      <c r="A20" s="3">
        <v>0.5</v>
      </c>
      <c r="B20" s="10">
        <v>1</v>
      </c>
      <c r="C20" s="11">
        <v>15</v>
      </c>
      <c r="D20" s="12">
        <v>10</v>
      </c>
      <c r="E20" s="13">
        <f t="shared" ref="E20:E28" si="3">C20*10</f>
        <v>150</v>
      </c>
      <c r="F20" s="11">
        <f t="shared" ref="F20:F27" si="4">A20*$F$28</f>
        <v>30000</v>
      </c>
      <c r="G20" s="11">
        <f t="shared" ref="G20:G28" si="5">F20</f>
        <v>30000</v>
      </c>
      <c r="H20" s="9">
        <f t="shared" ref="H20:H28" si="6">C20*200*A20</f>
        <v>1500</v>
      </c>
      <c r="I20" s="3" t="s">
        <v>1598</v>
      </c>
      <c r="J20" s="3">
        <v>18</v>
      </c>
      <c r="K20" s="3">
        <v>22</v>
      </c>
      <c r="L20" s="3" t="s">
        <v>1599</v>
      </c>
      <c r="M20" s="3">
        <v>9</v>
      </c>
      <c r="N20" s="3">
        <v>11</v>
      </c>
      <c r="O20" s="3" t="s">
        <v>1600</v>
      </c>
      <c r="P20" s="3">
        <v>0</v>
      </c>
      <c r="Q20" s="3">
        <v>0</v>
      </c>
      <c r="R20" s="3">
        <f t="shared" ref="R20:R28" si="7">VLOOKUP(I20,$W$20:$X$23,2,0)*AVERAGE(J20,K20)+VLOOKUP(O20,$W$20:$X$23,2,0)*AVERAGE(P20,Q20)+VLOOKUP(L20,$W$20:$X$23,2,0)*AVERAGE(M20,N20)</f>
        <v>30000</v>
      </c>
      <c r="S20" s="3" t="s">
        <v>1599</v>
      </c>
      <c r="T20" s="3">
        <v>15</v>
      </c>
      <c r="U20" s="3">
        <f>VLOOKUP(S20,$W$20:$X$22,2,0)*T20</f>
        <v>30000</v>
      </c>
      <c r="W20" s="3" t="s">
        <v>1598</v>
      </c>
      <c r="X20" s="3">
        <v>500</v>
      </c>
    </row>
    <row r="21" spans="1:24">
      <c r="A21" s="3">
        <f t="shared" ref="A21:A26" si="8">A20+0.05</f>
        <v>0.55</v>
      </c>
      <c r="B21" s="11">
        <v>2</v>
      </c>
      <c r="C21" s="11">
        <v>15</v>
      </c>
      <c r="D21" s="12">
        <v>15</v>
      </c>
      <c r="E21" s="13">
        <f t="shared" si="3"/>
        <v>150</v>
      </c>
      <c r="F21" s="11">
        <f t="shared" si="4"/>
        <v>33000</v>
      </c>
      <c r="G21" s="11">
        <f t="shared" si="5"/>
        <v>33000</v>
      </c>
      <c r="H21" s="9">
        <f t="shared" si="6"/>
        <v>1650</v>
      </c>
      <c r="I21" s="3" t="s">
        <v>1598</v>
      </c>
      <c r="J21" s="3">
        <v>24</v>
      </c>
      <c r="K21" s="3">
        <v>28</v>
      </c>
      <c r="L21" s="3" t="s">
        <v>1599</v>
      </c>
      <c r="M21" s="3">
        <v>9</v>
      </c>
      <c r="N21" s="3">
        <v>11</v>
      </c>
      <c r="O21" s="3" t="s">
        <v>1600</v>
      </c>
      <c r="P21" s="3">
        <v>0</v>
      </c>
      <c r="Q21" s="3">
        <v>0</v>
      </c>
      <c r="R21" s="3">
        <f t="shared" si="7"/>
        <v>33000</v>
      </c>
      <c r="S21" s="3" t="s">
        <v>1599</v>
      </c>
      <c r="T21" s="3">
        <v>20</v>
      </c>
      <c r="U21" s="3">
        <f t="shared" ref="U21:U28" si="9">VLOOKUP(S21,$W$20:$X$22,2,0)*T21</f>
        <v>40000</v>
      </c>
      <c r="W21" s="3" t="s">
        <v>1599</v>
      </c>
      <c r="X21" s="3">
        <v>2000</v>
      </c>
    </row>
    <row r="22" spans="1:24">
      <c r="A22" s="3">
        <f t="shared" si="8"/>
        <v>0.6</v>
      </c>
      <c r="B22" s="10">
        <v>3</v>
      </c>
      <c r="C22" s="11">
        <v>15</v>
      </c>
      <c r="D22" s="12">
        <v>20</v>
      </c>
      <c r="E22" s="13">
        <f t="shared" si="3"/>
        <v>150</v>
      </c>
      <c r="F22" s="11">
        <f t="shared" si="4"/>
        <v>36000</v>
      </c>
      <c r="G22" s="11">
        <f t="shared" si="5"/>
        <v>36000</v>
      </c>
      <c r="H22" s="9">
        <f t="shared" si="6"/>
        <v>1800</v>
      </c>
      <c r="I22" s="3" t="s">
        <v>1598</v>
      </c>
      <c r="J22" s="3">
        <v>18</v>
      </c>
      <c r="K22" s="3">
        <v>22</v>
      </c>
      <c r="L22" s="3" t="s">
        <v>1599</v>
      </c>
      <c r="M22" s="3">
        <v>12</v>
      </c>
      <c r="N22" s="3">
        <v>14</v>
      </c>
      <c r="O22" s="3" t="s">
        <v>1600</v>
      </c>
      <c r="P22" s="3">
        <v>0</v>
      </c>
      <c r="Q22" s="3">
        <v>0</v>
      </c>
      <c r="R22" s="3">
        <f t="shared" si="7"/>
        <v>36000</v>
      </c>
      <c r="S22" s="3" t="s">
        <v>1599</v>
      </c>
      <c r="T22" s="3">
        <v>25</v>
      </c>
      <c r="U22" s="3">
        <f t="shared" si="9"/>
        <v>50000</v>
      </c>
      <c r="W22" s="3" t="s">
        <v>1600</v>
      </c>
      <c r="X22" s="3">
        <v>10000</v>
      </c>
    </row>
    <row r="23" spans="1:24">
      <c r="A23" s="3">
        <f t="shared" si="8"/>
        <v>0.65</v>
      </c>
      <c r="B23" s="11">
        <v>4</v>
      </c>
      <c r="C23" s="11">
        <v>15</v>
      </c>
      <c r="D23" s="12">
        <v>25</v>
      </c>
      <c r="E23" s="13">
        <f t="shared" si="3"/>
        <v>150</v>
      </c>
      <c r="F23" s="11">
        <f t="shared" si="4"/>
        <v>39000</v>
      </c>
      <c r="G23" s="11">
        <f t="shared" si="5"/>
        <v>39000</v>
      </c>
      <c r="H23" s="9">
        <f t="shared" si="6"/>
        <v>1950</v>
      </c>
      <c r="I23" s="3" t="s">
        <v>1598</v>
      </c>
      <c r="J23" s="3">
        <v>16</v>
      </c>
      <c r="K23" s="3">
        <v>20</v>
      </c>
      <c r="L23" s="3" t="s">
        <v>1599</v>
      </c>
      <c r="M23" s="3">
        <v>14</v>
      </c>
      <c r="N23" s="3">
        <v>16</v>
      </c>
      <c r="O23" s="3" t="s">
        <v>1600</v>
      </c>
      <c r="P23" s="3">
        <v>0</v>
      </c>
      <c r="Q23" s="3">
        <v>0</v>
      </c>
      <c r="R23" s="3">
        <f t="shared" si="7"/>
        <v>39000</v>
      </c>
      <c r="S23" s="3" t="s">
        <v>1599</v>
      </c>
      <c r="T23" s="3">
        <v>30</v>
      </c>
      <c r="U23" s="3">
        <f t="shared" si="9"/>
        <v>60000</v>
      </c>
    </row>
    <row r="24" spans="1:24">
      <c r="A24" s="3">
        <f t="shared" si="8"/>
        <v>0.7</v>
      </c>
      <c r="B24" s="10">
        <v>5</v>
      </c>
      <c r="C24" s="11">
        <v>15</v>
      </c>
      <c r="D24" s="12">
        <v>30</v>
      </c>
      <c r="E24" s="13">
        <f t="shared" si="3"/>
        <v>150</v>
      </c>
      <c r="F24" s="11">
        <f t="shared" si="4"/>
        <v>42000</v>
      </c>
      <c r="G24" s="11">
        <f t="shared" si="5"/>
        <v>42000</v>
      </c>
      <c r="H24" s="9">
        <f t="shared" si="6"/>
        <v>2100</v>
      </c>
      <c r="I24" s="3" t="s">
        <v>1598</v>
      </c>
      <c r="J24" s="3">
        <v>14</v>
      </c>
      <c r="K24" s="3">
        <v>18</v>
      </c>
      <c r="L24" s="3" t="s">
        <v>1599</v>
      </c>
      <c r="M24" s="3">
        <v>11</v>
      </c>
      <c r="N24" s="3">
        <v>13</v>
      </c>
      <c r="O24" s="3" t="s">
        <v>1600</v>
      </c>
      <c r="P24" s="3">
        <v>1</v>
      </c>
      <c r="Q24" s="3">
        <v>1</v>
      </c>
      <c r="R24" s="3">
        <f t="shared" si="7"/>
        <v>42000</v>
      </c>
      <c r="S24" s="3" t="s">
        <v>1600</v>
      </c>
      <c r="T24" s="3">
        <v>8</v>
      </c>
      <c r="U24" s="3">
        <f t="shared" si="9"/>
        <v>80000</v>
      </c>
    </row>
    <row r="25" spans="1:24">
      <c r="A25" s="3">
        <f t="shared" si="8"/>
        <v>0.75</v>
      </c>
      <c r="B25" s="11">
        <v>6</v>
      </c>
      <c r="C25" s="11">
        <v>15</v>
      </c>
      <c r="D25" s="12">
        <v>35</v>
      </c>
      <c r="E25" s="13">
        <f t="shared" si="3"/>
        <v>150</v>
      </c>
      <c r="F25" s="11">
        <f t="shared" si="4"/>
        <v>45000</v>
      </c>
      <c r="G25" s="11">
        <f t="shared" si="5"/>
        <v>45000</v>
      </c>
      <c r="H25" s="9">
        <f t="shared" si="6"/>
        <v>2250</v>
      </c>
      <c r="I25" s="3" t="s">
        <v>1598</v>
      </c>
      <c r="J25" s="3">
        <v>20</v>
      </c>
      <c r="K25" s="3">
        <v>24</v>
      </c>
      <c r="L25" s="3" t="s">
        <v>1599</v>
      </c>
      <c r="M25" s="3">
        <v>11</v>
      </c>
      <c r="N25" s="3">
        <v>13</v>
      </c>
      <c r="O25" s="3" t="s">
        <v>1600</v>
      </c>
      <c r="P25" s="3">
        <v>1</v>
      </c>
      <c r="Q25" s="3">
        <v>1</v>
      </c>
      <c r="R25" s="3">
        <f t="shared" si="7"/>
        <v>45000</v>
      </c>
      <c r="S25" s="3" t="s">
        <v>1600</v>
      </c>
      <c r="T25" s="3">
        <v>10</v>
      </c>
      <c r="U25" s="3">
        <f t="shared" si="9"/>
        <v>100000</v>
      </c>
    </row>
    <row r="26" spans="1:24">
      <c r="A26" s="3">
        <f t="shared" si="8"/>
        <v>0.8</v>
      </c>
      <c r="B26" s="10">
        <v>7</v>
      </c>
      <c r="C26" s="11">
        <v>15</v>
      </c>
      <c r="D26" s="12">
        <v>40</v>
      </c>
      <c r="E26" s="13">
        <f t="shared" si="3"/>
        <v>150</v>
      </c>
      <c r="F26" s="11">
        <f t="shared" si="4"/>
        <v>48000</v>
      </c>
      <c r="G26" s="11">
        <f t="shared" si="5"/>
        <v>48000</v>
      </c>
      <c r="H26" s="9">
        <f t="shared" si="6"/>
        <v>2400</v>
      </c>
      <c r="I26" s="3" t="s">
        <v>1598</v>
      </c>
      <c r="J26" s="3">
        <v>14</v>
      </c>
      <c r="K26" s="3">
        <v>18</v>
      </c>
      <c r="L26" s="3" t="s">
        <v>1599</v>
      </c>
      <c r="M26" s="3">
        <v>9</v>
      </c>
      <c r="N26" s="3">
        <v>11</v>
      </c>
      <c r="O26" s="3" t="s">
        <v>1600</v>
      </c>
      <c r="P26" s="3">
        <v>2</v>
      </c>
      <c r="Q26" s="3">
        <v>2</v>
      </c>
      <c r="R26" s="3">
        <f t="shared" si="7"/>
        <v>48000</v>
      </c>
      <c r="S26" s="3" t="s">
        <v>1600</v>
      </c>
      <c r="T26" s="3">
        <v>12</v>
      </c>
      <c r="U26" s="3">
        <f t="shared" si="9"/>
        <v>120000</v>
      </c>
    </row>
    <row r="27" spans="1:24">
      <c r="A27" s="3">
        <v>0.9</v>
      </c>
      <c r="B27" s="10">
        <v>8</v>
      </c>
      <c r="C27" s="11">
        <v>15</v>
      </c>
      <c r="D27" s="12">
        <v>45</v>
      </c>
      <c r="E27" s="13">
        <f t="shared" si="3"/>
        <v>150</v>
      </c>
      <c r="F27" s="11">
        <f t="shared" si="4"/>
        <v>54000</v>
      </c>
      <c r="G27" s="11">
        <f t="shared" si="5"/>
        <v>54000</v>
      </c>
      <c r="H27" s="9">
        <f t="shared" si="6"/>
        <v>2700</v>
      </c>
      <c r="I27" s="3" t="s">
        <v>1598</v>
      </c>
      <c r="J27" s="3">
        <v>14</v>
      </c>
      <c r="K27" s="3">
        <v>18</v>
      </c>
      <c r="L27" s="3" t="s">
        <v>1599</v>
      </c>
      <c r="M27" s="3">
        <v>12</v>
      </c>
      <c r="N27" s="3">
        <v>14</v>
      </c>
      <c r="O27" s="3" t="s">
        <v>1600</v>
      </c>
      <c r="P27" s="3">
        <v>2</v>
      </c>
      <c r="Q27" s="3">
        <v>2</v>
      </c>
      <c r="R27" s="3">
        <f t="shared" si="7"/>
        <v>54000</v>
      </c>
      <c r="S27" s="3" t="s">
        <v>1600</v>
      </c>
      <c r="T27" s="3">
        <v>14</v>
      </c>
      <c r="U27" s="3">
        <f t="shared" si="9"/>
        <v>140000</v>
      </c>
    </row>
    <row r="28" spans="1:24">
      <c r="A28" s="3">
        <v>1</v>
      </c>
      <c r="B28" s="10">
        <v>9</v>
      </c>
      <c r="C28" s="11">
        <v>15</v>
      </c>
      <c r="D28" s="12">
        <v>50</v>
      </c>
      <c r="E28" s="13">
        <f t="shared" si="3"/>
        <v>150</v>
      </c>
      <c r="F28" s="11">
        <v>60000</v>
      </c>
      <c r="G28" s="11">
        <f t="shared" si="5"/>
        <v>60000</v>
      </c>
      <c r="H28" s="9">
        <f t="shared" si="6"/>
        <v>3000</v>
      </c>
      <c r="I28" s="3" t="s">
        <v>1598</v>
      </c>
      <c r="J28" s="3">
        <v>14</v>
      </c>
      <c r="K28" s="3">
        <v>18</v>
      </c>
      <c r="L28" s="3" t="s">
        <v>1599</v>
      </c>
      <c r="M28" s="3">
        <v>10</v>
      </c>
      <c r="N28" s="3">
        <v>12</v>
      </c>
      <c r="O28" s="3" t="s">
        <v>1600</v>
      </c>
      <c r="P28" s="3">
        <v>3</v>
      </c>
      <c r="Q28" s="3">
        <v>3</v>
      </c>
      <c r="R28" s="3">
        <f t="shared" si="7"/>
        <v>60000</v>
      </c>
      <c r="S28" s="3" t="s">
        <v>1600</v>
      </c>
      <c r="T28" s="3">
        <v>16</v>
      </c>
      <c r="U28" s="3">
        <f t="shared" si="9"/>
        <v>160000</v>
      </c>
    </row>
    <row r="33" spans="1:24">
      <c r="B33" s="6" t="s">
        <v>2725</v>
      </c>
    </row>
    <row r="34" spans="1:24">
      <c r="B34" s="7" t="s">
        <v>1540</v>
      </c>
      <c r="C34" s="8" t="s">
        <v>1971</v>
      </c>
      <c r="D34" s="9" t="s">
        <v>1972</v>
      </c>
      <c r="E34" s="9" t="s">
        <v>602</v>
      </c>
      <c r="F34" s="9" t="s">
        <v>1108</v>
      </c>
      <c r="G34" s="9" t="s">
        <v>2714</v>
      </c>
      <c r="H34" s="9" t="s">
        <v>601</v>
      </c>
      <c r="I34" s="9" t="s">
        <v>2715</v>
      </c>
      <c r="J34" s="9" t="s">
        <v>2716</v>
      </c>
      <c r="K34" s="9" t="s">
        <v>2717</v>
      </c>
      <c r="L34" s="9" t="s">
        <v>2718</v>
      </c>
      <c r="M34" s="9" t="s">
        <v>2719</v>
      </c>
      <c r="N34" s="9" t="s">
        <v>2720</v>
      </c>
      <c r="O34" s="9" t="s">
        <v>2721</v>
      </c>
      <c r="P34" s="9" t="s">
        <v>2722</v>
      </c>
      <c r="Q34" s="9" t="s">
        <v>2723</v>
      </c>
      <c r="R34" s="9" t="s">
        <v>1044</v>
      </c>
      <c r="S34" s="9" t="s">
        <v>230</v>
      </c>
      <c r="T34" s="9" t="s">
        <v>2477</v>
      </c>
      <c r="W34" s="3" t="s">
        <v>2726</v>
      </c>
      <c r="X34" s="3">
        <v>1000</v>
      </c>
    </row>
    <row r="35" spans="1:24">
      <c r="A35" s="3">
        <v>0.5</v>
      </c>
      <c r="B35" s="10">
        <v>1</v>
      </c>
      <c r="C35" s="11">
        <v>15</v>
      </c>
      <c r="D35" s="12">
        <v>10</v>
      </c>
      <c r="E35" s="13">
        <f t="shared" ref="E35:E43" si="10">C35*10</f>
        <v>150</v>
      </c>
      <c r="F35" s="11">
        <f t="shared" ref="F35:F42" si="11">A35*$F$43</f>
        <v>60000</v>
      </c>
      <c r="G35" s="11">
        <f t="shared" ref="G35:G43" si="12">F35</f>
        <v>60000</v>
      </c>
      <c r="H35" s="9">
        <f t="shared" ref="H35:H43" si="13">C35*200*A35</f>
        <v>1500</v>
      </c>
      <c r="I35" s="3" t="s">
        <v>2726</v>
      </c>
      <c r="J35" s="3">
        <v>18</v>
      </c>
      <c r="K35" s="3">
        <v>22</v>
      </c>
      <c r="L35" s="3" t="s">
        <v>2727</v>
      </c>
      <c r="M35" s="3">
        <v>9</v>
      </c>
      <c r="N35" s="3">
        <v>11</v>
      </c>
      <c r="O35" s="3" t="s">
        <v>2728</v>
      </c>
      <c r="P35" s="3">
        <v>0</v>
      </c>
      <c r="Q35" s="3">
        <v>0</v>
      </c>
      <c r="R35" s="3">
        <f t="shared" ref="R35:R43" si="14">VLOOKUP(I35,$W$34:$X$37,2,0)*AVERAGE(J35,K35)+VLOOKUP(O35,$W$34:$X$37,2,0)*AVERAGE(P35,Q35)+VLOOKUP(L35,$W$34:$X$37,2,0)*AVERAGE(M35,N35)</f>
        <v>60000</v>
      </c>
      <c r="S35" s="3" t="s">
        <v>2727</v>
      </c>
      <c r="T35" s="3">
        <v>15</v>
      </c>
      <c r="U35" s="3">
        <f>VLOOKUP(S35,$W$34:$X$36,2,0)*T35</f>
        <v>60000</v>
      </c>
      <c r="W35" s="3" t="s">
        <v>2727</v>
      </c>
      <c r="X35" s="3">
        <v>4000</v>
      </c>
    </row>
    <row r="36" spans="1:24">
      <c r="A36" s="3">
        <f t="shared" ref="A36:A41" si="15">A35+0.05</f>
        <v>0.55</v>
      </c>
      <c r="B36" s="11">
        <v>2</v>
      </c>
      <c r="C36" s="11">
        <v>15</v>
      </c>
      <c r="D36" s="12">
        <v>15</v>
      </c>
      <c r="E36" s="13">
        <f t="shared" si="10"/>
        <v>150</v>
      </c>
      <c r="F36" s="11">
        <f t="shared" si="11"/>
        <v>66000</v>
      </c>
      <c r="G36" s="11">
        <f t="shared" si="12"/>
        <v>66000</v>
      </c>
      <c r="H36" s="9">
        <f t="shared" si="13"/>
        <v>1650</v>
      </c>
      <c r="I36" s="3" t="s">
        <v>2726</v>
      </c>
      <c r="J36" s="3">
        <v>24</v>
      </c>
      <c r="K36" s="3">
        <v>28</v>
      </c>
      <c r="L36" s="3" t="s">
        <v>2727</v>
      </c>
      <c r="M36" s="3">
        <v>9</v>
      </c>
      <c r="N36" s="3">
        <v>11</v>
      </c>
      <c r="O36" s="3" t="s">
        <v>2728</v>
      </c>
      <c r="P36" s="3">
        <v>0</v>
      </c>
      <c r="Q36" s="3">
        <v>0</v>
      </c>
      <c r="R36" s="3">
        <f t="shared" si="14"/>
        <v>66000</v>
      </c>
      <c r="S36" s="3" t="s">
        <v>2727</v>
      </c>
      <c r="T36" s="3">
        <v>20</v>
      </c>
      <c r="U36" s="3">
        <f t="shared" ref="U36:U43" si="16">VLOOKUP(S36,$W$34:$X$36,2,0)*T36</f>
        <v>80000</v>
      </c>
      <c r="W36" s="3" t="s">
        <v>2728</v>
      </c>
      <c r="X36" s="3">
        <v>20000</v>
      </c>
    </row>
    <row r="37" spans="1:24">
      <c r="A37" s="3">
        <f t="shared" si="15"/>
        <v>0.6</v>
      </c>
      <c r="B37" s="10">
        <v>3</v>
      </c>
      <c r="C37" s="11">
        <v>15</v>
      </c>
      <c r="D37" s="12">
        <v>20</v>
      </c>
      <c r="E37" s="13">
        <f t="shared" si="10"/>
        <v>150</v>
      </c>
      <c r="F37" s="11">
        <f t="shared" si="11"/>
        <v>72000</v>
      </c>
      <c r="G37" s="11">
        <f t="shared" si="12"/>
        <v>72000</v>
      </c>
      <c r="H37" s="9">
        <f t="shared" si="13"/>
        <v>1800</v>
      </c>
      <c r="I37" s="3" t="s">
        <v>2726</v>
      </c>
      <c r="J37" s="3">
        <v>18</v>
      </c>
      <c r="K37" s="3">
        <v>22</v>
      </c>
      <c r="L37" s="3" t="s">
        <v>2727</v>
      </c>
      <c r="M37" s="3">
        <v>12</v>
      </c>
      <c r="N37" s="3">
        <v>14</v>
      </c>
      <c r="O37" s="3" t="s">
        <v>2728</v>
      </c>
      <c r="P37" s="3">
        <v>0</v>
      </c>
      <c r="Q37" s="3">
        <v>0</v>
      </c>
      <c r="R37" s="3">
        <f t="shared" si="14"/>
        <v>72000</v>
      </c>
      <c r="S37" s="3" t="s">
        <v>2727</v>
      </c>
      <c r="T37" s="3">
        <v>25</v>
      </c>
      <c r="U37" s="3">
        <f t="shared" si="16"/>
        <v>100000</v>
      </c>
    </row>
    <row r="38" spans="1:24">
      <c r="A38" s="3">
        <f t="shared" si="15"/>
        <v>0.65</v>
      </c>
      <c r="B38" s="11">
        <v>4</v>
      </c>
      <c r="C38" s="11">
        <v>15</v>
      </c>
      <c r="D38" s="12">
        <v>25</v>
      </c>
      <c r="E38" s="13">
        <f t="shared" si="10"/>
        <v>150</v>
      </c>
      <c r="F38" s="11">
        <f t="shared" si="11"/>
        <v>78000</v>
      </c>
      <c r="G38" s="11">
        <f t="shared" si="12"/>
        <v>78000</v>
      </c>
      <c r="H38" s="9">
        <f t="shared" si="13"/>
        <v>1950</v>
      </c>
      <c r="I38" s="3" t="s">
        <v>2726</v>
      </c>
      <c r="J38" s="3">
        <v>16</v>
      </c>
      <c r="K38" s="3">
        <v>20</v>
      </c>
      <c r="L38" s="3" t="s">
        <v>2727</v>
      </c>
      <c r="M38" s="3">
        <v>8</v>
      </c>
      <c r="N38" s="3">
        <v>12</v>
      </c>
      <c r="O38" s="3" t="s">
        <v>2728</v>
      </c>
      <c r="P38" s="3">
        <v>1</v>
      </c>
      <c r="Q38" s="3">
        <v>1</v>
      </c>
      <c r="R38" s="3">
        <f t="shared" si="14"/>
        <v>78000</v>
      </c>
      <c r="S38" s="3" t="s">
        <v>2727</v>
      </c>
      <c r="T38" s="3">
        <v>30</v>
      </c>
      <c r="U38" s="3">
        <f t="shared" si="16"/>
        <v>120000</v>
      </c>
    </row>
    <row r="39" spans="1:24">
      <c r="A39" s="3">
        <f t="shared" si="15"/>
        <v>0.7</v>
      </c>
      <c r="B39" s="10">
        <v>5</v>
      </c>
      <c r="C39" s="11">
        <v>15</v>
      </c>
      <c r="D39" s="12">
        <v>30</v>
      </c>
      <c r="E39" s="13">
        <f t="shared" si="10"/>
        <v>150</v>
      </c>
      <c r="F39" s="11">
        <f t="shared" si="11"/>
        <v>84000</v>
      </c>
      <c r="G39" s="11">
        <f t="shared" si="12"/>
        <v>84000</v>
      </c>
      <c r="H39" s="9">
        <f t="shared" si="13"/>
        <v>2100</v>
      </c>
      <c r="I39" s="3" t="s">
        <v>2726</v>
      </c>
      <c r="J39" s="3">
        <v>14</v>
      </c>
      <c r="K39" s="3">
        <v>18</v>
      </c>
      <c r="L39" s="3" t="s">
        <v>2727</v>
      </c>
      <c r="M39" s="3">
        <v>11</v>
      </c>
      <c r="N39" s="3">
        <v>13</v>
      </c>
      <c r="O39" s="3" t="s">
        <v>2728</v>
      </c>
      <c r="P39" s="3">
        <v>1</v>
      </c>
      <c r="Q39" s="3">
        <v>1</v>
      </c>
      <c r="R39" s="3">
        <f t="shared" si="14"/>
        <v>84000</v>
      </c>
      <c r="S39" s="3" t="s">
        <v>2728</v>
      </c>
      <c r="T39" s="3">
        <v>8</v>
      </c>
      <c r="U39" s="3">
        <f t="shared" si="16"/>
        <v>160000</v>
      </c>
    </row>
    <row r="40" spans="1:24">
      <c r="A40" s="3">
        <f t="shared" si="15"/>
        <v>0.75</v>
      </c>
      <c r="B40" s="11">
        <v>6</v>
      </c>
      <c r="C40" s="11">
        <v>15</v>
      </c>
      <c r="D40" s="12">
        <v>35</v>
      </c>
      <c r="E40" s="13">
        <f t="shared" si="10"/>
        <v>150</v>
      </c>
      <c r="F40" s="11">
        <f t="shared" si="11"/>
        <v>90000</v>
      </c>
      <c r="G40" s="11">
        <f t="shared" si="12"/>
        <v>90000</v>
      </c>
      <c r="H40" s="9">
        <f t="shared" si="13"/>
        <v>2250</v>
      </c>
      <c r="I40" s="3" t="s">
        <v>2726</v>
      </c>
      <c r="J40" s="3">
        <v>20</v>
      </c>
      <c r="K40" s="3">
        <v>24</v>
      </c>
      <c r="L40" s="3" t="s">
        <v>2727</v>
      </c>
      <c r="M40" s="3">
        <v>11</v>
      </c>
      <c r="N40" s="3">
        <v>13</v>
      </c>
      <c r="O40" s="3" t="s">
        <v>2728</v>
      </c>
      <c r="P40" s="3">
        <v>1</v>
      </c>
      <c r="Q40" s="3">
        <v>1</v>
      </c>
      <c r="R40" s="3">
        <f t="shared" si="14"/>
        <v>90000</v>
      </c>
      <c r="S40" s="3" t="s">
        <v>2728</v>
      </c>
      <c r="T40" s="3">
        <v>10</v>
      </c>
      <c r="U40" s="3">
        <f t="shared" si="16"/>
        <v>200000</v>
      </c>
    </row>
    <row r="41" spans="1:24">
      <c r="A41" s="3">
        <f t="shared" si="15"/>
        <v>0.8</v>
      </c>
      <c r="B41" s="10">
        <v>7</v>
      </c>
      <c r="C41" s="11">
        <v>15</v>
      </c>
      <c r="D41" s="12">
        <v>40</v>
      </c>
      <c r="E41" s="13">
        <f t="shared" si="10"/>
        <v>150</v>
      </c>
      <c r="F41" s="11">
        <f t="shared" si="11"/>
        <v>96000</v>
      </c>
      <c r="G41" s="11">
        <f t="shared" si="12"/>
        <v>96000</v>
      </c>
      <c r="H41" s="9">
        <f t="shared" si="13"/>
        <v>2400</v>
      </c>
      <c r="I41" s="3" t="s">
        <v>2726</v>
      </c>
      <c r="J41" s="3">
        <v>22</v>
      </c>
      <c r="K41" s="3">
        <v>26</v>
      </c>
      <c r="L41" s="3" t="s">
        <v>2727</v>
      </c>
      <c r="M41" s="3">
        <v>12</v>
      </c>
      <c r="N41" s="3">
        <v>14</v>
      </c>
      <c r="O41" s="3" t="s">
        <v>2728</v>
      </c>
      <c r="P41" s="3">
        <v>1</v>
      </c>
      <c r="Q41" s="3">
        <v>1</v>
      </c>
      <c r="R41" s="3">
        <f t="shared" si="14"/>
        <v>96000</v>
      </c>
      <c r="S41" s="3" t="s">
        <v>2728</v>
      </c>
      <c r="T41" s="3">
        <v>12</v>
      </c>
      <c r="U41" s="3">
        <f t="shared" si="16"/>
        <v>240000</v>
      </c>
    </row>
    <row r="42" spans="1:24">
      <c r="A42" s="3">
        <v>0.9</v>
      </c>
      <c r="B42" s="10">
        <v>8</v>
      </c>
      <c r="C42" s="11">
        <v>15</v>
      </c>
      <c r="D42" s="12">
        <v>45</v>
      </c>
      <c r="E42" s="13">
        <f t="shared" si="10"/>
        <v>150</v>
      </c>
      <c r="F42" s="11">
        <f t="shared" si="11"/>
        <v>108000</v>
      </c>
      <c r="G42" s="11">
        <f t="shared" si="12"/>
        <v>108000</v>
      </c>
      <c r="H42" s="9">
        <f t="shared" si="13"/>
        <v>2700</v>
      </c>
      <c r="I42" s="3" t="s">
        <v>2726</v>
      </c>
      <c r="J42" s="3">
        <v>14</v>
      </c>
      <c r="K42" s="3">
        <v>18</v>
      </c>
      <c r="L42" s="3" t="s">
        <v>2727</v>
      </c>
      <c r="M42" s="3">
        <v>12</v>
      </c>
      <c r="N42" s="3">
        <v>14</v>
      </c>
      <c r="O42" s="3" t="s">
        <v>2728</v>
      </c>
      <c r="P42" s="3">
        <v>2</v>
      </c>
      <c r="Q42" s="3">
        <v>2</v>
      </c>
      <c r="R42" s="3">
        <f t="shared" si="14"/>
        <v>108000</v>
      </c>
      <c r="S42" s="3" t="s">
        <v>2728</v>
      </c>
      <c r="T42" s="3">
        <v>14</v>
      </c>
      <c r="U42" s="3">
        <f t="shared" si="16"/>
        <v>280000</v>
      </c>
    </row>
    <row r="43" spans="1:24">
      <c r="A43" s="3">
        <v>1</v>
      </c>
      <c r="B43" s="10">
        <v>9</v>
      </c>
      <c r="C43" s="11">
        <v>15</v>
      </c>
      <c r="D43" s="12">
        <v>50</v>
      </c>
      <c r="E43" s="13">
        <f t="shared" si="10"/>
        <v>150</v>
      </c>
      <c r="F43" s="11">
        <v>120000</v>
      </c>
      <c r="G43" s="11">
        <f t="shared" si="12"/>
        <v>120000</v>
      </c>
      <c r="H43" s="9">
        <f t="shared" si="13"/>
        <v>3000</v>
      </c>
      <c r="I43" s="3" t="s">
        <v>2726</v>
      </c>
      <c r="J43" s="3">
        <v>14</v>
      </c>
      <c r="K43" s="3">
        <v>18</v>
      </c>
      <c r="L43" s="3" t="s">
        <v>2727</v>
      </c>
      <c r="M43" s="3">
        <v>10</v>
      </c>
      <c r="N43" s="3">
        <v>12</v>
      </c>
      <c r="O43" s="3" t="s">
        <v>2728</v>
      </c>
      <c r="P43" s="3">
        <v>3</v>
      </c>
      <c r="Q43" s="3">
        <v>3</v>
      </c>
      <c r="R43" s="3">
        <f t="shared" si="14"/>
        <v>120000</v>
      </c>
      <c r="S43" s="3" t="s">
        <v>2728</v>
      </c>
      <c r="T43" s="3">
        <v>16</v>
      </c>
      <c r="U43" s="3">
        <f t="shared" si="16"/>
        <v>320000</v>
      </c>
    </row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5"/>
  </sheetPr>
  <dimension ref="B2:M38"/>
  <sheetViews>
    <sheetView workbookViewId="0">
      <selection activeCell="S25" sqref="S25"/>
    </sheetView>
  </sheetViews>
  <sheetFormatPr defaultColWidth="9" defaultRowHeight="16.5"/>
  <cols>
    <col min="1" max="16384" width="9" style="3" customWidth="1"/>
  </cols>
  <sheetData>
    <row r="2" spans="2:13">
      <c r="B2" s="3" t="s">
        <v>2729</v>
      </c>
    </row>
    <row r="4" spans="2:13">
      <c r="B4" s="3" t="s">
        <v>2730</v>
      </c>
    </row>
    <row r="6" spans="2:13">
      <c r="B6" s="3" t="s">
        <v>2731</v>
      </c>
    </row>
    <row r="8" spans="2:13">
      <c r="C8" s="3" t="s">
        <v>2732</v>
      </c>
    </row>
    <row r="10" spans="2:13">
      <c r="C10" s="3" t="s">
        <v>2733</v>
      </c>
    </row>
    <row r="12" ht="22.5" customHeight="1" spans="2:13">
      <c r="B12" s="3">
        <v>1</v>
      </c>
      <c r="C12" s="3" t="s">
        <v>2734</v>
      </c>
      <c r="M12" s="4" t="s">
        <v>2735</v>
      </c>
    </row>
    <row r="14" spans="2:13">
      <c r="C14" s="3" t="s">
        <v>2736</v>
      </c>
    </row>
    <row r="16" spans="2:13">
      <c r="C16" s="3" t="s">
        <v>2737</v>
      </c>
    </row>
    <row r="18" s="1" customFormat="1" spans="2:3">
      <c r="B18" s="1">
        <v>2</v>
      </c>
      <c r="C18" s="1" t="s">
        <v>2738</v>
      </c>
    </row>
    <row r="19" s="1" customFormat="1"/>
    <row r="20" s="1" customFormat="1" spans="2:3">
      <c r="C20" s="1" t="s">
        <v>2739</v>
      </c>
    </row>
    <row r="21" s="1" customFormat="1"/>
    <row r="22" s="1" customFormat="1" spans="2:3">
      <c r="C22" s="1" t="s">
        <v>2740</v>
      </c>
    </row>
    <row r="23" s="1" customFormat="1"/>
    <row r="24" s="1" customFormat="1" spans="2:3">
      <c r="B24" s="1">
        <v>3</v>
      </c>
      <c r="C24" s="1" t="s">
        <v>2741</v>
      </c>
    </row>
    <row r="25" s="1" customFormat="1"/>
    <row r="26" s="1" customFormat="1" spans="2:3">
      <c r="C26" s="1" t="s">
        <v>2742</v>
      </c>
    </row>
    <row r="27" s="1" customFormat="1"/>
    <row r="28" s="1" customFormat="1" spans="2:3">
      <c r="C28" s="1" t="s">
        <v>2743</v>
      </c>
    </row>
    <row r="29" s="1" customFormat="1"/>
    <row r="30" s="1" customFormat="1" spans="2:3">
      <c r="B30" s="1">
        <v>4</v>
      </c>
      <c r="C30" s="1" t="s">
        <v>2744</v>
      </c>
    </row>
    <row r="31" s="1" customFormat="1"/>
    <row r="32" s="1" customFormat="1" spans="2:3">
      <c r="C32" s="1" t="s">
        <v>2745</v>
      </c>
    </row>
    <row r="33" s="1" customFormat="1"/>
    <row r="34" s="1" customFormat="1" spans="2:3">
      <c r="C34" s="1" t="s">
        <v>2746</v>
      </c>
    </row>
    <row r="36" s="2" customFormat="1" spans="2:3">
      <c r="B36" s="2" t="s">
        <v>2747</v>
      </c>
    </row>
    <row r="38" spans="2:3">
      <c r="B38" s="3" t="s">
        <v>2748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42</vt:i4>
      </vt:variant>
    </vt:vector>
  </HeadingPairs>
  <TitlesOfParts>
    <vt:vector size="42" baseType="lpstr">
      <vt:lpstr>前7天钻石抽卡券统计</vt:lpstr>
      <vt:lpstr>玩法钻石抽卡券统计</vt:lpstr>
      <vt:lpstr>道具定价</vt:lpstr>
      <vt:lpstr>角色、专武、旅券掉落池</vt:lpstr>
      <vt:lpstr>角色养成汇总</vt:lpstr>
      <vt:lpstr>角色升级</vt:lpstr>
      <vt:lpstr>角色升阶</vt:lpstr>
      <vt:lpstr>角色升星、角色抽卡</vt:lpstr>
      <vt:lpstr>专武升星、抽卡</vt:lpstr>
      <vt:lpstr>旅券</vt:lpstr>
      <vt:lpstr>专武</vt:lpstr>
      <vt:lpstr>角色星盘</vt:lpstr>
      <vt:lpstr>映射装备</vt:lpstr>
      <vt:lpstr>主角等级（从新手引导复制） </vt:lpstr>
      <vt:lpstr>炮台养成</vt:lpstr>
      <vt:lpstr>通行证</vt:lpstr>
      <vt:lpstr>公会数值</vt:lpstr>
      <vt:lpstr>配置页-通行证</vt:lpstr>
      <vt:lpstr>无限挑战</vt:lpstr>
      <vt:lpstr>配置页-无限挑战</vt:lpstr>
      <vt:lpstr>竞技场</vt:lpstr>
      <vt:lpstr>配置页-竞技场</vt:lpstr>
      <vt:lpstr>竞技场分层</vt:lpstr>
      <vt:lpstr>爬塔</vt:lpstr>
      <vt:lpstr>配置页-爬塔</vt:lpstr>
      <vt:lpstr>大秘境</vt:lpstr>
      <vt:lpstr>商店</vt:lpstr>
      <vt:lpstr>旅券副本</vt:lpstr>
      <vt:lpstr>共鸣装备</vt:lpstr>
      <vt:lpstr>讨论页-玩法定位和产出</vt:lpstr>
      <vt:lpstr>签到</vt:lpstr>
      <vt:lpstr>7日任务</vt:lpstr>
      <vt:lpstr>主线副本</vt:lpstr>
      <vt:lpstr>配置页-主线副本</vt:lpstr>
      <vt:lpstr>高难主线关卡</vt:lpstr>
      <vt:lpstr>高难关卡Drop引用&amp;Drop配置</vt:lpstr>
      <vt:lpstr>世界boss</vt:lpstr>
      <vt:lpstr>任务</vt:lpstr>
      <vt:lpstr>映射装备副本</vt:lpstr>
      <vt:lpstr>映射装备副本配置</vt:lpstr>
      <vt:lpstr>资源、装备副本</vt:lpstr>
      <vt:lpstr>肉鸽（废弃）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2023-05-12T11:15:00Z</dcterms:created>
  <dcterms:modified xsi:type="dcterms:W3CDTF">2026-07-07T01:31:57Z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A8184B6F0BD04126944BA58B622AD03F_12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